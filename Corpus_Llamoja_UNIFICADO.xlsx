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e" sheetId="1" state="visible" r:id="rId1"/>
    <sheet name="Corpus_corregido" sheetId="2" state="visible" r:id="rId2"/>
    <sheet name="Marcas_declaradas" sheetId="3" state="visible" r:id="rId3"/>
    <sheet name="Marcas_todas" sheetId="4" state="visible" r:id="rId4"/>
    <sheet name="Resumen_comparado" sheetId="5" state="visible" r:id="rId5"/>
    <sheet name="Cambios_aplicados" sheetId="6" state="visible" r:id="rId6"/>
    <sheet name="Diccionario_causales" sheetId="7" state="visible" r:id="rId7"/>
    <sheet name="Leyenda_estatus" sheetId="8" state="visible" r:id="rId8"/>
    <sheet name="Trazabilidad_fusion" sheetId="9" state="visible" r:id="rId9"/>
    <sheet name="Criterios_y_fuentes" sheetId="10" state="visible" r:id="rId10"/>
    <sheet name="Revision_motivacion_163" sheetId="11" state="visible" r:id="rId11"/>
    <sheet name="Llamoja_17_ABR18" sheetId="12" state="visible" r:id="rId12"/>
    <sheet name="Tipologia_Llamoja" sheetId="13" state="visible" r:id="rId13"/>
    <sheet name="Resumen" sheetId="14" state="visible" r:id="rId14"/>
    <sheet name="Sumarisimo_Llamoja" sheetId="15" state="visible" r:id="rId15"/>
  </sheets>
  <definedNames>
    <definedName name="_xlnm._FilterDatabase" localSheetId="1" hidden="1">'Corpus_corregido'!$A$1:$BC$135</definedName>
    <definedName name="_xlnm._FilterDatabase" localSheetId="5" hidden="1">'Cambios_aplicados'!$A$3:$E$141</definedName>
    <definedName name="_xlnm._FilterDatabase" localSheetId="12" hidden="1">'Tipologia_Llamoja'!$A$1:$J$42</definedName>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Cambria"/>
      <charset val="1"/>
      <family val="0"/>
      <b val="1"/>
      <color rgb="FFFFFFFF"/>
      <sz val="10"/>
    </font>
    <font>
      <name val="Cambria"/>
      <charset val="1"/>
      <family val="0"/>
      <sz val="9"/>
    </font>
    <font>
      <name val="Cambria"/>
      <charset val="1"/>
      <family val="0"/>
      <b val="1"/>
      <color rgb="FF1E6B3A"/>
      <sz val="9"/>
    </font>
    <font>
      <name val="Cambria"/>
      <charset val="1"/>
      <family val="0"/>
      <color rgb="FF9C6500"/>
      <sz val="9"/>
    </font>
    <font>
      <name val="Cambria"/>
      <charset val="1"/>
      <family val="0"/>
      <color rgb="FF7A7A7A"/>
      <sz val="9"/>
    </font>
    <font>
      <name val="Cambria"/>
      <charset val="1"/>
      <family val="0"/>
      <color rgb="FF6B3FA0"/>
      <sz val="9"/>
    </font>
    <font>
      <name val="Cambria"/>
      <charset val="1"/>
      <family val="0"/>
      <i val="1"/>
      <color rgb="FF595959"/>
      <sz val="9"/>
    </font>
    <font>
      <name val="Cambria"/>
      <charset val="1"/>
      <family val="0"/>
      <b val="1"/>
      <sz val="9"/>
    </font>
    <font>
      <name val="Cambria"/>
      <charset val="1"/>
      <family val="0"/>
      <b val="1"/>
      <sz val="11"/>
    </font>
    <font>
      <name val="Cambria"/>
      <charset val="1"/>
      <family val="0"/>
      <b val="1"/>
      <color rgb="FF1F3864"/>
      <sz val="13"/>
    </font>
    <font>
      <name val="Cambria"/>
      <charset val="1"/>
      <family val="0"/>
      <b val="1"/>
      <color rgb="FFA32020"/>
      <sz val="9"/>
    </font>
    <font>
      <name val="Cambria"/>
      <charset val="1"/>
      <family val="0"/>
      <b val="1"/>
      <color rgb="FF808080"/>
      <sz val="9"/>
    </font>
    <font>
      <name val="Cambria"/>
      <charset val="1"/>
      <family val="0"/>
      <b val="1"/>
      <color rgb="FF1F3864"/>
      <sz val="11"/>
    </font>
    <font>
      <name val="Cambria"/>
      <charset val="1"/>
      <family val="0"/>
      <b val="1"/>
      <color rgb="FF1F3864"/>
      <sz val="12"/>
    </font>
    <font>
      <name val="Cambria"/>
      <charset val="1"/>
      <family val="0"/>
      <b val="1"/>
      <color rgb="FF000000"/>
      <sz val="9"/>
    </font>
    <font>
      <name val="Cambria"/>
      <charset val="1"/>
      <family val="0"/>
      <color rgb="FF000000"/>
      <sz val="9"/>
    </font>
    <font>
      <name val="Cambria"/>
      <charset val="1"/>
      <family val="0"/>
      <b val="1"/>
      <color rgb="FF1F3864"/>
      <sz val="9"/>
    </font>
    <font>
      <name val="Cambria"/>
      <charset val="1"/>
      <family val="0"/>
      <b val="1"/>
      <color rgb="FF9C6500"/>
      <sz val="9"/>
    </font>
    <font>
      <name val="Cambria"/>
      <charset val="1"/>
      <family val="0"/>
      <b val="1"/>
      <color rgb="FF7A7A7A"/>
      <sz val="9"/>
    </font>
    <font>
      <name val="Cambria"/>
      <charset val="1"/>
      <family val="0"/>
      <b val="1"/>
      <color rgb="FF6B3FA0"/>
      <sz val="9"/>
    </font>
    <font>
      <name val="Arial"/>
      <b val="1"/>
      <color rgb="00FFFFFF"/>
      <sz val="10"/>
    </font>
    <font>
      <name val="Arial"/>
      <sz val="10"/>
    </font>
    <font>
      <name val="Arial"/>
      <b val="1"/>
      <sz val="10"/>
    </font>
    <font>
      <b val="1"/>
    </font>
    <font>
      <name val="Calibri"/>
      <charset val="1"/>
      <family val="2"/>
      <color theme="1"/>
      <sz val="11"/>
    </font>
    <font>
      <name val="Arial"/>
      <charset val="1"/>
      <family val="0"/>
      <b val="1"/>
      <color rgb="FFFFFFFF"/>
      <sz val="11"/>
    </font>
    <font>
      <name val="Arial"/>
      <charset val="1"/>
      <family val="0"/>
      <sz val="10"/>
    </font>
    <font>
      <name val="Arial"/>
      <charset val="1"/>
      <family val="0"/>
      <b val="1"/>
      <sz val="10"/>
    </font>
    <font>
      <name val="Arial"/>
      <b val="1"/>
      <sz val="13"/>
    </font>
    <font>
      <name val="Arial"/>
      <b val="1"/>
      <color rgb="00FFFFFF"/>
    </font>
    <font>
      <name val="Arial"/>
      <color rgb="000563C1"/>
      <u val="single"/>
    </font>
    <font>
      <name val="Arial"/>
    </font>
  </fonts>
  <fills count="16">
    <fill>
      <patternFill/>
    </fill>
    <fill>
      <patternFill patternType="gray125"/>
    </fill>
    <fill>
      <patternFill patternType="solid">
        <fgColor rgb="FF1F3864"/>
        <bgColor rgb="FF2E5395"/>
      </patternFill>
    </fill>
    <fill>
      <patternFill patternType="solid">
        <fgColor rgb="FFFBE4E4"/>
        <bgColor rgb="FFF2F2F2"/>
      </patternFill>
    </fill>
    <fill>
      <patternFill patternType="solid">
        <fgColor rgb="FFDDEBE1"/>
        <bgColor rgb="FFE8F0FA"/>
      </patternFill>
    </fill>
    <fill>
      <patternFill patternType="solid">
        <fgColor rgb="FFF2F2F2"/>
        <bgColor rgb="FFE8F0FA"/>
      </patternFill>
    </fill>
    <fill>
      <patternFill patternType="solid">
        <fgColor rgb="FF2E5395"/>
        <bgColor rgb="FF1F3864"/>
      </patternFill>
    </fill>
    <fill>
      <patternFill patternType="solid">
        <fgColor rgb="FFE8F0FA"/>
        <bgColor rgb="FFF2F2F2"/>
      </patternFill>
    </fill>
    <fill>
      <patternFill patternType="solid">
        <fgColor rgb="001F4E78"/>
      </patternFill>
    </fill>
    <fill>
      <patternFill patternType="solid">
        <fgColor rgb="00FFEB9C"/>
      </patternFill>
    </fill>
    <fill>
      <patternFill patternType="solid">
        <fgColor rgb="00F2F2F2"/>
      </patternFill>
    </fill>
    <fill>
      <patternFill patternType="solid">
        <fgColor rgb="00C6EFCE"/>
      </patternFill>
    </fill>
    <fill>
      <patternFill patternType="solid">
        <fgColor rgb="00DDEBF7"/>
      </patternFill>
    </fill>
    <fill>
      <patternFill patternType="solid">
        <fgColor rgb="FF1F3864"/>
        <bgColor rgb="FF333333"/>
      </patternFill>
    </fill>
    <fill>
      <patternFill patternType="solid">
        <fgColor rgb="FFFCE4D6"/>
        <bgColor rgb="FFFFFFFF"/>
      </patternFill>
    </fill>
    <fill>
      <patternFill patternType="solid">
        <fgColor rgb="FF4472C4"/>
        <bgColor rgb="FF666699"/>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7">
    <xf numFmtId="0" fontId="0" fillId="0" borderId="0" pivotButton="0" quotePrefix="0" xfId="0"/>
    <xf numFmtId="0" fontId="29" fillId="0" borderId="0" pivotButton="0" quotePrefix="0" xfId="0"/>
    <xf numFmtId="0" fontId="30" fillId="8" borderId="0" pivotButton="0" quotePrefix="0" xfId="0"/>
    <xf numFmtId="0" fontId="31" fillId="0" borderId="0" pivotButton="0" quotePrefix="0" xfId="0"/>
    <xf numFmtId="0" fontId="32" fillId="0" borderId="0" pivotButton="0" quotePrefix="0" xfId="0"/>
    <xf numFmtId="0" fontId="1" fillId="2" borderId="0" applyAlignment="1" pivotButton="0" quotePrefix="0" xfId="0">
      <alignment horizontal="general" vertical="center" wrapText="1"/>
    </xf>
    <xf numFmtId="0" fontId="2" fillId="0" borderId="1" applyAlignment="1" pivotButton="0" quotePrefix="0" xfId="0">
      <alignment horizontal="general" vertical="top"/>
    </xf>
    <xf numFmtId="0" fontId="2" fillId="0" borderId="1" applyAlignment="1" pivotButton="0" quotePrefix="0" xfId="0">
      <alignment horizontal="general" vertical="top" wrapText="1"/>
    </xf>
    <xf numFmtId="0" fontId="3" fillId="0" borderId="1" applyAlignment="1" pivotButton="0" quotePrefix="0" xfId="0">
      <alignment horizontal="general" vertical="top" wrapText="1"/>
    </xf>
    <xf numFmtId="0" fontId="4" fillId="0"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2" fillId="3" borderId="1" applyAlignment="1" pivotButton="0" quotePrefix="0" xfId="0">
      <alignment horizontal="general" vertical="top"/>
    </xf>
    <xf numFmtId="0" fontId="2" fillId="3" borderId="1" applyAlignment="1" pivotButton="0" quotePrefix="0" xfId="0">
      <alignment horizontal="general" vertical="top" wrapText="1"/>
    </xf>
    <xf numFmtId="0" fontId="7" fillId="0" borderId="0" applyAlignment="1" pivotButton="0" quotePrefix="0" xfId="0">
      <alignment horizontal="general" vertical="bottom"/>
    </xf>
    <xf numFmtId="0" fontId="2" fillId="0" borderId="1" applyAlignment="1" pivotButton="0" quotePrefix="0" xfId="0">
      <alignment horizontal="general" vertical="bottom"/>
    </xf>
    <xf numFmtId="0" fontId="2" fillId="4" borderId="1" applyAlignment="1" pivotButton="0" quotePrefix="0" xfId="0">
      <alignment horizontal="general" vertical="bottom"/>
    </xf>
    <xf numFmtId="0" fontId="8" fillId="0" borderId="1" applyAlignment="1" pivotButton="0" quotePrefix="0" xfId="0">
      <alignment horizontal="general" vertical="bottom"/>
    </xf>
    <xf numFmtId="0" fontId="9" fillId="0" borderId="0" applyAlignment="1" pivotButton="0" quotePrefix="0" xfId="0">
      <alignment horizontal="general" vertical="bottom"/>
    </xf>
    <xf numFmtId="0" fontId="9" fillId="5" borderId="0" applyAlignment="1" pivotButton="0" quotePrefix="0" xfId="0">
      <alignment horizontal="general" vertical="bottom"/>
    </xf>
    <xf numFmtId="0" fontId="10" fillId="0" borderId="0" applyAlignment="1" pivotButton="0" quotePrefix="0" xfId="0">
      <alignment horizontal="general" vertical="bottom"/>
    </xf>
    <xf numFmtId="0" fontId="8" fillId="0" borderId="1" applyAlignment="1" pivotButton="0" quotePrefix="0" xfId="0">
      <alignment horizontal="general" vertical="top"/>
    </xf>
    <xf numFmtId="0" fontId="11" fillId="0" borderId="1" applyAlignment="1" pivotButton="0" quotePrefix="0" xfId="0">
      <alignment horizontal="general" vertical="top"/>
    </xf>
    <xf numFmtId="0" fontId="12" fillId="0" borderId="1" applyAlignment="1" pivotButton="0" quotePrefix="0" xfId="0">
      <alignment horizontal="general" vertical="top"/>
    </xf>
    <xf numFmtId="0" fontId="3" fillId="0" borderId="1" applyAlignment="1" pivotButton="0" quotePrefix="0" xfId="0">
      <alignment horizontal="general" vertical="top"/>
    </xf>
    <xf numFmtId="0" fontId="9" fillId="5" borderId="1" applyAlignment="1" pivotButton="0" quotePrefix="0" xfId="0">
      <alignment horizontal="general" vertical="bottom"/>
    </xf>
    <xf numFmtId="0" fontId="13" fillId="0" borderId="0" applyAlignment="1" pivotButton="0" quotePrefix="0" xfId="0">
      <alignment horizontal="general" vertical="bottom"/>
    </xf>
    <xf numFmtId="0" fontId="1" fillId="6" borderId="0" applyAlignment="1" pivotButton="0" quotePrefix="0" xfId="0">
      <alignment horizontal="general" vertical="center" wrapText="1"/>
    </xf>
    <xf numFmtId="0" fontId="8" fillId="0" borderId="0" applyAlignment="1" pivotButton="0" quotePrefix="0" xfId="0">
      <alignment horizontal="general" vertical="bottom"/>
    </xf>
    <xf numFmtId="0" fontId="2"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1" applyAlignment="1" pivotButton="0" quotePrefix="0" xfId="0">
      <alignment horizontal="general" vertical="top"/>
    </xf>
    <xf numFmtId="0" fontId="16" fillId="0" borderId="1" applyAlignment="1" pivotButton="0" quotePrefix="0" xfId="0">
      <alignment horizontal="general" vertical="top" wrapText="1"/>
    </xf>
    <xf numFmtId="0" fontId="17" fillId="7" borderId="1" applyAlignment="1" pivotButton="0" quotePrefix="0" xfId="0">
      <alignment horizontal="general" vertical="top"/>
    </xf>
    <xf numFmtId="0" fontId="16" fillId="7" borderId="1" applyAlignment="1" pivotButton="0" quotePrefix="0" xfId="0">
      <alignment horizontal="general" vertical="top" wrapText="1"/>
    </xf>
    <xf numFmtId="0" fontId="18" fillId="0" borderId="1" applyAlignment="1" pivotButton="0" quotePrefix="0" xfId="0">
      <alignment horizontal="general" vertical="top"/>
    </xf>
    <xf numFmtId="0" fontId="19" fillId="0" borderId="1" applyAlignment="1" pivotButton="0" quotePrefix="0" xfId="0">
      <alignment horizontal="general" vertical="top"/>
    </xf>
    <xf numFmtId="0" fontId="20" fillId="0" borderId="1" applyAlignment="1" pivotButton="0" quotePrefix="0" xfId="0">
      <alignment horizontal="general" vertical="top"/>
    </xf>
    <xf numFmtId="0" fontId="1" fillId="2" borderId="0" applyAlignment="1" pivotButton="0" quotePrefix="0" xfId="0">
      <alignment horizontal="general" vertical="top" wrapText="1"/>
    </xf>
    <xf numFmtId="0" fontId="2" fillId="0" borderId="0" applyAlignment="1" pivotButton="0" quotePrefix="0" xfId="0">
      <alignment horizontal="general" vertical="top" wrapText="1"/>
    </xf>
    <xf numFmtId="0" fontId="21" fillId="8" borderId="0" applyAlignment="1" pivotButton="0" quotePrefix="0" xfId="0">
      <alignment vertical="center" wrapText="1"/>
    </xf>
    <xf numFmtId="0" fontId="22" fillId="9" borderId="0" applyAlignment="1" pivotButton="0" quotePrefix="0" xfId="0">
      <alignment vertical="top" wrapText="1"/>
    </xf>
    <xf numFmtId="0" fontId="22" fillId="10" borderId="0" applyAlignment="1" pivotButton="0" quotePrefix="0" xfId="0">
      <alignment vertical="top" wrapText="1"/>
    </xf>
    <xf numFmtId="0" fontId="22" fillId="11" borderId="0" applyAlignment="1" pivotButton="0" quotePrefix="0" xfId="0">
      <alignment vertical="top" wrapText="1"/>
    </xf>
    <xf numFmtId="0" fontId="23" fillId="0" borderId="0" pivotButton="0" quotePrefix="0" xfId="0"/>
    <xf numFmtId="0" fontId="22" fillId="0" borderId="0" pivotButton="0" quotePrefix="0" xfId="0"/>
    <xf numFmtId="0" fontId="22" fillId="12" borderId="0" applyAlignment="1" pivotButton="0" quotePrefix="0" xfId="0">
      <alignment vertical="top" wrapText="1"/>
    </xf>
    <xf numFmtId="0" fontId="24" fillId="0" borderId="0" pivotButton="0" quotePrefix="0" xfId="0"/>
    <xf numFmtId="0" fontId="25" fillId="0" borderId="0" applyAlignment="1" pivotButton="0" quotePrefix="0" xfId="0">
      <alignment horizontal="general" vertical="bottom"/>
    </xf>
    <xf numFmtId="0" fontId="26" fillId="13" borderId="0" applyAlignment="1" pivotButton="0" quotePrefix="0" xfId="0">
      <alignment horizontal="general" vertical="center" wrapText="1"/>
    </xf>
    <xf numFmtId="0" fontId="27" fillId="0" borderId="0" applyAlignment="1" pivotButton="0" quotePrefix="0" xfId="0">
      <alignment horizontal="general" vertical="top" wrapText="1"/>
    </xf>
    <xf numFmtId="0" fontId="27" fillId="14" borderId="0" applyAlignment="1" pivotButton="0" quotePrefix="0" xfId="0">
      <alignment horizontal="general" vertical="top" wrapText="1"/>
    </xf>
    <xf numFmtId="0" fontId="26" fillId="13" borderId="0" applyAlignment="1" pivotButton="0" quotePrefix="0" xfId="0">
      <alignment horizontal="general" vertical="bottom"/>
    </xf>
    <xf numFmtId="0" fontId="27" fillId="0" borderId="0" applyAlignment="1" pivotButton="0" quotePrefix="0" xfId="0">
      <alignment horizontal="general" vertical="bottom"/>
    </xf>
    <xf numFmtId="0" fontId="28" fillId="0" borderId="0" applyAlignment="1" pivotButton="0" quotePrefix="0" xfId="0">
      <alignment horizontal="general" vertical="bottom"/>
    </xf>
    <xf numFmtId="0" fontId="26" fillId="15" borderId="2" applyAlignment="1" pivotButton="0" quotePrefix="0" xfId="0">
      <alignment horizontal="center" vertical="center" wrapText="1"/>
    </xf>
    <xf numFmtId="0" fontId="27" fillId="0" borderId="2"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rpus_corregido'!A1" TargetMode="External" Id="rId1" /><Relationship Type="http://schemas.openxmlformats.org/officeDocument/2006/relationships/hyperlink" Target="#'Marcas_declaradas'!A1" TargetMode="External" Id="rId2" /><Relationship Type="http://schemas.openxmlformats.org/officeDocument/2006/relationships/hyperlink" Target="#'Marcas_todas'!A1" TargetMode="External" Id="rId3" /><Relationship Type="http://schemas.openxmlformats.org/officeDocument/2006/relationships/hyperlink" Target="#'Resumen_comparado'!A1" TargetMode="External" Id="rId4" /><Relationship Type="http://schemas.openxmlformats.org/officeDocument/2006/relationships/hyperlink" Target="#'Cambios_aplicados'!A1" TargetMode="External" Id="rId5" /><Relationship Type="http://schemas.openxmlformats.org/officeDocument/2006/relationships/hyperlink" Target="#'Diccionario_causales'!A1" TargetMode="External" Id="rId6" /><Relationship Type="http://schemas.openxmlformats.org/officeDocument/2006/relationships/hyperlink" Target="#'Leyenda_estatus'!A1" TargetMode="External" Id="rId7" /><Relationship Type="http://schemas.openxmlformats.org/officeDocument/2006/relationships/hyperlink" Target="#'Trazabilidad_fusion'!A1" TargetMode="External" Id="rId8" /><Relationship Type="http://schemas.openxmlformats.org/officeDocument/2006/relationships/hyperlink" Target="#'Criterios_y_fuentes'!A1" TargetMode="External" Id="rId9" /><Relationship Type="http://schemas.openxmlformats.org/officeDocument/2006/relationships/hyperlink" Target="#'Revision_motivacion_163'!A1" TargetMode="External" Id="rId10" /><Relationship Type="http://schemas.openxmlformats.org/officeDocument/2006/relationships/hyperlink" Target="#'Llamoja_17_ABR18'!A1" TargetMode="External" Id="rId11" /><Relationship Type="http://schemas.openxmlformats.org/officeDocument/2006/relationships/hyperlink" Target="#'Tipologia_Llamoja'!A1" TargetMode="External" Id="rId12" /><Relationship Type="http://schemas.openxmlformats.org/officeDocument/2006/relationships/hyperlink" Target="#'Resumen'!A1" TargetMode="External" Id="rId13" /><Relationship Type="http://schemas.openxmlformats.org/officeDocument/2006/relationships/hyperlink" Target="#'Sumarisimo_Llamoja'!A1" TargetMode="External" Id="rId14" /></Relationships>
</file>

<file path=xl/worksheets/sheet1.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28" customWidth="1" min="1" max="1"/>
    <col width="52" customWidth="1" min="2" max="2"/>
    <col width="8" customWidth="1" min="3" max="3"/>
    <col width="10" customWidth="1" min="4" max="4"/>
  </cols>
  <sheetData>
    <row r="1">
      <c r="A1" s="1" t="inlineStr">
        <is>
          <t>ÍNDICE — Libro unificado (3 archivos de origen)</t>
        </is>
      </c>
    </row>
    <row r="3">
      <c r="A3" s="2" t="inlineStr">
        <is>
          <t>Hoja</t>
        </is>
      </c>
      <c r="B3" s="2" t="inlineStr">
        <is>
          <t>Archivo de origen</t>
        </is>
      </c>
      <c r="C3" s="2" t="inlineStr">
        <is>
          <t>Filas</t>
        </is>
      </c>
      <c r="D3" s="2" t="inlineStr">
        <is>
          <t>Columnas</t>
        </is>
      </c>
    </row>
    <row r="4">
      <c r="A4" s="3" t="inlineStr">
        <is>
          <t>Corpus_corregido</t>
        </is>
      </c>
      <c r="B4" s="4" t="inlineStr">
        <is>
          <t>Corpus_unificado_revision_motivacion_ABR.xlsx</t>
        </is>
      </c>
      <c r="C4" s="4" t="n">
        <v>164</v>
      </c>
      <c r="D4" s="4" t="n">
        <v>58</v>
      </c>
    </row>
    <row r="5">
      <c r="A5" s="3" t="inlineStr">
        <is>
          <t>Marcas_declaradas</t>
        </is>
      </c>
      <c r="B5" s="4" t="inlineStr">
        <is>
          <t>Corpus_unificado_revision_motivacion_ABR.xlsx</t>
        </is>
      </c>
      <c r="C5" s="4" t="n">
        <v>166</v>
      </c>
      <c r="D5" s="4" t="n">
        <v>29</v>
      </c>
    </row>
    <row r="6">
      <c r="A6" s="3" t="inlineStr">
        <is>
          <t>Marcas_todas</t>
        </is>
      </c>
      <c r="B6" s="4" t="inlineStr">
        <is>
          <t>Corpus_unificado_revision_motivacion_ABR.xlsx</t>
        </is>
      </c>
      <c r="C6" s="4" t="n">
        <v>166</v>
      </c>
      <c r="D6" s="4" t="n">
        <v>29</v>
      </c>
    </row>
    <row r="7">
      <c r="A7" s="3" t="inlineStr">
        <is>
          <t>Resumen_comparado</t>
        </is>
      </c>
      <c r="B7" s="4" t="inlineStr">
        <is>
          <t>Corpus_unificado_revision_motivacion_ABR.xlsx</t>
        </is>
      </c>
      <c r="C7" s="4" t="n">
        <v>62</v>
      </c>
      <c r="D7" s="4" t="n">
        <v>8</v>
      </c>
    </row>
    <row r="8">
      <c r="A8" s="3" t="inlineStr">
        <is>
          <t>Cambios_aplicados</t>
        </is>
      </c>
      <c r="B8" s="4" t="inlineStr">
        <is>
          <t>Corpus_unificado_revision_motivacion_ABR.xlsx</t>
        </is>
      </c>
      <c r="C8" s="4" t="n">
        <v>156</v>
      </c>
      <c r="D8" s="4" t="n">
        <v>5</v>
      </c>
    </row>
    <row r="9">
      <c r="A9" s="3" t="inlineStr">
        <is>
          <t>Diccionario_causales</t>
        </is>
      </c>
      <c r="B9" s="4" t="inlineStr">
        <is>
          <t>Corpus_unificado_revision_motivacion_ABR.xlsx</t>
        </is>
      </c>
      <c r="C9" s="4" t="n">
        <v>27</v>
      </c>
      <c r="D9" s="4" t="n">
        <v>5</v>
      </c>
    </row>
    <row r="10">
      <c r="A10" s="3" t="inlineStr">
        <is>
          <t>Leyenda_estatus</t>
        </is>
      </c>
      <c r="B10" s="4" t="inlineStr">
        <is>
          <t>Corpus_unificado_revision_motivacion_ABR.xlsx</t>
        </is>
      </c>
      <c r="C10" s="4" t="n">
        <v>9</v>
      </c>
      <c r="D10" s="4" t="n">
        <v>3</v>
      </c>
    </row>
    <row r="11">
      <c r="A11" s="3" t="inlineStr">
        <is>
          <t>Trazabilidad_fusion</t>
        </is>
      </c>
      <c r="B11" s="4" t="inlineStr">
        <is>
          <t>Corpus_unificado_revision_motivacion_ABR.xlsx</t>
        </is>
      </c>
      <c r="C11" s="4" t="n">
        <v>89</v>
      </c>
      <c r="D11" s="4" t="n">
        <v>6</v>
      </c>
    </row>
    <row r="12">
      <c r="A12" s="3" t="inlineStr">
        <is>
          <t>Criterios_y_fuentes</t>
        </is>
      </c>
      <c r="B12" s="4" t="inlineStr">
        <is>
          <t>Corpus_unificado_revision_motivacion_ABR.xlsx</t>
        </is>
      </c>
      <c r="C12" s="4" t="n">
        <v>40</v>
      </c>
      <c r="D12" s="4" t="n">
        <v>1</v>
      </c>
    </row>
    <row r="13">
      <c r="A13" s="3" t="inlineStr">
        <is>
          <t>Revision_motivacion_163</t>
        </is>
      </c>
      <c r="B13" s="4" t="inlineStr">
        <is>
          <t>Corpus_unificado_revision_motivacion_ABR.xlsx</t>
        </is>
      </c>
      <c r="C13" s="4" t="n">
        <v>172</v>
      </c>
      <c r="D13" s="4" t="n">
        <v>10</v>
      </c>
    </row>
    <row r="14">
      <c r="A14" s="3" t="inlineStr">
        <is>
          <t>Llamoja_17_ABR18</t>
        </is>
      </c>
      <c r="B14" s="4" t="inlineStr">
        <is>
          <t>Corpus_unificado_revision_motivacion_ABR.xlsx</t>
        </is>
      </c>
      <c r="C14" s="4" t="n">
        <v>26</v>
      </c>
      <c r="D14" s="4" t="n">
        <v>11</v>
      </c>
    </row>
    <row r="15">
      <c r="A15" s="3" t="inlineStr">
        <is>
          <t>Tipologia_Llamoja</t>
        </is>
      </c>
      <c r="B15" s="4" t="inlineStr">
        <is>
          <t>corpus_tipologia_llamoja_NULA__CONO.xlsx</t>
        </is>
      </c>
      <c r="C15" s="4" t="n">
        <v>42</v>
      </c>
      <c r="D15" s="4" t="n">
        <v>10</v>
      </c>
    </row>
    <row r="16">
      <c r="A16" s="3" t="inlineStr">
        <is>
          <t>Resumen</t>
        </is>
      </c>
      <c r="B16" s="4" t="inlineStr">
        <is>
          <t>corpus_tipologia_llamoja_NULA__CONO.xlsx</t>
        </is>
      </c>
      <c r="C16" s="4" t="n">
        <v>11</v>
      </c>
      <c r="D16" s="4" t="n">
        <v>5</v>
      </c>
    </row>
    <row r="17">
      <c r="A17" s="3" t="inlineStr">
        <is>
          <t>Sumarisimo_Llamoja</t>
        </is>
      </c>
      <c r="B17" s="4" t="inlineStr">
        <is>
          <t>Sumarisimo_Llamoja_17expedientes_SUM.xlsx</t>
        </is>
      </c>
      <c r="C17" s="4" t="n">
        <v>18</v>
      </c>
      <c r="D17" s="4" t="n">
        <v>5</v>
      </c>
    </row>
  </sheetData>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16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5" customWidth="1" min="2" max="2"/>
    <col width="26" customWidth="1" min="3" max="3"/>
    <col width="24" customWidth="1" min="5" max="5"/>
    <col width="7" customWidth="1" min="6" max="6"/>
    <col width="18" customWidth="1" min="7" max="7"/>
    <col width="11" customWidth="1" min="9" max="9"/>
    <col width="8" customWidth="1" min="10" max="10"/>
    <col width="20" customWidth="1" min="11" max="11"/>
    <col width="26" customWidth="1" min="13" max="13"/>
    <col width="12" customWidth="1" min="14" max="14"/>
    <col width="30" customWidth="1" min="16" max="16"/>
    <col width="16" customWidth="1" min="39" max="39"/>
    <col width="40" customWidth="1" min="41" max="41"/>
    <col width="46" customWidth="1" min="42" max="42"/>
    <col width="26" customWidth="1" min="43" max="43"/>
    <col width="14" customWidth="1" min="45" max="45"/>
    <col width="46" customWidth="1" min="46" max="46"/>
    <col width="26" customWidth="1" min="47" max="47"/>
    <col width="46" customWidth="1" min="48" max="48"/>
    <col width="26" customWidth="1" min="49" max="49"/>
    <col width="46" customWidth="1" min="50" max="50"/>
    <col width="26" customWidth="1" min="51" max="51"/>
    <col width="46" customWidth="1" min="52" max="52"/>
    <col width="26" customWidth="1" min="53" max="53"/>
    <col width="22" customWidth="1" min="54" max="54"/>
    <col width="7" customWidth="1" min="55" max="55"/>
    <col width="16" customWidth="1" min="56" max="56"/>
    <col width="12" customWidth="1" min="58" max="58"/>
  </cols>
  <sheetData>
    <row r="1" ht="33.75" customHeight="1">
      <c r="A1" s="5" t="inlineStr">
        <is>
          <t>N°</t>
        </is>
      </c>
      <c r="B1" s="5" t="inlineStr">
        <is>
          <t>Clave expediente</t>
        </is>
      </c>
      <c r="C1" s="5" t="inlineStr">
        <is>
          <t>Expediente (código de origen)</t>
        </is>
      </c>
      <c r="D1" s="5" t="inlineStr">
        <is>
          <t>Corpus / grupo</t>
        </is>
      </c>
      <c r="E1" s="5" t="inlineStr">
        <is>
          <t>Materia</t>
        </is>
      </c>
      <c r="F1" s="5" t="inlineStr">
        <is>
          <t>Sala</t>
        </is>
      </c>
      <c r="G1" s="5" t="inlineStr">
        <is>
          <t>Sentencia de vista</t>
        </is>
      </c>
      <c r="H1" s="5" t="inlineStr">
        <is>
          <t>Resolución</t>
        </is>
      </c>
      <c r="I1" s="5" t="inlineStr">
        <is>
          <t>Fecha SV</t>
        </is>
      </c>
      <c r="J1" s="5" t="inlineStr">
        <is>
          <t>Año SV</t>
        </is>
      </c>
      <c r="K1" s="5" t="inlineStr">
        <is>
          <t>Juez A quo</t>
        </is>
      </c>
      <c r="L1" s="5" t="inlineStr">
        <is>
          <t>Juez superior ponente</t>
        </is>
      </c>
      <c r="M1" s="5" t="inlineStr">
        <is>
          <t>Sentido del fallo / resultado del control</t>
        </is>
      </c>
      <c r="N1" s="5" t="inlineStr">
        <is>
          <t>Defectos declarados (ratio)</t>
        </is>
      </c>
      <c r="O1" s="5" t="inlineStr">
        <is>
          <t>Registros totales (todo estatus)</t>
        </is>
      </c>
      <c r="P1" s="5" t="inlineStr">
        <is>
          <t>D01 Notificación o emplazamiento defectuoso</t>
        </is>
      </c>
      <c r="Q1" s="5" t="inlineStr">
        <is>
          <t>D02 Vulneración del derecho de defensa</t>
        </is>
      </c>
      <c r="R1" s="5" t="inlineStr">
        <is>
          <t>D03 Litisconsorte necesario omitido</t>
        </is>
      </c>
      <c r="S1" s="5" t="inlineStr">
        <is>
          <t>D04 Declaración indebida de rebeldía</t>
        </is>
      </c>
      <c r="T1" s="5" t="inlineStr">
        <is>
          <t>D05 Omisión o irregularidad de audiencia</t>
        </is>
      </c>
      <c r="U1" s="5" t="inlineStr">
        <is>
          <t>D06 Deficiente fijación de puntos/hechos controvertidos</t>
        </is>
      </c>
      <c r="V1" s="5" t="inlineStr">
        <is>
          <t>D07 Prueba admitida y no actuada</t>
        </is>
      </c>
      <c r="W1" s="5" t="inlineStr">
        <is>
          <t>D08 Indebida admisión o exclusión de prueba</t>
        </is>
      </c>
      <c r="X1" s="5" t="inlineStr">
        <is>
          <t>D09 Prueba de oficio irregular</t>
        </is>
      </c>
      <c r="Y1" s="5" t="inlineStr">
        <is>
          <t>D10 Falta de contradictorio de la prueba</t>
        </is>
      </c>
      <c r="Z1" s="5" t="inlineStr">
        <is>
          <t>D11 Omisión de valoración de prueba decisiva</t>
        </is>
      </c>
      <c r="AA1" s="5" t="inlineStr">
        <is>
          <t>D12 Valoración probatoria defectuosa</t>
        </is>
      </c>
      <c r="AB1" s="5" t="inlineStr">
        <is>
          <t>D13 Motivación insuficiente</t>
        </is>
      </c>
      <c r="AC1" s="5" t="inlineStr">
        <is>
          <t>D14 Motivación aparente</t>
        </is>
      </c>
      <c r="AD1" s="5" t="inlineStr">
        <is>
          <t>D15 Falta o defecto interno de motivación</t>
        </is>
      </c>
      <c r="AE1" s="5" t="inlineStr">
        <is>
          <t>D16 Incongruencia procesal</t>
        </is>
      </c>
      <c r="AF1" s="5" t="inlineStr">
        <is>
          <t>D17 Falta de respuesta a agravios</t>
        </is>
      </c>
      <c r="AG1" s="5" t="inlineStr">
        <is>
          <t>D18 Violación de preclusión procesal</t>
        </is>
      </c>
      <c r="AH1" s="5" t="inlineStr">
        <is>
          <t>D19 Omisión de resolver incidencia previa</t>
        </is>
      </c>
      <c r="AI1" s="5" t="inlineStr">
        <is>
          <t>D20 Otro defecto insubsanable del procedimiento</t>
        </is>
      </c>
      <c r="AJ1" s="5" t="inlineStr">
        <is>
          <t>D21 Deficiencia de motivación externa (justificación de las premisas)</t>
        </is>
      </c>
      <c r="AK1" s="5" t="inlineStr">
        <is>
          <t>D22 Nulidad refleja, concatenada o por hecho sobreviniente</t>
        </is>
      </c>
      <c r="AL1" s="5" t="inlineStr">
        <is>
          <t>D23 Motivación defectuosa sin especificación del supuesto</t>
        </is>
      </c>
      <c r="AM1" s="5" t="inlineStr">
        <is>
          <t>Insubsanabilidad declarada</t>
        </is>
      </c>
      <c r="AN1" s="5" t="inlineStr">
        <is>
          <t>Nulidad sin vicio procesal identificado</t>
        </is>
      </c>
      <c r="AO1" s="5" t="inlineStr">
        <is>
          <t>Verificación pendiente de cita</t>
        </is>
      </c>
      <c r="AP1" s="5" t="inlineStr">
        <is>
          <t>Cambios aplicados</t>
        </is>
      </c>
      <c r="AQ1" s="5" t="inlineStr">
        <is>
          <t>Tipo de motivación (Llamoja) — principal</t>
        </is>
      </c>
      <c r="AR1" s="5" t="inlineStr">
        <is>
          <t>Tipo de motivación — secundario</t>
        </is>
      </c>
      <c r="AS1" s="5" t="inlineStr">
        <is>
          <t>¿La Sala etiqueta el supuesto Llamoja?</t>
        </is>
      </c>
      <c r="AT1" s="5" t="inlineStr">
        <is>
          <t>Cita textual 1</t>
        </is>
      </c>
      <c r="AU1" s="5" t="inlineStr">
        <is>
          <t>Cita 1 — qué sustenta</t>
        </is>
      </c>
      <c r="AV1" s="5" t="inlineStr">
        <is>
          <t>Cita textual 2</t>
        </is>
      </c>
      <c r="AW1" s="5" t="inlineStr">
        <is>
          <t>Cita 2 — qué sustenta</t>
        </is>
      </c>
      <c r="AX1" s="5" t="inlineStr">
        <is>
          <t>Cita textual 3</t>
        </is>
      </c>
      <c r="AY1" s="5" t="inlineStr">
        <is>
          <t>Cita 3 — qué sustenta</t>
        </is>
      </c>
      <c r="AZ1" s="5" t="inlineStr">
        <is>
          <t>Observaciones</t>
        </is>
      </c>
      <c r="BA1" s="5" t="inlineStr">
        <is>
          <t>Archivo / fuente documental</t>
        </is>
      </c>
      <c r="BB1" s="5" t="inlineStr">
        <is>
          <t>Fuentes del registro</t>
        </is>
      </c>
      <c r="BC1" s="5" t="inlineStr">
        <is>
          <t>N° de fuentes</t>
        </is>
      </c>
      <c r="BD1" s="5" t="inlineStr">
        <is>
          <t>DESC_PROCESO</t>
        </is>
      </c>
      <c r="BE1" s="5" t="inlineStr">
        <is>
          <t>TIPO_FALLO (NULA/REVOCADA/CONFIRMADA)</t>
        </is>
      </c>
      <c r="BF1" s="5" t="inlineStr">
        <is>
          <t>PROCESO_TIPO</t>
        </is>
      </c>
    </row>
    <row r="2" ht="74.25" customHeight="1">
      <c r="A2" s="6" t="n">
        <v>1</v>
      </c>
      <c r="B2" s="6" t="inlineStr">
        <is>
          <t>00001-2018</t>
        </is>
      </c>
      <c r="C2" s="6" t="inlineStr">
        <is>
          <t>00001-2018-0-0401-JR-CI-10</t>
        </is>
      </c>
      <c r="D2" s="6" t="inlineStr">
        <is>
          <t>Matriz sumarísimos — anteriores a 2019</t>
        </is>
      </c>
      <c r="E2" s="6" t="inlineStr">
        <is>
          <t>Otorgamiento de escritura pública</t>
        </is>
      </c>
      <c r="F2" s="6" t="inlineStr">
        <is>
          <t>2SC</t>
        </is>
      </c>
      <c r="G2" s="6" t="inlineStr">
        <is>
          <t>SV 343-2019-2SC</t>
        </is>
      </c>
      <c r="H2" s="6" t="inlineStr">
        <is>
          <t>Res. 25 (tres-2SC)</t>
        </is>
      </c>
      <c r="I2" s="6" t="inlineStr">
        <is>
          <t>09/07/2019</t>
        </is>
      </c>
      <c r="J2" s="6" t="inlineStr">
        <is>
          <t>2019</t>
        </is>
      </c>
      <c r="K2" s="6" t="inlineStr">
        <is>
          <t>Javier Marín Andia</t>
        </is>
      </c>
      <c r="L2" s="6" t="n"/>
      <c r="M2" s="6" t="inlineStr">
        <is>
          <t>NULA (reenvío)</t>
        </is>
      </c>
      <c r="N2" s="6" t="n">
        <v>2</v>
      </c>
      <c r="O2" s="6" t="n">
        <v>2</v>
      </c>
      <c r="P2" s="7" t="n"/>
      <c r="Q2" s="7" t="n"/>
      <c r="R2" s="7" t="n"/>
      <c r="S2" s="7" t="n"/>
      <c r="T2" s="7" t="n"/>
      <c r="U2" s="7" t="n"/>
      <c r="V2" s="7" t="n"/>
      <c r="W2" s="7" t="n"/>
      <c r="X2" s="7" t="n"/>
      <c r="Y2" s="7" t="n"/>
      <c r="Z2" s="7" t="n"/>
      <c r="AA2" s="8" t="inlineStr">
        <is>
          <t>DECLARADO — «se aprecia que el juez de la causa ha incurrido en error al considerar que el inmueble respecto del cual se pretende se otorgue una escritura pública es ganancial, fundamento que ha servido para declarar improcedente la demanda»</t>
        </is>
      </c>
      <c r="AB2" s="7" t="n"/>
      <c r="AC2" s="7" t="n"/>
      <c r="AD2" s="8" t="inlineStr">
        <is>
          <t>DECLARADO — «la resolución apelada contiene una motivación interna defectuosa o una falta de motivación interna del razonamiento conforme a lo señalado por el Tribunal Constitucional en el EXP. N° 00728-2008-PHC/TC»</t>
        </is>
      </c>
      <c r="AE2" s="7" t="n"/>
      <c r="AF2" s="7" t="n"/>
      <c r="AG2" s="7" t="n"/>
      <c r="AH2" s="7" t="n"/>
      <c r="AI2" s="7" t="n"/>
      <c r="AJ2" s="7" t="n"/>
      <c r="AK2" s="7" t="n"/>
      <c r="AL2" s="7" t="n"/>
      <c r="AM2" s="7" t="n"/>
      <c r="AN2" s="7" t="n"/>
      <c r="AO2" s="7" t="n"/>
      <c r="AP2" s="7" t="n"/>
      <c r="AQ2" s="7" t="n"/>
      <c r="AR2" s="7" t="n"/>
      <c r="AS2" s="7" t="n"/>
      <c r="AT2" s="7" t="n"/>
      <c r="AU2" s="7" t="n"/>
      <c r="AV2" s="7" t="n"/>
      <c r="AW2" s="7" t="n"/>
      <c r="AX2" s="7" t="n"/>
      <c r="AY2" s="7" t="n"/>
      <c r="AZ2" s="7" t="inlineStr">
        <is>
          <t>El A quo tuvo por ganancial el bien pese a que la partida de matrimonio de f. 33 (prueba de oficio admitida por él mismo) acreditaba que la venta fue anterior al matrimonio.</t>
        </is>
      </c>
      <c r="BA2" s="7" t="n"/>
      <c r="BB2" s="7" t="inlineStr">
        <is>
          <t>Matriz_defectos_procesales_1ra_SV</t>
        </is>
      </c>
      <c r="BC2" s="7" t="n">
        <v>1</v>
      </c>
      <c r="BD2" s="7" t="inlineStr">
        <is>
          <t>SUMARISIMO</t>
        </is>
      </c>
      <c r="BE2" s="7" t="inlineStr">
        <is>
          <t>NULA</t>
        </is>
      </c>
      <c r="BF2" s="7" t="inlineStr">
        <is>
          <t>SN</t>
        </is>
      </c>
    </row>
    <row r="3" ht="95.25" customHeight="1">
      <c r="A3" s="6" t="n">
        <v>2</v>
      </c>
      <c r="B3" s="6" t="inlineStr">
        <is>
          <t>00072-2023</t>
        </is>
      </c>
      <c r="C3" s="6" t="inlineStr">
        <is>
          <t>00072-2023-0-0401-JR-CI-06</t>
        </is>
      </c>
      <c r="D3" s="6" t="inlineStr">
        <is>
          <t>Matriz sumarísimos — grupo 2024</t>
        </is>
      </c>
      <c r="E3" s="6" t="inlineStr">
        <is>
          <t>Desalojo por ocupación precaria</t>
        </is>
      </c>
      <c r="F3" s="6" t="inlineStr">
        <is>
          <t>2SC</t>
        </is>
      </c>
      <c r="G3" s="6" t="inlineStr">
        <is>
          <t>SV 429-2025-2SC</t>
        </is>
      </c>
      <c r="H3" s="6" t="inlineStr">
        <is>
          <t>Res. 43 (ocho-2SC)</t>
        </is>
      </c>
      <c r="I3" s="6" t="inlineStr">
        <is>
          <t>10/09/2025</t>
        </is>
      </c>
      <c r="J3" s="6" t="inlineStr">
        <is>
          <t>2025</t>
        </is>
      </c>
      <c r="K3" s="6" t="inlineStr">
        <is>
          <t>Patricia Valdivia Franco</t>
        </is>
      </c>
      <c r="L3" s="6" t="n"/>
      <c r="M3" s="6" t="inlineStr">
        <is>
          <t>NULA DE OFICIO (reenvío)</t>
        </is>
      </c>
      <c r="N3" s="6" t="n">
        <v>4</v>
      </c>
      <c r="O3" s="6" t="n">
        <v>4</v>
      </c>
      <c r="P3" s="7" t="n"/>
      <c r="Q3" s="7" t="n"/>
      <c r="R3" s="7" t="n"/>
      <c r="S3" s="7" t="n"/>
      <c r="T3" s="7" t="n"/>
      <c r="U3" s="7" t="n"/>
      <c r="V3" s="7" t="n"/>
      <c r="W3" s="7" t="n"/>
      <c r="X3" s="7" t="n"/>
      <c r="Y3" s="7" t="n"/>
      <c r="Z3" s="8" t="inlineStr">
        <is>
          <t>DECLARADO — «solamente se analiza la inspección judicial y no medios probatorios directos que acrediten el lazo consanguíneo y/o afinidad que existiría entre las demandadas y Zhaodi Dara Bravo Salas, Josué Daniel Arenas Salas y Edmundo Ciro Barrantes»</t>
        </is>
      </c>
      <c r="AA3" s="7" t="n"/>
      <c r="AB3" s="7" t="n"/>
      <c r="AC3" s="7" t="n"/>
      <c r="AD3" s="8" t="inlineStr">
        <is>
          <t>DECLARADO — «la sentencia impugnada adolece de vicios de motivación en su fase interna y externa, al no deducirse de las premisas fácticas y de los medios probatorios aportados, la conclusión que los litisconsortes necesarios pasivos ostentan también legitimidad para poseer»</t>
        </is>
      </c>
      <c r="AE3" s="8" t="inlineStr">
        <is>
          <t>DECLARADO — «se omitió pronunciamiento en relación a la buena fe del tercero adquiriente y de la transferencia del predio a favor de Juan Manuel Salazar Herrera y Epifanía Rosenda Barrantes Quispe»</t>
        </is>
      </c>
      <c r="AF3" s="7" t="n"/>
      <c r="AG3" s="7" t="n"/>
      <c r="AH3" s="7" t="n"/>
      <c r="AI3" s="7" t="n"/>
      <c r="AJ3" s="8" t="inlineStr">
        <is>
          <t>DECLARADO — «la sentencia impugnada adolece de vicios de motivación en su fase interna y externa» (extremo externo: justificación de las premisas)</t>
        </is>
      </c>
      <c r="AK3" s="7" t="n"/>
      <c r="AL3" s="7" t="n"/>
      <c r="AM3" s="7" t="inlineStr">
        <is>
          <t>Sí</t>
        </is>
      </c>
      <c r="AN3" s="7" t="n"/>
      <c r="AO3" s="7" t="n"/>
      <c r="AP3" s="7" t="inlineStr">
        <is>
          <t>Baja D20→— · Alta —→D21</t>
        </is>
      </c>
      <c r="AQ3" s="7" t="n"/>
      <c r="AR3" s="7" t="n"/>
      <c r="AS3" s="7" t="n"/>
      <c r="AT3" s="7" t="n"/>
      <c r="AU3" s="7" t="n"/>
      <c r="AV3" s="7" t="n"/>
      <c r="AW3" s="7" t="n"/>
      <c r="AX3" s="7" t="n"/>
      <c r="AY3" s="7" t="n"/>
      <c r="AZ3" s="7" t="inlineStr">
        <is>
          <t>Nulidad declarada de oficio (art. 176 in fine CPC) pese a que el apelante pedía revocatoria.</t>
        </is>
      </c>
      <c r="BA3" s="7" t="n"/>
      <c r="BB3" s="7" t="inlineStr">
        <is>
          <t>Matriz_defectos_procesales_1ra_SV</t>
        </is>
      </c>
      <c r="BC3" s="7" t="n">
        <v>1</v>
      </c>
      <c r="BD3" s="7" t="inlineStr">
        <is>
          <t>SUMARISIMO</t>
        </is>
      </c>
      <c r="BE3" s="7" t="inlineStr">
        <is>
          <t>NULA</t>
        </is>
      </c>
      <c r="BF3" s="7" t="inlineStr">
        <is>
          <t>SN</t>
        </is>
      </c>
    </row>
    <row r="4" ht="74.25" customHeight="1">
      <c r="A4" s="6" t="n">
        <v>3</v>
      </c>
      <c r="B4" s="6" t="inlineStr">
        <is>
          <t>00115-2012</t>
        </is>
      </c>
      <c r="C4" s="6" t="inlineStr">
        <is>
          <t>00115-2012-0-0401-JR-CI-08</t>
        </is>
      </c>
      <c r="D4" s="6" t="inlineStr">
        <is>
          <t>Matriz sumarísimos — anteriores a 2019</t>
        </is>
      </c>
      <c r="E4" s="6" t="inlineStr">
        <is>
          <t>Desalojo por ocupación precaria</t>
        </is>
      </c>
      <c r="F4" s="6" t="inlineStr">
        <is>
          <t>2SC</t>
        </is>
      </c>
      <c r="G4" s="6" t="inlineStr">
        <is>
          <t>SV 660-2018-2SC</t>
        </is>
      </c>
      <c r="H4" s="6" t="inlineStr">
        <is>
          <t>Res. 63 (siete-2SC)</t>
        </is>
      </c>
      <c r="I4" s="6" t="inlineStr">
        <is>
          <t>21/12/2018</t>
        </is>
      </c>
      <c r="J4" s="6" t="inlineStr">
        <is>
          <t>2018</t>
        </is>
      </c>
      <c r="K4" s="6" t="inlineStr">
        <is>
          <t>Omar del Carpio Medina</t>
        </is>
      </c>
      <c r="L4" s="6" t="n"/>
      <c r="M4" s="6" t="inlineStr">
        <is>
          <t>NULA (reenvío)</t>
        </is>
      </c>
      <c r="N4" s="6" t="n">
        <v>1</v>
      </c>
      <c r="O4" s="6" t="n">
        <v>2</v>
      </c>
      <c r="P4" s="8" t="inlineStr">
        <is>
          <t>DECLARADO — «el Juzgado no ha notificado con la demanda y anexos en el predio a desalojar, inobservando dicha normatividad al expedir la sentencia»</t>
        </is>
      </c>
      <c r="Q4" s="9" t="inlineStr">
        <is>
          <t>DERIVADO — «ello a efecto de garantizar el conocimiento de la existencia del proceso a los ocupantes del predio»; «por haberse transgredido el principio al debido proceso consagrado por el artículo 139 inciso 3) de la Constitución Política del Estado»</t>
        </is>
      </c>
      <c r="R4" s="7" t="n"/>
      <c r="S4" s="7" t="n"/>
      <c r="T4" s="7" t="n"/>
      <c r="U4" s="7" t="n"/>
      <c r="V4" s="7" t="n"/>
      <c r="W4" s="7" t="n"/>
      <c r="X4" s="7" t="n"/>
      <c r="Y4" s="7" t="n"/>
      <c r="Z4" s="7" t="n"/>
      <c r="AA4" s="7" t="n"/>
      <c r="AB4" s="7" t="n"/>
      <c r="AC4" s="7" t="n"/>
      <c r="AD4" s="7" t="n"/>
      <c r="AE4" s="7" t="n"/>
      <c r="AF4" s="7" t="n"/>
      <c r="AG4" s="7" t="n"/>
      <c r="AH4" s="7" t="n"/>
      <c r="AI4" s="7" t="n"/>
      <c r="AJ4" s="7" t="n"/>
      <c r="AK4" s="7" t="n"/>
      <c r="AL4" s="7" t="n"/>
      <c r="AM4" s="7" t="inlineStr">
        <is>
          <t>Sí</t>
        </is>
      </c>
      <c r="AN4" s="7" t="n"/>
      <c r="AO4" s="7" t="n"/>
      <c r="AP4" s="7" t="inlineStr">
        <is>
          <t>Baja D20→— · Reclasificación de estatus D02→D02 (derivado)</t>
        </is>
      </c>
      <c r="AQ4" s="7" t="n"/>
      <c r="AR4" s="7" t="n"/>
      <c r="AS4" s="7" t="n"/>
      <c r="AT4" s="7" t="n"/>
      <c r="AU4" s="7" t="n"/>
      <c r="AV4" s="7" t="n"/>
      <c r="AW4" s="7" t="n"/>
      <c r="AX4" s="7" t="n"/>
      <c r="AY4" s="7" t="n"/>
      <c r="AZ4" s="7" t="inlineStr">
        <is>
          <t>Art. 589 CPC: en desalojo la demanda debe notificarse además en el predio. La Sala precisa que el apersonamiento de un codemandado «no convalida ni subsana dicha omisión».</t>
        </is>
      </c>
      <c r="BA4" s="7" t="n"/>
      <c r="BB4" s="7" t="inlineStr">
        <is>
          <t>Matriz_defectos_procesales_1ra_SV</t>
        </is>
      </c>
      <c r="BC4" s="7" t="n">
        <v>1</v>
      </c>
      <c r="BD4" s="7" t="inlineStr">
        <is>
          <t>SUMARISIMO</t>
        </is>
      </c>
      <c r="BE4" s="7" t="inlineStr">
        <is>
          <t>NULA</t>
        </is>
      </c>
      <c r="BF4" s="7" t="inlineStr">
        <is>
          <t>SN</t>
        </is>
      </c>
    </row>
    <row r="5" ht="32.25" customHeight="1">
      <c r="A5" s="6" t="n">
        <v>4</v>
      </c>
      <c r="B5" s="6" t="inlineStr">
        <is>
          <t>00129-2022</t>
        </is>
      </c>
      <c r="C5" s="6" t="inlineStr">
        <is>
          <t>00129-2022-0-0401-JR-CI-01</t>
        </is>
      </c>
      <c r="D5" s="6" t="inlineStr">
        <is>
          <t>Matriz sumarísimos — grupo 2024</t>
        </is>
      </c>
      <c r="E5" s="6" t="inlineStr">
        <is>
          <t>Desalojo por ocupación precaria</t>
        </is>
      </c>
      <c r="F5" s="6" t="inlineStr">
        <is>
          <t>2SC</t>
        </is>
      </c>
      <c r="G5" s="6" t="inlineStr">
        <is>
          <t>SV 563-2024-2SC</t>
        </is>
      </c>
      <c r="H5" s="6" t="inlineStr">
        <is>
          <t>Res. 47 (cinco-2SC)</t>
        </is>
      </c>
      <c r="I5" s="6" t="inlineStr">
        <is>
          <t>10/12/2024</t>
        </is>
      </c>
      <c r="J5" s="6" t="inlineStr">
        <is>
          <t>2024</t>
        </is>
      </c>
      <c r="K5" s="6" t="inlineStr">
        <is>
          <t>Shelah Galagarza Pérez</t>
        </is>
      </c>
      <c r="L5" s="6" t="n"/>
      <c r="M5" s="6" t="inlineStr">
        <is>
          <t>REVOCADA → IMPROCEDENTE</t>
        </is>
      </c>
      <c r="N5" s="6" t="n">
        <v>0</v>
      </c>
      <c r="O5" s="6" t="n">
        <v>0</v>
      </c>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inlineStr">
        <is>
          <t>Sin vicio procesal declarado. Pronunciamiento inhibitorio por concurrencia de dos títulos de propiedad (ff. 21 y 58, IV Pleno Casatorio).</t>
        </is>
      </c>
      <c r="BA5" s="7" t="n"/>
      <c r="BB5" s="7" t="inlineStr">
        <is>
          <t>Matriz_defectos_procesales_1ra_SV</t>
        </is>
      </c>
      <c r="BC5" s="7" t="n">
        <v>1</v>
      </c>
      <c r="BD5" s="7" t="inlineStr">
        <is>
          <t>SUMARISIMO</t>
        </is>
      </c>
      <c r="BE5" s="7" t="inlineStr">
        <is>
          <t>REVOCADA</t>
        </is>
      </c>
      <c r="BF5" s="7" t="inlineStr">
        <is>
          <t>SR</t>
        </is>
      </c>
    </row>
    <row r="6" ht="32.25" customHeight="1">
      <c r="A6" s="6" t="n">
        <v>5</v>
      </c>
      <c r="B6" s="6" t="inlineStr">
        <is>
          <t>00132-2015</t>
        </is>
      </c>
      <c r="C6" s="6" t="inlineStr">
        <is>
          <t>00132-2015</t>
        </is>
      </c>
      <c r="D6" s="6" t="inlineStr">
        <is>
          <t>Pre-2019</t>
        </is>
      </c>
      <c r="E6" s="6" t="n"/>
      <c r="F6" s="6" t="inlineStr">
        <is>
          <t>2SC</t>
        </is>
      </c>
      <c r="G6" s="6" t="inlineStr">
        <is>
          <t>SV N° 667-2018-2SC</t>
        </is>
      </c>
      <c r="H6" s="6" t="n"/>
      <c r="I6" s="6" t="inlineStr">
        <is>
          <t>27/12/2018</t>
        </is>
      </c>
      <c r="J6" s="6" t="inlineStr">
        <is>
          <t>2018</t>
        </is>
      </c>
      <c r="K6" s="6" t="n"/>
      <c r="L6" s="6" t="n"/>
      <c r="M6" s="6" t="inlineStr">
        <is>
          <t>Revocada</t>
        </is>
      </c>
      <c r="N6" s="6" t="n">
        <v>0</v>
      </c>
      <c r="O6" s="6" t="n">
        <v>0</v>
      </c>
      <c r="P6" s="7" t="n"/>
      <c r="Q6" s="7" t="n"/>
      <c r="R6" s="7" t="n"/>
      <c r="S6" s="7" t="n"/>
      <c r="T6" s="7" t="n"/>
      <c r="U6" s="7" t="n"/>
      <c r="V6" s="7" t="n"/>
      <c r="W6" s="7" t="n"/>
      <c r="X6" s="7" t="n"/>
      <c r="Y6" s="7" t="n"/>
      <c r="Z6" s="7" t="n"/>
      <c r="AA6" s="7" t="n"/>
      <c r="AB6" s="7" t="n"/>
      <c r="AC6" s="7" t="n"/>
      <c r="AD6" s="7" t="n"/>
      <c r="AE6" s="7" t="n"/>
      <c r="AF6" s="7" t="n"/>
      <c r="AG6" s="7" t="n"/>
      <c r="AH6" s="7" t="n"/>
      <c r="AI6" s="7" t="n"/>
      <c r="AJ6" s="7" t="n"/>
      <c r="AK6" s="7" t="n"/>
      <c r="AL6" s="7" t="n"/>
      <c r="AM6" s="7" t="n"/>
      <c r="AN6" s="7" t="n"/>
      <c r="AO6" s="7" t="n"/>
      <c r="AP6" s="7" t="n"/>
      <c r="AQ6" s="7" t="n"/>
      <c r="AR6" s="7" t="n"/>
      <c r="AS6" s="7" t="n"/>
      <c r="AT6" s="7" t="n"/>
      <c r="AU6" s="7" t="n"/>
      <c r="AV6" s="7" t="n"/>
      <c r="AW6" s="7" t="n"/>
      <c r="AX6" s="7" t="n"/>
      <c r="AY6" s="7" t="n"/>
      <c r="AZ6" s="7" t="n"/>
      <c r="BA6" s="7" t="n"/>
      <c r="BB6" s="7" t="inlineStr">
        <is>
          <t>Comparativa_defectos_2018_vs_2024 + Defectos_procesales_SV_CSJA</t>
        </is>
      </c>
      <c r="BC6" s="7" t="n">
        <v>2</v>
      </c>
      <c r="BD6" s="7" t="inlineStr">
        <is>
          <t>CONOCIMIENTO</t>
        </is>
      </c>
      <c r="BE6" s="7" t="inlineStr">
        <is>
          <t>REVOCADA</t>
        </is>
      </c>
      <c r="BF6" s="7" t="inlineStr">
        <is>
          <t>CR</t>
        </is>
      </c>
    </row>
    <row r="7" ht="32.25" customHeight="1">
      <c r="A7" s="6" t="n">
        <v>6</v>
      </c>
      <c r="B7" s="6" t="inlineStr">
        <is>
          <t>00153-2022</t>
        </is>
      </c>
      <c r="C7" s="6" t="inlineStr">
        <is>
          <t>00153-2022-0-0401-SP-CI-03</t>
        </is>
      </c>
      <c r="D7" s="6" t="inlineStr">
        <is>
          <t>Matriz sumarísimos — grupo 2024</t>
        </is>
      </c>
      <c r="E7" s="6" t="inlineStr">
        <is>
          <t>Revisión judicial de procedimiento de ejecución coactiva</t>
        </is>
      </c>
      <c r="F7" s="6" t="inlineStr">
        <is>
          <t>3SC</t>
        </is>
      </c>
      <c r="G7" s="6" t="inlineStr">
        <is>
          <t>SV 51-2025-3SC</t>
        </is>
      </c>
      <c r="H7" s="6" t="inlineStr">
        <is>
          <t>Res. 20 (dos)</t>
        </is>
      </c>
      <c r="I7" s="6" t="inlineStr">
        <is>
          <t>31/01/2025</t>
        </is>
      </c>
      <c r="J7" s="6" t="inlineStr">
        <is>
          <t>2025</t>
        </is>
      </c>
      <c r="K7" s="6" t="inlineStr">
        <is>
          <t>Javier Talavera Ugarte</t>
        </is>
      </c>
      <c r="L7" s="6" t="n"/>
      <c r="M7" s="6" t="inlineStr">
        <is>
          <t>REVOCADA → INFUNDADA</t>
        </is>
      </c>
      <c r="N7" s="6" t="n">
        <v>0</v>
      </c>
      <c r="O7" s="6" t="n">
        <v>0</v>
      </c>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c r="AO7" s="7" t="n"/>
      <c r="AP7" s="7" t="n"/>
      <c r="AQ7" s="7" t="n"/>
      <c r="AR7" s="7" t="n"/>
      <c r="AS7" s="7" t="n"/>
      <c r="AT7" s="7" t="n"/>
      <c r="AU7" s="7" t="n"/>
      <c r="AV7" s="7" t="n"/>
      <c r="AW7" s="7" t="n"/>
      <c r="AX7" s="7" t="n"/>
      <c r="AY7" s="7" t="n"/>
      <c r="AZ7" s="7" t="inlineStr">
        <is>
          <t>Sin vicio procesal declarado en el proceso judicial. La revocatoria se funda en error en la aplicación del régimen de notificación electrónica (art. 20.4 TUO LPAG y 6ª DCF del D. Leg. 1511).</t>
        </is>
      </c>
      <c r="BA7" s="7" t="n"/>
      <c r="BB7" s="7" t="inlineStr">
        <is>
          <t>Matriz_defectos_procesales_1ra_SV</t>
        </is>
      </c>
      <c r="BC7" s="7" t="n">
        <v>1</v>
      </c>
      <c r="BD7" s="7" t="inlineStr">
        <is>
          <t>SUMARISIMO</t>
        </is>
      </c>
      <c r="BE7" s="7" t="inlineStr">
        <is>
          <t>REVOCADA</t>
        </is>
      </c>
      <c r="BF7" s="7" t="inlineStr">
        <is>
          <t>SR</t>
        </is>
      </c>
    </row>
    <row r="8" ht="32.25" customHeight="1">
      <c r="A8" s="6" t="n">
        <v>7</v>
      </c>
      <c r="B8" s="6" t="inlineStr">
        <is>
          <t>00192-2021</t>
        </is>
      </c>
      <c r="C8" s="6" t="inlineStr">
        <is>
          <t>00192-2021</t>
        </is>
      </c>
      <c r="D8" s="6" t="inlineStr">
        <is>
          <t>2024</t>
        </is>
      </c>
      <c r="E8" s="6" t="n"/>
      <c r="F8" s="6" t="n"/>
      <c r="G8" s="6" t="inlineStr">
        <is>
          <t>SV N° 285-2026</t>
        </is>
      </c>
      <c r="H8" s="6" t="n"/>
      <c r="I8" s="6" t="inlineStr">
        <is>
          <t>04/06/2026</t>
        </is>
      </c>
      <c r="J8" s="6" t="inlineStr">
        <is>
          <t>2026</t>
        </is>
      </c>
      <c r="K8" s="6" t="n"/>
      <c r="L8" s="6" t="n"/>
      <c r="M8" s="6" t="inlineStr">
        <is>
          <t>Revocada</t>
        </is>
      </c>
      <c r="N8" s="6" t="n">
        <v>0</v>
      </c>
      <c r="O8" s="6" t="n">
        <v>0</v>
      </c>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c r="AO8" s="7" t="n"/>
      <c r="AP8" s="7" t="n"/>
      <c r="AQ8" s="7" t="n"/>
      <c r="AR8" s="7" t="n"/>
      <c r="AS8" s="7" t="n"/>
      <c r="AT8" s="7" t="n"/>
      <c r="AU8" s="7" t="n"/>
      <c r="AV8" s="7" t="n"/>
      <c r="AW8" s="7" t="n"/>
      <c r="AX8" s="7" t="n"/>
      <c r="AY8" s="7" t="n"/>
      <c r="AZ8" s="7" t="n"/>
      <c r="BA8" s="7" t="n"/>
      <c r="BB8" s="7" t="inlineStr">
        <is>
          <t>Comparativa_defectos_2018_vs_2024 + Defectos_procesales_SV_CSJA</t>
        </is>
      </c>
      <c r="BC8" s="7" t="n">
        <v>2</v>
      </c>
      <c r="BD8" s="7" t="inlineStr">
        <is>
          <t>CONOCIMIENTO</t>
        </is>
      </c>
      <c r="BE8" s="7" t="inlineStr">
        <is>
          <t>REVOCADA</t>
        </is>
      </c>
      <c r="BF8" s="7" t="inlineStr">
        <is>
          <t>CR</t>
        </is>
      </c>
    </row>
    <row r="9" ht="42.75" customHeight="1">
      <c r="A9" s="6" t="n">
        <v>8</v>
      </c>
      <c r="B9" s="6" t="inlineStr">
        <is>
          <t>00234-2018</t>
        </is>
      </c>
      <c r="C9" s="6" t="inlineStr">
        <is>
          <t>00234-2018-0-0401-JR-JC-03</t>
        </is>
      </c>
      <c r="D9" s="6" t="inlineStr">
        <is>
          <t>Matriz sumarísimos — anteriores a 2019</t>
        </is>
      </c>
      <c r="E9" s="6" t="inlineStr">
        <is>
          <t>Desalojo por ocupación precaria</t>
        </is>
      </c>
      <c r="F9" s="6" t="inlineStr">
        <is>
          <t>3SC</t>
        </is>
      </c>
      <c r="G9" s="6" t="inlineStr">
        <is>
          <t>SV 638-2019-3SC</t>
        </is>
      </c>
      <c r="H9" s="6" t="inlineStr">
        <is>
          <t>Res. 25 (seis)</t>
        </is>
      </c>
      <c r="I9" s="6" t="inlineStr">
        <is>
          <t>23/08/2019</t>
        </is>
      </c>
      <c r="J9" s="6" t="inlineStr">
        <is>
          <t>2019</t>
        </is>
      </c>
      <c r="K9" s="6" t="inlineStr">
        <is>
          <t>Zoilo Chávez Mamani</t>
        </is>
      </c>
      <c r="L9" s="6" t="n"/>
      <c r="M9" s="6" t="inlineStr">
        <is>
          <t>REVOCADA → INFUNDADA</t>
        </is>
      </c>
      <c r="N9" s="6" t="n">
        <v>0</v>
      </c>
      <c r="O9" s="6" t="n">
        <v>1</v>
      </c>
      <c r="P9" s="7" t="n"/>
      <c r="Q9" s="7" t="n"/>
      <c r="R9" s="7" t="n"/>
      <c r="S9" s="7" t="n"/>
      <c r="T9" s="7" t="n"/>
      <c r="U9" s="7" t="n"/>
      <c r="V9" s="7" t="n"/>
      <c r="W9" s="7" t="n"/>
      <c r="X9" s="7" t="n"/>
      <c r="Y9" s="7" t="n"/>
      <c r="Z9" s="7" t="n"/>
      <c r="AA9" s="7" t="n"/>
      <c r="AB9" s="7" t="n"/>
      <c r="AC9" s="7" t="n"/>
      <c r="AD9" s="7" t="n"/>
      <c r="AE9" s="7" t="n"/>
      <c r="AF9" s="7" t="n"/>
      <c r="AG9" s="7" t="n"/>
      <c r="AH9" s="10" t="inlineStr">
        <is>
          <t>ALEGADO — «Debe declararse la nulidad de la sentencia puesto que ha sido emitida sin que las resoluciones tres y catorce hayan quedado consentidas»</t>
        </is>
      </c>
      <c r="AI9" s="7" t="n"/>
      <c r="AJ9" s="7" t="n"/>
      <c r="AK9" s="7" t="n"/>
      <c r="AL9" s="7" t="n"/>
      <c r="AM9" s="7" t="n"/>
      <c r="AN9" s="7" t="n"/>
      <c r="AO9" s="7" t="n"/>
      <c r="AP9" s="7" t="inlineStr">
        <is>
          <t>Migración D20→D19</t>
        </is>
      </c>
      <c r="AQ9" s="7" t="n"/>
      <c r="AR9" s="7" t="n"/>
      <c r="AS9" s="7" t="n"/>
      <c r="AT9" s="7" t="n"/>
      <c r="AU9" s="7" t="n"/>
      <c r="AV9" s="7" t="n"/>
      <c r="AW9" s="7" t="n"/>
      <c r="AX9" s="7" t="n"/>
      <c r="AY9" s="7" t="n"/>
      <c r="AZ9" s="7" t="inlineStr">
        <is>
          <t>La Sala desestima la nulidad alegada (art. 190 in fine CPC) y revoca por el fondo: falta de comunicación indubitable de fenecimiento del comodato (IV Pleno).</t>
        </is>
      </c>
      <c r="BA9" s="7" t="n"/>
      <c r="BB9" s="7" t="inlineStr">
        <is>
          <t>Matriz_defectos_procesales_1ra_SV</t>
        </is>
      </c>
      <c r="BC9" s="7" t="n">
        <v>1</v>
      </c>
      <c r="BD9" s="7" t="inlineStr">
        <is>
          <t>SUMARISIMO</t>
        </is>
      </c>
      <c r="BE9" s="7" t="inlineStr">
        <is>
          <t>REVOCADA</t>
        </is>
      </c>
      <c r="BF9" s="7" t="inlineStr">
        <is>
          <t>SR</t>
        </is>
      </c>
    </row>
    <row r="10" ht="105.75" customHeight="1">
      <c r="A10" s="6" t="n">
        <v>9</v>
      </c>
      <c r="B10" s="6" t="inlineStr">
        <is>
          <t>00320-2023</t>
        </is>
      </c>
      <c r="C10" s="6" t="inlineStr">
        <is>
          <t>00320-2023</t>
        </is>
      </c>
      <c r="D10" s="6" t="inlineStr">
        <is>
          <t>2024</t>
        </is>
      </c>
      <c r="E10" s="6" t="n"/>
      <c r="F10" s="6" t="inlineStr">
        <is>
          <t>2SC</t>
        </is>
      </c>
      <c r="G10" s="6" t="inlineStr">
        <is>
          <t>SV N° 398-2025-2SC</t>
        </is>
      </c>
      <c r="H10" s="6" t="n"/>
      <c r="I10" s="6" t="inlineStr">
        <is>
          <t>26/08/2025</t>
        </is>
      </c>
      <c r="J10" s="6" t="inlineStr">
        <is>
          <t>2025</t>
        </is>
      </c>
      <c r="K10" s="6" t="n"/>
      <c r="L10" s="6" t="n"/>
      <c r="M10" s="6" t="inlineStr">
        <is>
          <t>Nula</t>
        </is>
      </c>
      <c r="N10" s="6" t="n">
        <v>1</v>
      </c>
      <c r="O10" s="6" t="n">
        <v>1</v>
      </c>
      <c r="P10" s="7" t="n"/>
      <c r="Q10" s="7" t="n"/>
      <c r="R10" s="7" t="n"/>
      <c r="S10" s="7" t="n"/>
      <c r="T10" s="7" t="n"/>
      <c r="U10" s="7" t="n"/>
      <c r="V10" s="7" t="n"/>
      <c r="W10" s="7" t="n"/>
      <c r="X10" s="7" t="n"/>
      <c r="Y10" s="7" t="n"/>
      <c r="Z10" s="7" t="n"/>
      <c r="AA10" s="7" t="n"/>
      <c r="AB10" s="8" t="inlineStr">
        <is>
          <t>DECLARADO — “…contractual. En ese sentido, la sentencia materia de alzada adolece de motivación insuficiente “[…] referida básicamente al mínimo de motivación exigible atendiendo a las razones de hecho o de derecho indispensables para asumir que la decisión está debidamente motivada. Si bien, como ha establecido este Tribunal, no se trata de dar…”</t>
        </is>
      </c>
      <c r="AC10" s="7" t="n"/>
      <c r="AD10" s="7" t="n"/>
      <c r="AE10" s="7" t="n"/>
      <c r="AF10" s="7" t="n"/>
      <c r="AG10" s="7" t="n"/>
      <c r="AH10" s="7" t="n"/>
      <c r="AI10" s="7" t="n"/>
      <c r="AJ10" s="7" t="n"/>
      <c r="AK10" s="7" t="n"/>
      <c r="AL10" s="7" t="n"/>
      <c r="AM10" s="7" t="n"/>
      <c r="AN10" s="7" t="n"/>
      <c r="AO10" s="7" t="n"/>
      <c r="AP10" s="7" t="n"/>
      <c r="AQ10" s="7" t="n"/>
      <c r="AR10" s="7" t="n"/>
      <c r="AS10" s="7" t="n"/>
      <c r="AT10" s="7" t="n"/>
      <c r="AU10" s="7" t="n"/>
      <c r="AV10" s="7" t="n"/>
      <c r="AW10" s="7" t="n"/>
      <c r="AX10" s="7" t="n"/>
      <c r="AY10" s="7" t="n"/>
      <c r="AZ10" s="7" t="n"/>
      <c r="BA10" s="7" t="n"/>
      <c r="BB10" s="7" t="inlineStr">
        <is>
          <t>Comparativa_defectos_2018_vs_2024 + Defectos_procesales_SV_CSJA</t>
        </is>
      </c>
      <c r="BC10" s="7" t="n">
        <v>2</v>
      </c>
      <c r="BD10" s="7" t="inlineStr">
        <is>
          <t>CONOCIMIENTO</t>
        </is>
      </c>
      <c r="BE10" s="7" t="inlineStr">
        <is>
          <t>NULA</t>
        </is>
      </c>
      <c r="BF10" s="7" t="inlineStr">
        <is>
          <t>CN</t>
        </is>
      </c>
    </row>
    <row r="11" ht="116.25" customHeight="1">
      <c r="A11" s="6" t="n">
        <v>10</v>
      </c>
      <c r="B11" s="6" t="inlineStr">
        <is>
          <t>00340-2002</t>
        </is>
      </c>
      <c r="C11" s="6" t="inlineStr">
        <is>
          <t>00340-2002</t>
        </is>
      </c>
      <c r="D11" s="6" t="inlineStr">
        <is>
          <t>Pre-2019</t>
        </is>
      </c>
      <c r="E11" s="6" t="n"/>
      <c r="F11" s="6" t="inlineStr">
        <is>
          <t>2SC</t>
        </is>
      </c>
      <c r="G11" s="6" t="inlineStr">
        <is>
          <t>SV N° 0008-2018-2SC</t>
        </is>
      </c>
      <c r="H11" s="6" t="n"/>
      <c r="I11" s="6" t="inlineStr">
        <is>
          <t>08/01/2018</t>
        </is>
      </c>
      <c r="J11" s="6" t="inlineStr">
        <is>
          <t>2018</t>
        </is>
      </c>
      <c r="K11" s="6" t="n"/>
      <c r="L11" s="6" t="n"/>
      <c r="M11" s="6" t="inlineStr">
        <is>
          <t>Nula</t>
        </is>
      </c>
      <c r="N11" s="6" t="n">
        <v>2</v>
      </c>
      <c r="O11" s="6" t="n">
        <v>2</v>
      </c>
      <c r="P11" s="7" t="n"/>
      <c r="Q11" s="8" t="inlineStr">
        <is>
          <t>DECLARADO — “…de acto jurídico se encuentra incursa además en la causal prevista por el inciso 8) del artículo 219 del Código Civil", vulnera el derecho de defensa de las partes, porque la contestación de la demanda, no se alegó la causal invocada de oficio por el señor juez; no habiéndose ofrecido, ni actuado pruebas sobre la causal formulada por el juez. c) En el décimo pr…”</t>
        </is>
      </c>
      <c r="R11" s="7" t="n"/>
      <c r="S11" s="7" t="n"/>
      <c r="T11" s="7" t="n"/>
      <c r="U11" s="7" t="n"/>
      <c r="V11" s="7" t="n"/>
      <c r="W11" s="7" t="n"/>
      <c r="X11" s="7" t="n"/>
      <c r="Y11" s="7" t="n"/>
      <c r="Z11" s="7" t="n"/>
      <c r="AA11" s="7" t="n"/>
      <c r="AB11" s="7" t="n"/>
      <c r="AC11" s="7" t="n"/>
      <c r="AD11" s="7" t="n"/>
      <c r="AE11" s="8" t="inlineStr">
        <is>
          <t>DECLARADO — “…Se ha sentenciado sobre una causal no determinada como punto controvertido materia de Probanza o thema decidendum, acarreando un estado de indefensión a las partes del proceso, pues el hecho que el A quo, comunique a las partes mediante resolución Nro. 2…”</t>
        </is>
      </c>
      <c r="AF11" s="7" t="n"/>
      <c r="AG11" s="7" t="n"/>
      <c r="AH11" s="7" t="n"/>
      <c r="AI11" s="7" t="n"/>
      <c r="AJ11" s="7" t="n"/>
      <c r="AK11" s="7" t="n"/>
      <c r="AL11" s="7" t="n"/>
      <c r="AM11" s="7" t="n"/>
      <c r="AN11" s="7" t="n"/>
      <c r="AO11" s="7" t="n"/>
      <c r="AP11" s="7" t="inlineStr">
        <is>
          <t>Migración D06→D16 · Baja D15→— · Sustitución de cita D16→D16</t>
        </is>
      </c>
      <c r="AQ11" s="7" t="n"/>
      <c r="AR11" s="7" t="n"/>
      <c r="AS11" s="7" t="n"/>
      <c r="AT11" s="7" t="n"/>
      <c r="AU11" s="7" t="n"/>
      <c r="AV11" s="7" t="n"/>
      <c r="AW11" s="7" t="n"/>
      <c r="AX11" s="7" t="n"/>
      <c r="AY11" s="7" t="n"/>
      <c r="AZ11" s="7" t="n"/>
      <c r="BA11" s="7" t="n"/>
      <c r="BB11" s="7" t="inlineStr">
        <is>
          <t>Comparativa_defectos_2018_vs_2024 + Defectos_procesales_SV_CSJA</t>
        </is>
      </c>
      <c r="BC11" s="7" t="n">
        <v>2</v>
      </c>
      <c r="BD11" s="7" t="inlineStr">
        <is>
          <t>CONOCIMIENTO</t>
        </is>
      </c>
      <c r="BE11" s="7" t="inlineStr">
        <is>
          <t>NULA</t>
        </is>
      </c>
      <c r="BF11" s="7" t="inlineStr">
        <is>
          <t>CN</t>
        </is>
      </c>
    </row>
    <row r="12" ht="32.25" customHeight="1">
      <c r="A12" s="6" t="n">
        <v>11</v>
      </c>
      <c r="B12" s="6" t="inlineStr">
        <is>
          <t>00367-2024</t>
        </is>
      </c>
      <c r="C12" s="6" t="inlineStr">
        <is>
          <t>00367-2024-0-0401-JR-CI-10</t>
        </is>
      </c>
      <c r="D12" s="6" t="inlineStr">
        <is>
          <t>Matriz sumarísimos — grupo 2024</t>
        </is>
      </c>
      <c r="E12" s="6" t="inlineStr">
        <is>
          <t>Desalojo por ocupación precaria</t>
        </is>
      </c>
      <c r="F12" s="6" t="inlineStr">
        <is>
          <t>1SC</t>
        </is>
      </c>
      <c r="G12" s="6" t="inlineStr">
        <is>
          <t>SV 338-2024-1SC</t>
        </is>
      </c>
      <c r="H12" s="6" t="inlineStr">
        <is>
          <t>Res. 12 (tres-1SC)</t>
        </is>
      </c>
      <c r="I12" s="6" t="inlineStr">
        <is>
          <t>22/07/2024</t>
        </is>
      </c>
      <c r="J12" s="6" t="inlineStr">
        <is>
          <t>2024</t>
        </is>
      </c>
      <c r="K12" s="6" t="inlineStr">
        <is>
          <t>Zoraida Julia Salas Flores</t>
        </is>
      </c>
      <c r="L12" s="6" t="n"/>
      <c r="M12" s="6" t="inlineStr">
        <is>
          <t>REVOCADA → INFUNDADA</t>
        </is>
      </c>
      <c r="N12" s="6" t="n">
        <v>0</v>
      </c>
      <c r="O12" s="6" t="n">
        <v>0</v>
      </c>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c r="AO12" s="7" t="n"/>
      <c r="AP12" s="7" t="n"/>
      <c r="AQ12" s="7" t="n"/>
      <c r="AR12" s="7" t="n"/>
      <c r="AS12" s="7" t="n"/>
      <c r="AT12" s="7" t="n"/>
      <c r="AU12" s="7" t="n"/>
      <c r="AV12" s="7" t="n"/>
      <c r="AW12" s="7" t="n"/>
      <c r="AX12" s="7" t="n"/>
      <c r="AY12" s="7" t="n"/>
      <c r="AZ12" s="7" t="inlineStr">
        <is>
          <t>Sin vicio procesal declarado respecto de la sentencia apelada. La Sala observa un error de juzgamiento en un proceso anterior (Exp. 1999-0488) ajeno a esta causa.</t>
        </is>
      </c>
      <c r="BA12" s="7" t="n"/>
      <c r="BB12" s="7" t="inlineStr">
        <is>
          <t>Matriz_defectos_procesales_1ra_SV</t>
        </is>
      </c>
      <c r="BC12" s="7" t="n">
        <v>1</v>
      </c>
      <c r="BD12" s="7" t="inlineStr">
        <is>
          <t>SUMARISIMO</t>
        </is>
      </c>
      <c r="BE12" s="7" t="inlineStr">
        <is>
          <t>REVOCADA</t>
        </is>
      </c>
      <c r="BF12" s="7" t="inlineStr">
        <is>
          <t>SR</t>
        </is>
      </c>
    </row>
    <row r="13" ht="42.75" customHeight="1">
      <c r="A13" s="6" t="n">
        <v>12</v>
      </c>
      <c r="B13" s="6" t="inlineStr">
        <is>
          <t>00414-2023</t>
        </is>
      </c>
      <c r="C13" s="6" t="inlineStr">
        <is>
          <t>00414-2023-0-0401-JR-CI-02</t>
        </is>
      </c>
      <c r="D13" s="6" t="inlineStr">
        <is>
          <t>Llamoja — SV de control (2021-2023)</t>
        </is>
      </c>
      <c r="E13" s="6" t="inlineStr">
        <is>
          <t>Enriquecimiento sin causa / indemnización</t>
        </is>
      </c>
      <c r="F13" s="6" t="inlineStr">
        <is>
          <t>3SC</t>
        </is>
      </c>
      <c r="G13" s="6" t="inlineStr">
        <is>
          <t>178-2025-3SC</t>
        </is>
      </c>
      <c r="H13" s="6" t="inlineStr">
        <is>
          <t>18</t>
        </is>
      </c>
      <c r="I13" s="6" t="inlineStr">
        <is>
          <t>dos mil veinticinco, Mayo veintiuno</t>
        </is>
      </c>
      <c r="J13" s="6" t="inlineStr">
        <is>
          <t>2025</t>
        </is>
      </c>
      <c r="K13" s="6" t="n"/>
      <c r="L13" s="6" t="inlineStr">
        <is>
          <t>Burga Cervantes</t>
        </is>
      </c>
      <c r="M13" s="6" t="inlineStr">
        <is>
          <t>NULA</t>
        </is>
      </c>
      <c r="N13" s="6" t="n">
        <v>2</v>
      </c>
      <c r="O13" s="6" t="n">
        <v>2</v>
      </c>
      <c r="P13" s="7" t="n"/>
      <c r="Q13" s="7" t="n"/>
      <c r="R13" s="7" t="n"/>
      <c r="S13" s="7" t="n"/>
      <c r="T13" s="7" t="n"/>
      <c r="U13" s="7" t="n"/>
      <c r="V13" s="7" t="n"/>
      <c r="W13" s="7" t="n"/>
      <c r="X13" s="7" t="n"/>
      <c r="Y13" s="7" t="n"/>
      <c r="Z13" s="7" t="n"/>
      <c r="AA13" s="7" t="n"/>
      <c r="AB13" s="8" t="inlineStr">
        <is>
          <t>DECLARADO — (evidencia en las columnas «Cita textual 1–3» de esta misma fila)</t>
        </is>
      </c>
      <c r="AC13" s="7" t="n"/>
      <c r="AD13" s="7" t="n"/>
      <c r="AE13" s="8" t="inlineStr">
        <is>
          <t>DECLARADO — (evidencia en las columnas «Cita textual 1–3» de esta misma fila)</t>
        </is>
      </c>
      <c r="AF13" s="7" t="n"/>
      <c r="AG13" s="7" t="n"/>
      <c r="AH13" s="7" t="n"/>
      <c r="AI13" s="7" t="n"/>
      <c r="AJ13" s="7" t="n"/>
      <c r="AK13" s="7" t="n"/>
      <c r="AL13" s="7" t="n"/>
      <c r="AM13" s="7" t="n"/>
      <c r="AN13" s="7" t="n"/>
      <c r="AO13" s="7" t="n"/>
      <c r="AP13" s="7" t="n"/>
      <c r="AQ13" s="7" t="inlineStr">
        <is>
          <t>d) Motivación insuficiente</t>
        </is>
      </c>
      <c r="AR13" s="7" t="inlineStr">
        <is>
          <t>e) Motivación sustancialmente incongruente</t>
        </is>
      </c>
      <c r="AS13" s="7" t="inlineStr">
        <is>
          <t>No</t>
        </is>
      </c>
      <c r="AT13" s="7" t="inlineStr">
        <is>
          <t>«El juez no ha motivado su resolución, por lo que esta adolece de debida motivación, por no haberse pronunciado sobre todos los hechos controvertidos y justificar objetivamente las razones de su decisión.»</t>
        </is>
      </c>
      <c r="AU13" s="7" t="inlineStr">
        <is>
          <t>d)/e): no se pronuncia sobre todos los hechos controvertidos</t>
        </is>
      </c>
      <c r="AV13" s="7" t="inlineStr">
        <is>
          <t>«En consecuencia, la sentencia apelada no se encuentra conforme a derecho y debe ser declarada nula, para que el juzgado A quo emita pronunciamiento de fondo sobre la pretensión incoada por la parte demandante.»</t>
        </is>
      </c>
      <c r="AW13" s="7" t="inlineStr">
        <is>
          <t>Efecto: nulidad y pronunciamiento de fondo</t>
        </is>
      </c>
      <c r="AX13" s="7" t="n"/>
      <c r="AY13" s="7" t="n"/>
      <c r="AZ13" s="7" t="inlineStr">
        <is>
          <t>'No haberse pronunciado sobre todos los hechos controvertidos y justificar objetivamente las razones'. Improcedencia declarada en sentencia; ordena pronunciamiento de fondo.</t>
        </is>
      </c>
      <c r="BA13" s="7" t="inlineStr">
        <is>
          <t>414 2023 SV.doc</t>
        </is>
      </c>
      <c r="BB13" s="7" t="inlineStr">
        <is>
          <t>Clasificacion_SV_ABR24_Llamoja_defectos</t>
        </is>
      </c>
      <c r="BC13" s="7" t="n">
        <v>1</v>
      </c>
      <c r="BD13" s="7" t="inlineStr">
        <is>
          <t>ABREVIADO</t>
        </is>
      </c>
      <c r="BE13" s="7" t="inlineStr">
        <is>
          <t>NULA</t>
        </is>
      </c>
      <c r="BF13" s="7" t="inlineStr">
        <is>
          <t>AN</t>
        </is>
      </c>
    </row>
    <row r="14" ht="63.75" customHeight="1">
      <c r="A14" s="6" t="n">
        <v>13</v>
      </c>
      <c r="B14" s="6" t="inlineStr">
        <is>
          <t>00428-2017</t>
        </is>
      </c>
      <c r="C14" s="6" t="inlineStr">
        <is>
          <t>00428-2017-0-0401-JP-CI-02</t>
        </is>
      </c>
      <c r="D14" s="6" t="inlineStr">
        <is>
          <t>Matriz sumarísimos — anteriores a 2019</t>
        </is>
      </c>
      <c r="E14" s="6" t="inlineStr">
        <is>
          <t>Desalojo por ocupación precaria</t>
        </is>
      </c>
      <c r="F14" s="6" t="inlineStr">
        <is>
          <t>2SC</t>
        </is>
      </c>
      <c r="G14" s="6" t="inlineStr">
        <is>
          <t>SV 033-2020-2SC</t>
        </is>
      </c>
      <c r="H14" s="6" t="inlineStr">
        <is>
          <t>Res. 23 (cinco-2SC)</t>
        </is>
      </c>
      <c r="I14" s="6" t="inlineStr">
        <is>
          <t>17/01/2020</t>
        </is>
      </c>
      <c r="J14" s="6" t="inlineStr">
        <is>
          <t>2020</t>
        </is>
      </c>
      <c r="K14" s="6" t="inlineStr">
        <is>
          <t>Carlos Polanco Gutiérrez</t>
        </is>
      </c>
      <c r="L14" s="6" t="n"/>
      <c r="M14" s="6" t="inlineStr">
        <is>
          <t>REVOCADA → FUNDADA</t>
        </is>
      </c>
      <c r="N14" s="6" t="n">
        <v>0</v>
      </c>
      <c r="O14" s="6" t="n">
        <v>2</v>
      </c>
      <c r="P14" s="7" t="n"/>
      <c r="Q14" s="7" t="n"/>
      <c r="R14" s="7" t="n"/>
      <c r="S14" s="7" t="n"/>
      <c r="T14" s="7" t="n"/>
      <c r="U14" s="7" t="n"/>
      <c r="V14" s="7" t="n"/>
      <c r="W14" s="7" t="n"/>
      <c r="X14" s="7" t="n"/>
      <c r="Y14" s="7" t="n"/>
      <c r="Z14" s="7" t="n"/>
      <c r="AA14" s="7" t="n"/>
      <c r="AB14" s="9" t="inlineStr">
        <is>
          <t>ADVERTIDO — «el juez tampoco ha cumplido con exponer razones o motivos propios por los cuales considera que en el caso en concreto se debe considerar el vínculo familiar de conviviente como título para poseer»</t>
        </is>
      </c>
      <c r="AC14" s="7" t="n"/>
      <c r="AD14" s="7" t="n"/>
      <c r="AE14" s="7" t="n"/>
      <c r="AF14" s="7" t="n"/>
      <c r="AG14" s="7" t="n"/>
      <c r="AH14" s="7" t="n"/>
      <c r="AI14" s="7" t="n"/>
      <c r="AJ14" s="9" t="inlineStr">
        <is>
          <t>ADVERTIDO — «lo que evidencia que la sentencia tiene una motivación defectuosa, lo cual afecta la validez la recurrida ya que se ha vulnerado el derecho del demandante a una resolución debidamente motivada»</t>
        </is>
      </c>
      <c r="AK14" s="7" t="n"/>
      <c r="AL14" s="7" t="n"/>
      <c r="AM14" s="7" t="n"/>
      <c r="AN14" s="7" t="n"/>
      <c r="AO14" s="7" t="n"/>
      <c r="AP14" s="7" t="inlineStr">
        <is>
          <t>Migración D15→D21 · Reclasificación de estatus —→ADV</t>
        </is>
      </c>
      <c r="AQ14" s="7" t="n"/>
      <c r="AR14" s="7" t="n"/>
      <c r="AS14" s="7" t="n"/>
      <c r="AT14" s="7" t="n"/>
      <c r="AU14" s="7" t="n"/>
      <c r="AV14" s="7" t="n"/>
      <c r="AW14" s="7" t="n"/>
      <c r="AX14" s="7" t="n"/>
      <c r="AY14" s="7" t="n"/>
      <c r="AZ14" s="7" t="inlineStr">
        <is>
          <t>Uso de casaciones sobre supuestos fácticos distintos («su aplicación en autos es equivocada ya que no se tratan de supuestos similares»). Pese al vicio, la Sala revoca y falla el fondo (rebeldía de la demandada).</t>
        </is>
      </c>
      <c r="BA14" s="7" t="n"/>
      <c r="BB14" s="7" t="inlineStr">
        <is>
          <t>Matriz_defectos_procesales_1ra_SV</t>
        </is>
      </c>
      <c r="BC14" s="7" t="n">
        <v>1</v>
      </c>
      <c r="BD14" s="7" t="inlineStr">
        <is>
          <t>SUMARISIMO</t>
        </is>
      </c>
      <c r="BE14" s="7" t="inlineStr">
        <is>
          <t>REVOCADA</t>
        </is>
      </c>
      <c r="BF14" s="7" t="inlineStr">
        <is>
          <t>SR</t>
        </is>
      </c>
    </row>
    <row r="15" ht="116.25" customHeight="1">
      <c r="A15" s="6" t="n">
        <v>14</v>
      </c>
      <c r="B15" s="6" t="inlineStr">
        <is>
          <t>00598-2022</t>
        </is>
      </c>
      <c r="C15" s="6" t="inlineStr">
        <is>
          <t>00598-2022</t>
        </is>
      </c>
      <c r="D15" s="6" t="inlineStr">
        <is>
          <t>2024</t>
        </is>
      </c>
      <c r="E15" s="6" t="n"/>
      <c r="F15" s="6" t="inlineStr">
        <is>
          <t>3SC</t>
        </is>
      </c>
      <c r="G15" s="6" t="inlineStr">
        <is>
          <t>SV N° 256-2025-3SC</t>
        </is>
      </c>
      <c r="H15" s="6" t="n"/>
      <c r="I15" s="6" t="inlineStr">
        <is>
          <t>20/06/2025</t>
        </is>
      </c>
      <c r="J15" s="6" t="inlineStr">
        <is>
          <t>2025</t>
        </is>
      </c>
      <c r="K15" s="6" t="n"/>
      <c r="L15" s="6" t="n"/>
      <c r="M15" s="6" t="inlineStr">
        <is>
          <t>Nula</t>
        </is>
      </c>
      <c r="N15" s="6" t="n">
        <v>2</v>
      </c>
      <c r="O15" s="6" t="n">
        <v>2</v>
      </c>
      <c r="P15" s="7" t="n"/>
      <c r="Q15" s="7" t="n"/>
      <c r="R15" s="7" t="n"/>
      <c r="S15" s="7" t="n"/>
      <c r="T15" s="7" t="n"/>
      <c r="U15" s="7" t="n"/>
      <c r="V15" s="7" t="n"/>
      <c r="W15" s="7" t="n"/>
      <c r="X15" s="7" t="n"/>
      <c r="Y15" s="7" t="n"/>
      <c r="Z15" s="7" t="n"/>
      <c r="AA15" s="8" t="inlineStr">
        <is>
          <t>DECLARADO — “…denotarían la supuesta existencia de irregularidades en la partida de nacimiento de la demandante, de carácter formal, no habiendo valorado el contexto en el que se expide la partida de nacimiento y otras que han sido desarrolladas en la presente resolución; por lo que corresponde declarar nula la sentencia venida en grado, disponiendo que el Juez de origen emita un nuevo p…”</t>
        </is>
      </c>
      <c r="AB15" s="8" t="inlineStr">
        <is>
          <t>DECLARADO — “…vierte que el Juez de primera instancia no ha realizado un análisis suficiente de lo actuado en autos, habiéndose centrado en las cuestiones que denotarían la supuesta existencia de irregularidades en la partida de nacimiento de la demandante, de carácter formal, no habiendo valorado el contexto en e…”</t>
        </is>
      </c>
      <c r="AC15" s="7" t="n"/>
      <c r="AD15" s="7" t="n"/>
      <c r="AE15" s="7" t="n"/>
      <c r="AF15" s="7" t="n"/>
      <c r="AG15" s="7" t="n"/>
      <c r="AH15" s="7" t="n"/>
      <c r="AI15" s="7" t="n"/>
      <c r="AJ15" s="7" t="n"/>
      <c r="AK15" s="7" t="n"/>
      <c r="AL15" s="7" t="n"/>
      <c r="AM15" s="7" t="n"/>
      <c r="AN15" s="7" t="n"/>
      <c r="AO15" s="7" t="n"/>
      <c r="AP15" s="7" t="n"/>
      <c r="AQ15" s="7" t="n"/>
      <c r="AR15" s="7" t="n"/>
      <c r="AS15" s="7" t="n"/>
      <c r="AT15" s="7" t="n"/>
      <c r="AU15" s="7" t="n"/>
      <c r="AV15" s="7" t="n"/>
      <c r="AW15" s="7" t="n"/>
      <c r="AX15" s="7" t="n"/>
      <c r="AY15" s="7" t="n"/>
      <c r="AZ15" s="7" t="n"/>
      <c r="BA15" s="7" t="n"/>
      <c r="BB15" s="7" t="inlineStr">
        <is>
          <t>Comparativa_defectos_2018_vs_2024 + Defectos_procesales_SV_CSJA</t>
        </is>
      </c>
      <c r="BC15" s="7" t="n">
        <v>2</v>
      </c>
      <c r="BD15" s="7" t="inlineStr">
        <is>
          <t>CONOCIMIENTO</t>
        </is>
      </c>
      <c r="BE15" s="7" t="inlineStr">
        <is>
          <t>NULA</t>
        </is>
      </c>
      <c r="BF15" s="7" t="inlineStr">
        <is>
          <t>CN</t>
        </is>
      </c>
    </row>
    <row r="16" ht="84.75" customHeight="1">
      <c r="A16" s="6" t="n">
        <v>15</v>
      </c>
      <c r="B16" s="6" t="inlineStr">
        <is>
          <t>00646-2024</t>
        </is>
      </c>
      <c r="C16" s="6" t="inlineStr">
        <is>
          <t>00646-2024-0-0401-JR-CI-01</t>
        </is>
      </c>
      <c r="D16" s="6" t="inlineStr">
        <is>
          <t>Matriz sumarísimos — grupo 2024</t>
        </is>
      </c>
      <c r="E16" s="6" t="inlineStr">
        <is>
          <t>Desalojo por ocupación precaria</t>
        </is>
      </c>
      <c r="F16" s="6" t="inlineStr">
        <is>
          <t>2SC</t>
        </is>
      </c>
      <c r="G16" s="6" t="inlineStr">
        <is>
          <t>SV 240-2025-2SC</t>
        </is>
      </c>
      <c r="H16" s="6" t="inlineStr">
        <is>
          <t>Res. 21 (tres-2SC)</t>
        </is>
      </c>
      <c r="I16" s="6" t="inlineStr">
        <is>
          <t>23/05/2025</t>
        </is>
      </c>
      <c r="J16" s="6" t="inlineStr">
        <is>
          <t>2025</t>
        </is>
      </c>
      <c r="K16" s="6" t="inlineStr">
        <is>
          <t>Shelah Galagarza Pérez</t>
        </is>
      </c>
      <c r="L16" s="6" t="n"/>
      <c r="M16" s="6" t="inlineStr">
        <is>
          <t>NULA (reenvío)</t>
        </is>
      </c>
      <c r="N16" s="6" t="n">
        <v>3</v>
      </c>
      <c r="O16" s="6" t="n">
        <v>3</v>
      </c>
      <c r="P16" s="7" t="n"/>
      <c r="Q16" s="7" t="n"/>
      <c r="R16" s="7" t="n"/>
      <c r="S16" s="7" t="n"/>
      <c r="T16" s="7" t="n"/>
      <c r="U16" s="7" t="n"/>
      <c r="V16" s="7" t="n"/>
      <c r="W16" s="7" t="n"/>
      <c r="X16" s="7" t="n"/>
      <c r="Y16" s="7" t="n"/>
      <c r="Z16" s="7" t="n"/>
      <c r="AA16" s="8" t="inlineStr">
        <is>
          <t>DECLARADO — «No ha tomado en cuenta que, a la parte demandada le corresponde desvirtuar la condición de precario que se le imputa, todo ello en virtud del principio de reversión de la carga de la prueba, contemplada por el artículo 196 del Código Procesal Civil»</t>
        </is>
      </c>
      <c r="AB16" s="7" t="n"/>
      <c r="AC16" s="7" t="n"/>
      <c r="AD16" s="7" t="n"/>
      <c r="AE16" s="8" t="inlineStr">
        <is>
          <t>DECLARADO — «si bien el A quo se ha pronunciado sobre la codemandada Ana María Meneses Portugal; sin embargo, ha omitido pronunciarse sobre la condición de poseedores precarios que se imputa a los codemandados Walter Cisneros Meneses, Dalia Cisneros Meneses»</t>
        </is>
      </c>
      <c r="AF16" s="7" t="n"/>
      <c r="AG16" s="7" t="n"/>
      <c r="AH16" s="7" t="n"/>
      <c r="AI16" s="7" t="n"/>
      <c r="AJ16" s="7" t="n"/>
      <c r="AK16" s="7" t="n"/>
      <c r="AL16" s="8" t="inlineStr">
        <is>
          <t>DECLARADO — «se tiene que se ha vulnerado el inciso 5º del artículo 139 de nuestra constitución»</t>
        </is>
      </c>
      <c r="AM16" s="7" t="n"/>
      <c r="AN16" s="7" t="n"/>
      <c r="AO16" s="7" t="n"/>
      <c r="AP16" s="7" t="inlineStr">
        <is>
          <t>Baja D11→— · Migración D13→D23</t>
        </is>
      </c>
      <c r="AQ16" s="7" t="n"/>
      <c r="AR16" s="7" t="n"/>
      <c r="AS16" s="7" t="n"/>
      <c r="AT16" s="7" t="n"/>
      <c r="AU16" s="7" t="n"/>
      <c r="AV16" s="7" t="n"/>
      <c r="AW16" s="7" t="n"/>
      <c r="AX16" s="7" t="n"/>
      <c r="AY16" s="7" t="n"/>
      <c r="AZ16" s="7" t="inlineStr">
        <is>
          <t>Incongruencia omisiva respecto de dos codemandados declarados rebeldes e inversión indebida de la carga de la prueba.</t>
        </is>
      </c>
      <c r="BA16" s="7" t="n"/>
      <c r="BB16" s="7" t="inlineStr">
        <is>
          <t>Matriz_defectos_procesales_1ra_SV</t>
        </is>
      </c>
      <c r="BC16" s="7" t="n">
        <v>1</v>
      </c>
      <c r="BD16" s="7" t="inlineStr">
        <is>
          <t>SUMARISIMO</t>
        </is>
      </c>
      <c r="BE16" s="7" t="inlineStr">
        <is>
          <t>NULA</t>
        </is>
      </c>
      <c r="BF16" s="7" t="inlineStr">
        <is>
          <t>SN</t>
        </is>
      </c>
    </row>
    <row r="17" ht="42.75" customHeight="1">
      <c r="A17" s="6" t="n">
        <v>16</v>
      </c>
      <c r="B17" s="6" t="inlineStr">
        <is>
          <t>00661-2023</t>
        </is>
      </c>
      <c r="C17" s="6" t="inlineStr">
        <is>
          <t>00661-2023-0-0401-JP-CI-06</t>
        </is>
      </c>
      <c r="D17" s="6" t="inlineStr">
        <is>
          <t>Matriz sumarísimos — grupo 2024</t>
        </is>
      </c>
      <c r="E17" s="6" t="inlineStr">
        <is>
          <t>Obligación de dar suma de dinero</t>
        </is>
      </c>
      <c r="F17" s="6" t="inlineStr">
        <is>
          <t>2SC</t>
        </is>
      </c>
      <c r="G17" s="6" t="inlineStr">
        <is>
          <t>SV 302-2025-2SC</t>
        </is>
      </c>
      <c r="H17" s="6" t="inlineStr">
        <is>
          <t>Res. 18 (cuatro-2SC)</t>
        </is>
      </c>
      <c r="I17" s="6" t="inlineStr">
        <is>
          <t>27/06/2025</t>
        </is>
      </c>
      <c r="J17" s="6" t="inlineStr">
        <is>
          <t>2025</t>
        </is>
      </c>
      <c r="K17" s="6" t="inlineStr">
        <is>
          <t>Edgard Pineda Gamarra</t>
        </is>
      </c>
      <c r="L17" s="6" t="n"/>
      <c r="M17" s="6" t="inlineStr">
        <is>
          <t>NULA (reenvío)</t>
        </is>
      </c>
      <c r="N17" s="6" t="n">
        <v>2</v>
      </c>
      <c r="O17" s="6" t="n">
        <v>2</v>
      </c>
      <c r="P17" s="7" t="n"/>
      <c r="Q17" s="7" t="n"/>
      <c r="R17" s="7" t="n"/>
      <c r="S17" s="7" t="n"/>
      <c r="T17" s="7" t="n"/>
      <c r="U17" s="7" t="n"/>
      <c r="V17" s="7" t="n"/>
      <c r="W17" s="7" t="n"/>
      <c r="X17" s="7" t="n"/>
      <c r="Y17" s="7" t="n"/>
      <c r="Z17" s="7" t="n"/>
      <c r="AA17" s="8" t="inlineStr">
        <is>
          <t>DECLARADO — «se evidencia que el juzgador no ha efectuado una debida valoración de los medios probatorios y actuados obrantes en el caso de autos»</t>
        </is>
      </c>
      <c r="AB17" s="8" t="inlineStr">
        <is>
          <t>DECLARADO — «incurriéndose en vicio procesal por motivación insuficiente para la dilucidación de los hechos materia de litis»</t>
        </is>
      </c>
      <c r="AC17" s="7" t="n"/>
      <c r="AD17" s="7" t="n"/>
      <c r="AE17" s="7" t="n"/>
      <c r="AF17" s="7" t="n"/>
      <c r="AG17" s="7" t="n"/>
      <c r="AH17" s="7" t="n"/>
      <c r="AI17" s="7" t="n"/>
      <c r="AJ17" s="7" t="n"/>
      <c r="AK17" s="7" t="n"/>
      <c r="AL17" s="7" t="n"/>
      <c r="AM17" s="7" t="n"/>
      <c r="AN17" s="7" t="n"/>
      <c r="AO17" s="7" t="n"/>
      <c r="AP17" s="7" t="inlineStr">
        <is>
          <t>Baja D11→—</t>
        </is>
      </c>
      <c r="AQ17" s="7" t="n"/>
      <c r="AR17" s="7" t="n"/>
      <c r="AS17" s="7" t="n"/>
      <c r="AT17" s="7" t="n"/>
      <c r="AU17" s="7" t="n"/>
      <c r="AV17" s="7" t="n"/>
      <c r="AW17" s="7" t="n"/>
      <c r="AX17" s="7" t="n"/>
      <c r="AY17" s="7" t="n"/>
      <c r="AZ17" s="7" t="inlineStr">
        <is>
          <t>La rebeldía (art. 461 CPC) no exime del análisis; la Sala recuerda la facultad de prueba de oficio (art. 194 CPC).</t>
        </is>
      </c>
      <c r="BA17" s="7" t="n"/>
      <c r="BB17" s="7" t="inlineStr">
        <is>
          <t>Matriz_defectos_procesales_1ra_SV</t>
        </is>
      </c>
      <c r="BC17" s="7" t="n">
        <v>1</v>
      </c>
      <c r="BD17" s="7" t="inlineStr">
        <is>
          <t>SUMARISIMO</t>
        </is>
      </c>
      <c r="BE17" s="7" t="inlineStr">
        <is>
          <t>NULA</t>
        </is>
      </c>
      <c r="BF17" s="7" t="inlineStr">
        <is>
          <t>SN</t>
        </is>
      </c>
    </row>
    <row r="18" ht="116.25" customHeight="1">
      <c r="A18" s="6" t="n">
        <v>17</v>
      </c>
      <c r="B18" s="6" t="inlineStr">
        <is>
          <t>00742-2022</t>
        </is>
      </c>
      <c r="C18" s="6" t="inlineStr">
        <is>
          <t>00742-2022</t>
        </is>
      </c>
      <c r="D18" s="6" t="inlineStr">
        <is>
          <t>2024</t>
        </is>
      </c>
      <c r="E18" s="6" t="n"/>
      <c r="F18" s="6" t="n"/>
      <c r="G18" s="6" t="inlineStr">
        <is>
          <t>SV N° 196-2025</t>
        </is>
      </c>
      <c r="H18" s="6" t="n"/>
      <c r="I18" s="6" t="inlineStr">
        <is>
          <t>16/05/2025</t>
        </is>
      </c>
      <c r="J18" s="6" t="inlineStr">
        <is>
          <t>2025</t>
        </is>
      </c>
      <c r="K18" s="6" t="n"/>
      <c r="L18" s="6" t="n"/>
      <c r="M18" s="6" t="inlineStr">
        <is>
          <t>Otro</t>
        </is>
      </c>
      <c r="N18" s="6" t="n">
        <v>4</v>
      </c>
      <c r="O18" s="6" t="n">
        <v>4</v>
      </c>
      <c r="P18" s="7" t="n"/>
      <c r="Q18" s="8" t="inlineStr">
        <is>
          <t>DECLARADO — “…ste proceder habría resultado legítimo en la medida de que, el juez de primera instancia hubiese promovido un debido contradictorio respecto de esta causal de nulidad de acto jurídico no invocada. Una forma de verificar que no se promovió el contradictorio respecto de esta causal de nulidad, es analizar los pu…”</t>
        </is>
      </c>
      <c r="R18" s="7" t="n"/>
      <c r="S18" s="8" t="inlineStr">
        <is>
          <t>DECLARADO — “…udible no resaltar que en la página quince de la sentencia, el juez ha incurrido en un gravísimo error al aceptar como ciertos los argumentos expuestos en la contestación del demandado Andrés Saya Alarcón, que en la presente causa ostenta la posición de rebelde y la cual fue expresamente declarada improcedente en la resolución N.° 7 del mismo despacho. Este h…”</t>
        </is>
      </c>
      <c r="T18" s="7" t="n"/>
      <c r="U18" s="7" t="n"/>
      <c r="V18" s="7" t="n"/>
      <c r="W18" s="7" t="n"/>
      <c r="X18" s="7" t="n"/>
      <c r="Y18" s="7" t="n"/>
      <c r="Z18" s="8" t="inlineStr">
        <is>
          <t>DECLARADO — “…La falta de valoración de pruebas clave que demuestran la titularidad de William Canazas Carta genera un claro desbalance en el proceso, al ignorar evidencias que podrían haber conducido a un resultado judicial diferente. p) La jurisprudencia establece que el…”</t>
        </is>
      </c>
      <c r="AA18" s="7" t="n"/>
      <c r="AB18" s="7" t="n"/>
      <c r="AC18" s="7" t="n"/>
      <c r="AD18" s="7" t="n"/>
      <c r="AE18" s="8" t="inlineStr">
        <is>
          <t>DECLARADO — “…urídico no invocada. Una forma de verificar que no se promovió el contradictorio respecto de esta causal de nulidad, es analizar los puntos controvertidos (fojas cuatrocientos setenta y seis), en donde se advierte que ninguno de estos plantea la controversia de la causal de imposibilidad jurídica por el objeto. Es evidente que haber omitido establecer esta causal (imposib…”</t>
        </is>
      </c>
      <c r="AF18" s="7" t="n"/>
      <c r="AG18" s="7" t="n"/>
      <c r="AH18" s="7" t="n"/>
      <c r="AI18" s="7" t="n"/>
      <c r="AJ18" s="7" t="n"/>
      <c r="AK18" s="7" t="n"/>
      <c r="AL18" s="7" t="n"/>
      <c r="AM18" s="7" t="n"/>
      <c r="AN18" s="7" t="n"/>
      <c r="AO18" s="7" t="n"/>
      <c r="AP18" s="7" t="inlineStr">
        <is>
          <t>Migración D10→D02 · Migración D06→D16 · Sustitución de cita D16→D16</t>
        </is>
      </c>
      <c r="AQ18" s="7" t="n"/>
      <c r="AR18" s="7" t="n"/>
      <c r="AS18" s="7" t="n"/>
      <c r="AT18" s="7" t="n"/>
      <c r="AU18" s="7" t="n"/>
      <c r="AV18" s="7" t="n"/>
      <c r="AW18" s="7" t="n"/>
      <c r="AX18" s="7" t="n"/>
      <c r="AY18" s="7" t="n"/>
      <c r="AZ18" s="7" t="n"/>
      <c r="BA18" s="7" t="n"/>
      <c r="BB18" s="7" t="inlineStr">
        <is>
          <t>Comparativa_defectos_2018_vs_2024 + Defectos_procesales_SV_CSJA</t>
        </is>
      </c>
      <c r="BC18" s="7" t="n">
        <v>2</v>
      </c>
      <c r="BD18" s="7" t="inlineStr">
        <is>
          <t>CONOCIMIENTO</t>
        </is>
      </c>
      <c r="BE18" s="7" t="inlineStr">
        <is>
          <t>OTRO</t>
        </is>
      </c>
      <c r="BF18" s="7" t="inlineStr">
        <is>
          <t>CO</t>
        </is>
      </c>
    </row>
    <row r="19" ht="126.75" customHeight="1">
      <c r="A19" s="6" t="n">
        <v>18</v>
      </c>
      <c r="B19" s="6" t="inlineStr">
        <is>
          <t>00748-2013</t>
        </is>
      </c>
      <c r="C19" s="6" t="inlineStr">
        <is>
          <t>00748-2013</t>
        </is>
      </c>
      <c r="D19" s="6" t="inlineStr">
        <is>
          <t>Pre-2019</t>
        </is>
      </c>
      <c r="E19" s="6" t="n"/>
      <c r="F19" s="6" t="inlineStr">
        <is>
          <t>2SC</t>
        </is>
      </c>
      <c r="G19" s="6" t="inlineStr">
        <is>
          <t>SV N° 674-2018-2SC</t>
        </is>
      </c>
      <c r="H19" s="6" t="n"/>
      <c r="I19" s="6" t="inlineStr">
        <is>
          <t>28/12/2018</t>
        </is>
      </c>
      <c r="J19" s="6" t="inlineStr">
        <is>
          <t>2018</t>
        </is>
      </c>
      <c r="K19" s="6" t="n"/>
      <c r="L19" s="6" t="n"/>
      <c r="M19" s="6" t="inlineStr">
        <is>
          <t>Nula</t>
        </is>
      </c>
      <c r="N19" s="6" t="n">
        <v>1</v>
      </c>
      <c r="O19" s="6" t="n">
        <v>1</v>
      </c>
      <c r="P19" s="7" t="n"/>
      <c r="Q19" s="7" t="n"/>
      <c r="R19" s="7" t="n"/>
      <c r="S19" s="7" t="n"/>
      <c r="T19" s="7" t="n"/>
      <c r="U19" s="7" t="n"/>
      <c r="V19" s="7" t="n"/>
      <c r="W19" s="7" t="n"/>
      <c r="X19" s="7" t="n"/>
      <c r="Y19" s="7" t="n"/>
      <c r="Z19" s="7" t="n"/>
      <c r="AA19" s="7" t="n"/>
      <c r="AB19" s="7" t="n"/>
      <c r="AC19" s="7" t="n"/>
      <c r="AD19" s="8" t="inlineStr">
        <is>
          <t>DECLARADO — “…azonamiento conforme al Tribunal Constitucional. En conclusión, en mérito a lo expuesto precedentemente se concluye que la sentencia recurrida no se encuentra debidamente motivada contraviniendo de esta manera no sólo lo establecido en el inciso 3) del artículo 122 del Código Procesal Civil, sino también lo dispuesto en el inciso 5) del artículo 139 de nuestra Constitución Política, por lo que co…”</t>
        </is>
      </c>
      <c r="AE19" s="7" t="n"/>
      <c r="AF19" s="7" t="n"/>
      <c r="AG19" s="7" t="n"/>
      <c r="AH19" s="7" t="n"/>
      <c r="AI19" s="7" t="n"/>
      <c r="AJ19" s="7" t="n"/>
      <c r="AK19" s="7" t="n"/>
      <c r="AL19" s="7" t="n"/>
      <c r="AM19" s="7" t="n"/>
      <c r="AN19" s="7" t="n"/>
      <c r="AO19" s="7" t="inlineStr">
        <is>
          <t>Cita truncada al inicio: verificar en el original si el Colegiado califica el vicio como falta de motivación interna o emplea una fórmula genérica.</t>
        </is>
      </c>
      <c r="AP19" s="7" t="n"/>
      <c r="AQ19" s="7" t="n"/>
      <c r="AR19" s="7" t="n"/>
      <c r="AS19" s="7" t="n"/>
      <c r="AT19" s="7" t="n"/>
      <c r="AU19" s="7" t="n"/>
      <c r="AV19" s="7" t="n"/>
      <c r="AW19" s="7" t="n"/>
      <c r="AX19" s="7" t="n"/>
      <c r="AY19" s="7" t="n"/>
      <c r="AZ19" s="7" t="n"/>
      <c r="BA19" s="7" t="n"/>
      <c r="BB19" s="7" t="inlineStr">
        <is>
          <t>Comparativa_defectos_2018_vs_2024 + Defectos_procesales_SV_CSJA</t>
        </is>
      </c>
      <c r="BC19" s="7" t="n">
        <v>2</v>
      </c>
      <c r="BD19" s="7" t="inlineStr">
        <is>
          <t>CONOCIMIENTO</t>
        </is>
      </c>
      <c r="BE19" s="7" t="inlineStr">
        <is>
          <t>NULA</t>
        </is>
      </c>
      <c r="BF19" s="7" t="inlineStr">
        <is>
          <t>CN</t>
        </is>
      </c>
    </row>
    <row r="20" ht="116.25" customHeight="1">
      <c r="A20" s="6" t="n">
        <v>19</v>
      </c>
      <c r="B20" s="6" t="inlineStr">
        <is>
          <t>00760-2021</t>
        </is>
      </c>
      <c r="C20" s="6" t="inlineStr">
        <is>
          <t>00760-2021-0-0401-JP-CI-07</t>
        </is>
      </c>
      <c r="D20" s="6" t="inlineStr">
        <is>
          <t>Llamoja — SV de control (2021-2023)</t>
        </is>
      </c>
      <c r="E20" s="6" t="inlineStr">
        <is>
          <t>Obligación de dar suma de dinero</t>
        </is>
      </c>
      <c r="F20" s="6" t="inlineStr">
        <is>
          <t>3SC</t>
        </is>
      </c>
      <c r="G20" s="6" t="inlineStr">
        <is>
          <t>34-2025-3SC</t>
        </is>
      </c>
      <c r="H20" s="6" t="inlineStr">
        <is>
          <t>31</t>
        </is>
      </c>
      <c r="I20" s="6" t="inlineStr">
        <is>
          <t>dos mil veinticinco, Enero veintinueve</t>
        </is>
      </c>
      <c r="J20" s="6" t="inlineStr">
        <is>
          <t>2025</t>
        </is>
      </c>
      <c r="K20" s="6" t="n"/>
      <c r="L20" s="6" t="inlineStr">
        <is>
          <t>Marroquín Mogrovejo</t>
        </is>
      </c>
      <c r="M20" s="6" t="inlineStr">
        <is>
          <t>NULA</t>
        </is>
      </c>
      <c r="N20" s="6" t="n">
        <v>2</v>
      </c>
      <c r="O20" s="6" t="n">
        <v>2</v>
      </c>
      <c r="P20" s="7" t="n"/>
      <c r="Q20" s="7" t="n"/>
      <c r="R20" s="7" t="n"/>
      <c r="S20" s="7" t="n"/>
      <c r="T20" s="7" t="n"/>
      <c r="U20" s="7" t="n"/>
      <c r="V20" s="7" t="n"/>
      <c r="W20" s="8" t="inlineStr">
        <is>
          <t>DECLARADO — (evidencia en las columnas «Cita textual 1–3» de esta misma fila)</t>
        </is>
      </c>
      <c r="X20" s="7" t="n"/>
      <c r="Y20" s="8" t="inlineStr">
        <is>
          <t>DECLARADO — (evidencia en las columnas «Cita textual 1–3» de esta misma fila)</t>
        </is>
      </c>
      <c r="Z20" s="7" t="n"/>
      <c r="AA20" s="7" t="n"/>
      <c r="AB20" s="7" t="n"/>
      <c r="AC20" s="7" t="n"/>
      <c r="AD20" s="7" t="n"/>
      <c r="AE20" s="7" t="n"/>
      <c r="AF20" s="7" t="n"/>
      <c r="AG20" s="7" t="n"/>
      <c r="AH20" s="7" t="n"/>
      <c r="AI20" s="7" t="n"/>
      <c r="AJ20" s="7" t="n"/>
      <c r="AK20" s="7" t="n"/>
      <c r="AL20" s="7" t="n"/>
      <c r="AM20" s="7" t="n"/>
      <c r="AN20" s="7" t="n"/>
      <c r="AO20" s="7" t="n"/>
      <c r="AP20" s="7" t="n"/>
      <c r="AQ20" s="7" t="inlineStr">
        <is>
          <t>— Sin vicio de motivación como causal</t>
        </is>
      </c>
      <c r="AR20" s="7" t="n"/>
      <c r="AS20" s="7" t="inlineStr">
        <is>
          <t>No</t>
        </is>
      </c>
      <c r="AT20" s="7" t="inlineStr">
        <is>
          <t>«Así las cosas, tenemos que la decisión se ha emitido sin que el juez de la causa haya garantizado el derecho de las partes de propiciar y conducir el debate de manera previa a su decisión, vulnerando de ese modo su derecho al contradictorio, al sustentar la decisión en la valoración sorpresiva de pruebas no admitidas en el proceso y sobre las que ambas partes, no se permitió que ejerzan el derecho que corresponda en forma previa a su valoración y posterior decisión; por tanto, se ha incurrido en nulidad que debe ser declarada por esta sala al haber resuelto sin tener en cuenta el mérito de lo actuado conforme exige el inciso 3 del artículo 122° del Código Procesal Civil.»</t>
        </is>
      </c>
      <c r="AU20" s="7" t="inlineStr">
        <is>
          <t>Falta de contradictorio: valoración sorpresiva de prueba no admitida</t>
        </is>
      </c>
      <c r="AV20" s="7" t="inlineStr">
        <is>
          <t>«Por otro lado, si los documentos mencionados tiene relevancia e incidencia determinante en la litis, en todo caso, el juez de la causa debió, en forma previa a emitir sentencia, ejercer la facultad prevista en el artículo 194° del Código Procesal Civil “…que confiere al juez un poder probatorio con carácter de facultad excepcional … esta disposición legal habilita al juez a realizar prueba de oficio, cuando el caso así lo amerite, respetando los límites impuestos por el legislador” como lo establece la casación número 1242-2017 Lima Este; lo que no hizo y que debe evaluar el juez de primera instancia.»</t>
        </is>
      </c>
      <c r="AW20" s="7" t="inlineStr">
        <is>
          <t>Prueba de oficio no ejercida (art. 194 CPC; Cas. 1242-2017)</t>
        </is>
      </c>
      <c r="AX20" s="7" t="n"/>
      <c r="AY20" s="7" t="n"/>
      <c r="AZ20" s="7" t="inlineStr">
        <is>
          <t>Valoración sorpresiva de pruebas no admitidas, sin contradictorio (art. 122.3 CPC). El agravio habla de 'indebida motivación', pero la Sala anula por vicio probatorio-procesal.</t>
        </is>
      </c>
      <c r="BA20" s="7" t="inlineStr">
        <is>
          <t>760 2021 SV 2025.doc</t>
        </is>
      </c>
      <c r="BB20" s="7" t="inlineStr">
        <is>
          <t>Clasificacion_SV_ABR24_Llamoja_defectos</t>
        </is>
      </c>
      <c r="BC20" s="7" t="n">
        <v>1</v>
      </c>
      <c r="BD20" s="7" t="inlineStr">
        <is>
          <t>ABREVIADO</t>
        </is>
      </c>
      <c r="BE20" s="7" t="inlineStr">
        <is>
          <t>NULA</t>
        </is>
      </c>
      <c r="BF20" s="7" t="inlineStr">
        <is>
          <t>AN</t>
        </is>
      </c>
    </row>
    <row r="21" ht="439.5" customHeight="1">
      <c r="A21" s="6" t="n">
        <v>20</v>
      </c>
      <c r="B21" s="6" t="inlineStr">
        <is>
          <t>00774-2021</t>
        </is>
      </c>
      <c r="C21" s="6" t="inlineStr">
        <is>
          <t>00774-2021-0-0401-JR-CI-05</t>
        </is>
      </c>
      <c r="D21" s="6" t="inlineStr">
        <is>
          <t>Llamoja — SV de control (2021-2023)</t>
        </is>
      </c>
      <c r="E21" s="6" t="inlineStr">
        <is>
          <t>División y partición</t>
        </is>
      </c>
      <c r="F21" s="6" t="inlineStr">
        <is>
          <t>2SC</t>
        </is>
      </c>
      <c r="G21" s="6" t="inlineStr">
        <is>
          <t>161-2025-2SC</t>
        </is>
      </c>
      <c r="H21" s="6" t="inlineStr">
        <is>
          <t>28</t>
        </is>
      </c>
      <c r="I21" s="6" t="inlineStr">
        <is>
          <t>dos mil veinticinco, Abril catorce</t>
        </is>
      </c>
      <c r="J21" s="6" t="inlineStr">
        <is>
          <t>2025</t>
        </is>
      </c>
      <c r="K21" s="6" t="n"/>
      <c r="L21" s="6" t="inlineStr">
        <is>
          <t>Yucra Quispe</t>
        </is>
      </c>
      <c r="M21" s="6" t="inlineStr">
        <is>
          <t>NULA</t>
        </is>
      </c>
      <c r="N21" s="6" t="n">
        <v>2</v>
      </c>
      <c r="O21" s="6" t="n">
        <v>2</v>
      </c>
      <c r="P21" s="7" t="n"/>
      <c r="Q21" s="7" t="n"/>
      <c r="R21" s="7" t="n"/>
      <c r="S21" s="7" t="n"/>
      <c r="T21" s="7" t="n"/>
      <c r="U21" s="7" t="n"/>
      <c r="V21" s="7" t="n"/>
      <c r="W21" s="7" t="n"/>
      <c r="X21" s="7" t="n"/>
      <c r="Y21" s="7" t="n"/>
      <c r="Z21" s="7" t="n"/>
      <c r="AA21" s="7" t="n"/>
      <c r="AB21" s="7" t="n"/>
      <c r="AC21" s="7" t="n"/>
      <c r="AD21" s="7" t="n"/>
      <c r="AE21" s="8" t="inlineStr">
        <is>
          <t>DECLARADO — (evidencia en las columnas «Cita textual 1–3» de esta misma fila)</t>
        </is>
      </c>
      <c r="AF21" s="7" t="n"/>
      <c r="AG21" s="7" t="n"/>
      <c r="AH21" s="7" t="n"/>
      <c r="AI21" s="7" t="n"/>
      <c r="AJ21" s="8" t="inlineStr">
        <is>
          <t>DECLARADO — (evidencia en las columnas «Cita textual 1–3» de esta misma fila)</t>
        </is>
      </c>
      <c r="AK21" s="7" t="n"/>
      <c r="AL21" s="7" t="n"/>
      <c r="AM21" s="7" t="n"/>
      <c r="AN21" s="7" t="n"/>
      <c r="AO21" s="7" t="n"/>
      <c r="AP21" s="7" t="inlineStr">
        <is>
          <t>Migración D20→D21</t>
        </is>
      </c>
      <c r="AQ21" s="7" t="inlineStr">
        <is>
          <t>c) Deficiencia de motivación externa</t>
        </is>
      </c>
      <c r="AR21" s="7" t="n"/>
      <c r="AS21" s="7" t="inlineStr">
        <is>
          <t>No</t>
        </is>
      </c>
      <c r="AT21" s="7" t="inlineStr">
        <is>
          <t>«Conforme a lo señalado, al haberse emitido la sentencia, sin tener en cuenta lo señalado en el punto anterior, se ha vulnerado el derecho a la tutela jurisdiccional prevista en el inciso 3 del artículo 139 de nuestra constitución, por lo que al amparo de lo establecido en el artículo 176 , concordante con el 171 del Código Procesal Civil debe anularse la apelada.»</t>
        </is>
      </c>
      <c r="AU21" s="7" t="inlineStr">
        <is>
          <t>c) Premisa no confrontada con los hechos de la demanda (139.3)</t>
        </is>
      </c>
      <c r="AV21" s="7" t="inlineStr">
        <is>
          <t>«De la revisión de los actuados, se tiene que, el juzgador al emitir la apelada: a) No ha tomado en cuenta que, tratándose de la pretensión de división y partición, los hechos que se invoquen deben estar referidos a: 1) La existencia de un estado de copropiedad sobre un bien; 2) Que el bien no haya sido objeto de división y partición; 3) Que los copropietarios sean titulares de derechos sobre el bien; b) No ha tomado en cuenta que, la causal de improcedencia de la demanda de falta de conexión lógica entre los hechos y el petitorio prevista en el inciso 4° del artículo 427 del Código procesal Civil, se da cuando se advierte la evidente incongruencia entre lo que se solicita(pide) en el petitorio de la pretensión demandada y los fundamentos de hecho que sustentan dicha pretensión, es decir que los hechos que se invoca no están referidos a los supuestos de procedencia objeto del proceso; c) No ha tomado en cuenta que, cuando se formula una pretensión en el escrito de demanda, los hechos que se invoquen como sustento del petitorio, deben estar referidos necesariamente a los supuesto de procedencia de la institución jurídica material que se invoca en el petitorio de la demanda; d) No ha tomado en cuenta que, en el escrito de demanda de fojas dieciséis al veinte, subsanada a fojas cuarenta y cuatro al cuarenta y seis, se advierte que Pedro Isaias Pertalta Vilca, ha interpuesto la pretensión de división y participación del bien inmueble ubicado en el Pueblo Joven La Tomilla Manzana N, Lote 25, Zona A del distrito de Cayma, provincia y departamento de Arequipa, debidamente inscrito en la Partida registral del Predio número P06003392 del registro de Predios de los registros Públicos de Arequipa; en cuyos fundamentos facticos, ha invocado la existencia de un estado de copropiedad del bien objeto de litis, entre el demandante y los demandados Genaro Mercedes Peralta Vilca, Raymunda Emperatriz Peralta Vilca y Jesús Avelino Peralta Vilca y ha señalado los porcentajes que corresponderían a cada uno de los copropietarios; los que están referidos a los supuestos de procedencia de la pretensión de división y partición, ya que, los hechos invocado en la demanda están referidos a la existencia de un estado de copropiedad sobre el bien objeto de litis, que el bien no ha sido objeto de división y partición, y que los copropietarios demandante y demandados son titulares de derechos sobre el bien inmueble ubicado en el Pueblo Joven La Tomilla Manzana N, Lote 25, Zona A del distrito de Cayma, provincia y departamento de Arequipa, debidamente inscrito en la Partida registral del Predio número P06003392.»</t>
        </is>
      </c>
      <c r="AW21" s="7" t="inlineStr">
        <is>
          <t>Concepto de incongruencia aplicado al art. 427.4 CPC</t>
        </is>
      </c>
      <c r="AX21" s="7" t="n"/>
      <c r="AY21" s="7" t="n"/>
      <c r="AZ21" s="7" t="inlineStr">
        <is>
          <t>Improcedencia (art. 427.4) sin confrontar los hechos de la demanda que sí describen copropiedad. La Sala invoca 139.3 (tutela) y no etiqueta vicio de motivación. c) tentativo.</t>
        </is>
      </c>
      <c r="BA21" s="7" t="inlineStr">
        <is>
          <t>774 2021 SV 2025.doc</t>
        </is>
      </c>
      <c r="BB21" s="7" t="inlineStr">
        <is>
          <t>Clasificacion_SV_ABR24_Llamoja_defectos</t>
        </is>
      </c>
      <c r="BC21" s="7" t="n">
        <v>1</v>
      </c>
      <c r="BD21" s="7" t="inlineStr">
        <is>
          <t>ABREVIADO</t>
        </is>
      </c>
      <c r="BE21" s="7" t="inlineStr">
        <is>
          <t>NULA</t>
        </is>
      </c>
      <c r="BF21" s="7" t="inlineStr">
        <is>
          <t>AN</t>
        </is>
      </c>
    </row>
    <row r="22" ht="105.75" customHeight="1">
      <c r="A22" s="6" t="n">
        <v>21</v>
      </c>
      <c r="B22" s="6" t="inlineStr">
        <is>
          <t>00788-2013</t>
        </is>
      </c>
      <c r="C22" s="6" t="inlineStr">
        <is>
          <t>00788-2013</t>
        </is>
      </c>
      <c r="D22" s="6" t="inlineStr">
        <is>
          <t>Pre-2019</t>
        </is>
      </c>
      <c r="E22" s="6" t="n"/>
      <c r="F22" s="6" t="inlineStr">
        <is>
          <t>2SC</t>
        </is>
      </c>
      <c r="G22" s="6" t="inlineStr">
        <is>
          <t>SV N° 191-2021-2SC</t>
        </is>
      </c>
      <c r="H22" s="6" t="n"/>
      <c r="I22" s="6" t="inlineStr">
        <is>
          <t>01/03/2021</t>
        </is>
      </c>
      <c r="J22" s="6" t="inlineStr">
        <is>
          <t>2021</t>
        </is>
      </c>
      <c r="K22" s="6" t="n"/>
      <c r="L22" s="6" t="n"/>
      <c r="M22" s="6" t="inlineStr">
        <is>
          <t>Nula</t>
        </is>
      </c>
      <c r="N22" s="6" t="n">
        <v>1</v>
      </c>
      <c r="O22" s="6" t="n">
        <v>1</v>
      </c>
      <c r="P22" s="7" t="n"/>
      <c r="Q22" s="7" t="n"/>
      <c r="R22" s="7" t="n"/>
      <c r="S22" s="7" t="n"/>
      <c r="T22" s="7" t="n"/>
      <c r="U22" s="7" t="n"/>
      <c r="V22" s="7" t="n"/>
      <c r="W22" s="7" t="n"/>
      <c r="X22" s="7" t="n"/>
      <c r="Y22" s="7" t="n"/>
      <c r="Z22" s="7" t="n"/>
      <c r="AA22" s="7" t="n"/>
      <c r="AB22" s="7" t="n"/>
      <c r="AC22" s="7" t="n"/>
      <c r="AD22" s="7" t="n"/>
      <c r="AE22" s="8" t="inlineStr">
        <is>
          <t>DECLARADO — “…es decir, emitió un pronunciamiento distinto a lo alegado por la parte demandante y a las fijadas en los puntos controvertidos, lo que evidencia que en el caso subjúdice el A quo ha emitido una sentencia extra petita, amparándose para ello en el principio del iura novit curia. Empero, si bien el juzgador ha aplicado el principio del i…”</t>
        </is>
      </c>
      <c r="AF22" s="7" t="n"/>
      <c r="AG22" s="7" t="n"/>
      <c r="AH22" s="7" t="n"/>
      <c r="AI22" s="7" t="n"/>
      <c r="AJ22" s="7" t="n"/>
      <c r="AK22" s="7" t="n"/>
      <c r="AL22" s="7" t="n"/>
      <c r="AM22" s="7" t="n"/>
      <c r="AN22" s="7" t="n"/>
      <c r="AO22" s="7" t="n"/>
      <c r="AP22" s="7" t="inlineStr">
        <is>
          <t>Baja D06→—</t>
        </is>
      </c>
      <c r="AQ22" s="7" t="n"/>
      <c r="AR22" s="7" t="n"/>
      <c r="AS22" s="7" t="n"/>
      <c r="AT22" s="7" t="n"/>
      <c r="AU22" s="7" t="n"/>
      <c r="AV22" s="7" t="n"/>
      <c r="AW22" s="7" t="n"/>
      <c r="AX22" s="7" t="n"/>
      <c r="AY22" s="7" t="n"/>
      <c r="AZ22" s="7" t="n"/>
      <c r="BA22" s="7" t="n"/>
      <c r="BB22" s="7" t="inlineStr">
        <is>
          <t>Comparativa_defectos_2018_vs_2024 + Defectos_procesales_SV_CSJA</t>
        </is>
      </c>
      <c r="BC22" s="7" t="n">
        <v>2</v>
      </c>
      <c r="BD22" s="7" t="inlineStr">
        <is>
          <t>CONOCIMIENTO</t>
        </is>
      </c>
      <c r="BE22" s="7" t="inlineStr">
        <is>
          <t>NULA</t>
        </is>
      </c>
      <c r="BF22" s="7" t="inlineStr">
        <is>
          <t>CN</t>
        </is>
      </c>
    </row>
    <row r="23" ht="84.75" customHeight="1">
      <c r="A23" s="6" t="n">
        <v>22</v>
      </c>
      <c r="B23" s="6" t="inlineStr">
        <is>
          <t>00848-2011</t>
        </is>
      </c>
      <c r="C23" s="6" t="inlineStr">
        <is>
          <t>00848-2011-0-0411-JR-CI-08</t>
        </is>
      </c>
      <c r="D23" s="6" t="inlineStr">
        <is>
          <t>Matriz sumarísimos — anteriores a 2019</t>
        </is>
      </c>
      <c r="E23" s="6" t="inlineStr">
        <is>
          <t>Otorgamiento de escritura pública</t>
        </is>
      </c>
      <c r="F23" s="6" t="inlineStr">
        <is>
          <t>3SC</t>
        </is>
      </c>
      <c r="G23" s="6" t="inlineStr">
        <is>
          <t>SV 309-2019-3SC</t>
        </is>
      </c>
      <c r="H23" s="6" t="inlineStr">
        <is>
          <t>Res. 58 (cuatro)</t>
        </is>
      </c>
      <c r="I23" s="6" t="inlineStr">
        <is>
          <t>27/05/2019</t>
        </is>
      </c>
      <c r="J23" s="6" t="inlineStr">
        <is>
          <t>2019</t>
        </is>
      </c>
      <c r="K23" s="6" t="inlineStr">
        <is>
          <t>Ronald Valencia de Romaña</t>
        </is>
      </c>
      <c r="L23" s="6" t="n"/>
      <c r="M23" s="6" t="inlineStr">
        <is>
          <t>REVOCADA → FUNDADA EN PARTE</t>
        </is>
      </c>
      <c r="N23" s="6" t="n">
        <v>0</v>
      </c>
      <c r="O23" s="6" t="n">
        <v>1</v>
      </c>
      <c r="P23" s="7" t="n"/>
      <c r="Q23" s="7" t="n"/>
      <c r="R23" s="7" t="n"/>
      <c r="S23" s="7" t="n"/>
      <c r="T23" s="7" t="n"/>
      <c r="U23" s="7" t="n"/>
      <c r="V23" s="7" t="n"/>
      <c r="W23" s="7" t="n"/>
      <c r="X23" s="7" t="n"/>
      <c r="Y23" s="7" t="n"/>
      <c r="Z23" s="7" t="n"/>
      <c r="AA23" s="9" t="inlineStr">
        <is>
          <t>ADVERTIDO — «el Juez a quo no ha realizado una valoración conjunta, razonada y adecuada de los medos probatorios aportados al proceso; al documento de compraventa del siete de octubre de mil novecientos ochenta y dos… no se le ha asignado el valor probatorio sobre la real intención de las partes»</t>
        </is>
      </c>
      <c r="AB23" s="7" t="n"/>
      <c r="AC23" s="7" t="n"/>
      <c r="AD23" s="7" t="n"/>
      <c r="AE23" s="7" t="n"/>
      <c r="AF23" s="7" t="n"/>
      <c r="AG23" s="7" t="n"/>
      <c r="AH23" s="7" t="n"/>
      <c r="AI23" s="7" t="n"/>
      <c r="AJ23" s="7" t="n"/>
      <c r="AK23" s="7" t="n"/>
      <c r="AL23" s="7" t="n"/>
      <c r="AM23" s="7" t="n"/>
      <c r="AN23" s="7" t="n"/>
      <c r="AO23" s="7" t="n"/>
      <c r="AP23" s="7" t="inlineStr">
        <is>
          <t>Migración D11→D12</t>
        </is>
      </c>
      <c r="AQ23" s="7" t="n"/>
      <c r="AR23" s="7" t="n"/>
      <c r="AS23" s="7" t="n"/>
      <c r="AT23" s="7" t="n"/>
      <c r="AU23" s="7" t="n"/>
      <c r="AV23" s="7" t="n"/>
      <c r="AW23" s="7" t="n"/>
      <c r="AX23" s="7" t="n"/>
      <c r="AY23" s="7" t="n"/>
      <c r="AZ23" s="7" t="inlineStr">
        <is>
          <t>La Sala invoca expresamente la Circular sobre reenvío (RA N° 002-2014-CE-PJ) y opta por corregir en instancia en lugar de anular.</t>
        </is>
      </c>
      <c r="BA23" s="7" t="n"/>
      <c r="BB23" s="7" t="inlineStr">
        <is>
          <t>Matriz_defectos_procesales_1ra_SV</t>
        </is>
      </c>
      <c r="BC23" s="7" t="n">
        <v>1</v>
      </c>
      <c r="BD23" s="7" t="inlineStr">
        <is>
          <t>SUMARISIMO</t>
        </is>
      </c>
      <c r="BE23" s="7" t="inlineStr">
        <is>
          <t>REVOCADA</t>
        </is>
      </c>
      <c r="BF23" s="7" t="inlineStr">
        <is>
          <t>SR</t>
        </is>
      </c>
    </row>
    <row r="24" ht="105.75" customHeight="1">
      <c r="A24" s="6" t="n">
        <v>23</v>
      </c>
      <c r="B24" s="6" t="inlineStr">
        <is>
          <t>00856-2017</t>
        </is>
      </c>
      <c r="C24" s="6" t="inlineStr">
        <is>
          <t>00856-2017</t>
        </is>
      </c>
      <c r="D24" s="6" t="inlineStr">
        <is>
          <t>Pre-2019</t>
        </is>
      </c>
      <c r="E24" s="6" t="n"/>
      <c r="F24" s="6" t="inlineStr">
        <is>
          <t>1SC</t>
        </is>
      </c>
      <c r="G24" s="6" t="inlineStr">
        <is>
          <t>SV N° 525-2019-1SC</t>
        </is>
      </c>
      <c r="H24" s="6" t="n"/>
      <c r="I24" s="6" t="inlineStr">
        <is>
          <t>01/08/2019</t>
        </is>
      </c>
      <c r="J24" s="6" t="inlineStr">
        <is>
          <t>2019</t>
        </is>
      </c>
      <c r="K24" s="6" t="n"/>
      <c r="L24" s="6" t="n"/>
      <c r="M24" s="6" t="inlineStr">
        <is>
          <t>Nula e insubsistente</t>
        </is>
      </c>
      <c r="N24" s="6" t="n">
        <v>1</v>
      </c>
      <c r="O24" s="6" t="n">
        <v>1</v>
      </c>
      <c r="P24" s="7" t="n"/>
      <c r="Q24" s="7" t="n"/>
      <c r="R24" s="7" t="n"/>
      <c r="S24" s="7" t="n"/>
      <c r="T24" s="7" t="n"/>
      <c r="U24" s="7" t="n"/>
      <c r="V24" s="7" t="n"/>
      <c r="W24" s="7" t="n"/>
      <c r="X24" s="7" t="n"/>
      <c r="Y24" s="7" t="n"/>
      <c r="Z24" s="7" t="n"/>
      <c r="AA24" s="7" t="n"/>
      <c r="AB24" s="7" t="n"/>
      <c r="AC24" s="7" t="n"/>
      <c r="AD24" s="7" t="n"/>
      <c r="AE24" s="8" t="inlineStr">
        <is>
          <t>DECLARADO — “…se ha incurrido en causal de nulidad por falta de motivación de una pretensión accesoria, y corresponderá al juez emitir nuevo pronunciamiento tomando en cuenta la doctrina Jurisprudencial vinculante emitida en el IV Pleno Casatorio Civil, Casación N° 2195-2011-UCAYALI, en el entendido d…”</t>
        </is>
      </c>
      <c r="AF24" s="7" t="n"/>
      <c r="AG24" s="7" t="n"/>
      <c r="AH24" s="7" t="n"/>
      <c r="AI24" s="7" t="n"/>
      <c r="AJ24" s="7" t="n"/>
      <c r="AK24" s="7" t="n"/>
      <c r="AL24" s="7" t="n"/>
      <c r="AM24" s="7" t="n"/>
      <c r="AN24" s="7" t="n"/>
      <c r="AO24" s="7" t="n"/>
      <c r="AP24" s="7" t="inlineStr">
        <is>
          <t>Migración D15→D16</t>
        </is>
      </c>
      <c r="AQ24" s="7" t="n"/>
      <c r="AR24" s="7" t="n"/>
      <c r="AS24" s="7" t="n"/>
      <c r="AT24" s="7" t="n"/>
      <c r="AU24" s="7" t="n"/>
      <c r="AV24" s="7" t="n"/>
      <c r="AW24" s="7" t="n"/>
      <c r="AX24" s="7" t="n"/>
      <c r="AY24" s="7" t="n"/>
      <c r="AZ24" s="7" t="n"/>
      <c r="BA24" s="7" t="n"/>
      <c r="BB24" s="7" t="inlineStr">
        <is>
          <t>Comparativa_defectos_2018_vs_2024 + Defectos_procesales_SV_CSJA</t>
        </is>
      </c>
      <c r="BC24" s="7" t="n">
        <v>2</v>
      </c>
      <c r="BD24" s="7" t="inlineStr">
        <is>
          <t>CONOCIMIENTO</t>
        </is>
      </c>
      <c r="BE24" s="7" t="inlineStr">
        <is>
          <t>NULA</t>
        </is>
      </c>
      <c r="BF24" s="7" t="inlineStr">
        <is>
          <t>CN</t>
        </is>
      </c>
    </row>
    <row r="25" ht="95.25" customHeight="1">
      <c r="A25" s="6" t="n">
        <v>24</v>
      </c>
      <c r="B25" s="6" t="inlineStr">
        <is>
          <t>00879-2022</t>
        </is>
      </c>
      <c r="C25" s="6" t="inlineStr">
        <is>
          <t>00879-2022-0-0401-JR-CI-02</t>
        </is>
      </c>
      <c r="D25" s="6" t="inlineStr">
        <is>
          <t>Llamoja — SV de control (2021-2023)</t>
        </is>
      </c>
      <c r="E25" s="6" t="inlineStr">
        <is>
          <t>Indemnización (Contraloría)</t>
        </is>
      </c>
      <c r="F25" s="6" t="inlineStr">
        <is>
          <t>1SC</t>
        </is>
      </c>
      <c r="G25" s="6" t="n"/>
      <c r="H25" s="6" t="inlineStr">
        <is>
          <t>28</t>
        </is>
      </c>
      <c r="I25" s="6" t="inlineStr">
        <is>
          <t>dos mil veinticinco, julio cuatro</t>
        </is>
      </c>
      <c r="J25" s="6" t="inlineStr">
        <is>
          <t>2025</t>
        </is>
      </c>
      <c r="K25" s="6" t="n"/>
      <c r="L25" s="6" t="inlineStr">
        <is>
          <t>Cervantes López</t>
        </is>
      </c>
      <c r="M25" s="6" t="inlineStr">
        <is>
          <t>NULA</t>
        </is>
      </c>
      <c r="N25" s="6" t="n">
        <v>2</v>
      </c>
      <c r="O25" s="6" t="n">
        <v>2</v>
      </c>
      <c r="P25" s="7" t="n"/>
      <c r="Q25" s="7" t="n"/>
      <c r="R25" s="7" t="n"/>
      <c r="S25" s="7" t="n"/>
      <c r="T25" s="7" t="n"/>
      <c r="U25" s="7" t="n"/>
      <c r="V25" s="7" t="n"/>
      <c r="W25" s="7" t="n"/>
      <c r="X25" s="7" t="n"/>
      <c r="Y25" s="7" t="n"/>
      <c r="Z25" s="7" t="n"/>
      <c r="AA25" s="7" t="n"/>
      <c r="AB25" s="7" t="n"/>
      <c r="AC25" s="7" t="n"/>
      <c r="AD25" s="8" t="inlineStr">
        <is>
          <t>DECLARADO — (evidencia en las columnas «Cita textual 1–3» de esta misma fila)</t>
        </is>
      </c>
      <c r="AE25" s="8" t="inlineStr">
        <is>
          <t>DECLARADO — (evidencia en las columnas «Cita textual 1–3» de esta misma fila)</t>
        </is>
      </c>
      <c r="AF25" s="7" t="n"/>
      <c r="AG25" s="7" t="n"/>
      <c r="AH25" s="7" t="n"/>
      <c r="AI25" s="7" t="n"/>
      <c r="AJ25" s="7" t="n"/>
      <c r="AK25" s="7" t="n"/>
      <c r="AL25" s="7" t="n"/>
      <c r="AM25" s="7" t="n"/>
      <c r="AN25" s="7" t="n"/>
      <c r="AO25" s="7" t="n"/>
      <c r="AP25" s="7" t="n"/>
      <c r="AQ25" s="7" t="inlineStr">
        <is>
          <t>e) Motivación sustancialmente incongruente</t>
        </is>
      </c>
      <c r="AR25" s="7" t="inlineStr">
        <is>
          <t>b) Falta de motivación interna</t>
        </is>
      </c>
      <c r="AS25" s="7" t="inlineStr">
        <is>
          <t>Sí</t>
        </is>
      </c>
      <c r="AT25" s="7" t="inlineStr">
        <is>
          <t>«En consecuencia, es evidente el error de incongruencia incurrido por el juez A quo, al modificar o alterar el objeto de debate del proceso (fijado como primer hecho controvertido en la audiencia preliminar digitalizada a fojas cinco mil doscientos ochenta y tres); esto es, sobre el factor de atribución imputado a la parte demandada (culpa inexcusable) y la valoración jurídica efectuada en la decisión (existencia de dolo), lo que afecta el debido proceso en su vertiente al derecho a una debida motivación de las resoluciones judiciales.»</t>
        </is>
      </c>
      <c r="AU25" s="7" t="inlineStr">
        <is>
          <t>e) Incongruencia sustancial / Incongruencia procesal</t>
        </is>
      </c>
      <c r="AV25" s="7" t="inlineStr">
        <is>
          <t>«Sin perjuicio de lo señalado, del análisis de la recurrida se puede advertir también, falta de motivación interna del razonamiento empleado.»</t>
        </is>
      </c>
      <c r="AW25" s="7" t="inlineStr">
        <is>
          <t>b) Falta de motivación interna</t>
        </is>
      </c>
      <c r="AX25" s="7" t="inlineStr">
        <is>
          <t>«En consecuencia, estando a lo expuesto se concluye que la recurrida incurre en causal de nulidad prevista y sancionada en el artículo 171 concordante con el artículo 122 del Código Procesal Civil, debiendo el juez A quo emitir nueva resolución teniendo en cuenta lo señalado en la presente.»</t>
        </is>
      </c>
      <c r="AY25" s="7" t="inlineStr">
        <is>
          <t>Efecto: nulidad (arts. 171 y 122 CPC)</t>
        </is>
      </c>
      <c r="AZ25" s="7" t="inlineStr">
        <is>
          <t>La Sala cita expresamente los supuestos b) y e) de la STC 00728-2008-PHC/TC; alteró el objeto de debate (culpa inexcusable → dolo).</t>
        </is>
      </c>
      <c r="BA25" s="7" t="inlineStr">
        <is>
          <t>879  2022 SV 2025.doc</t>
        </is>
      </c>
      <c r="BB25" s="7" t="inlineStr">
        <is>
          <t>Clasificacion_SV_ABR24_Llamoja_defectos</t>
        </is>
      </c>
      <c r="BC25" s="7" t="n">
        <v>1</v>
      </c>
      <c r="BD25" s="7" t="inlineStr">
        <is>
          <t>ABREVIADO</t>
        </is>
      </c>
      <c r="BE25" s="7" t="inlineStr">
        <is>
          <t>NULA</t>
        </is>
      </c>
      <c r="BF25" s="7" t="inlineStr">
        <is>
          <t>AN</t>
        </is>
      </c>
    </row>
    <row r="26" ht="116.25" customHeight="1">
      <c r="A26" s="6" t="n">
        <v>25</v>
      </c>
      <c r="B26" s="6" t="inlineStr">
        <is>
          <t>00898-2013</t>
        </is>
      </c>
      <c r="C26" s="6" t="inlineStr">
        <is>
          <t>00898-2013</t>
        </is>
      </c>
      <c r="D26" s="6" t="inlineStr">
        <is>
          <t>Pre-2019</t>
        </is>
      </c>
      <c r="E26" s="6" t="n"/>
      <c r="F26" s="6" t="inlineStr">
        <is>
          <t>3SC</t>
        </is>
      </c>
      <c r="G26" s="6" t="inlineStr">
        <is>
          <t>SV N° 550-2018-3SC</t>
        </is>
      </c>
      <c r="H26" s="6" t="n"/>
      <c r="I26" s="6" t="inlineStr">
        <is>
          <t>26/10/2018</t>
        </is>
      </c>
      <c r="J26" s="6" t="inlineStr">
        <is>
          <t>2018</t>
        </is>
      </c>
      <c r="K26" s="6" t="n"/>
      <c r="L26" s="6" t="n"/>
      <c r="M26" s="6" t="inlineStr">
        <is>
          <t>Revocada</t>
        </is>
      </c>
      <c r="N26" s="6" t="n">
        <v>0</v>
      </c>
      <c r="O26" s="6" t="n">
        <v>1</v>
      </c>
      <c r="P26" s="7" t="n"/>
      <c r="Q26" s="7" t="n"/>
      <c r="R26" s="7" t="n"/>
      <c r="S26" s="7" t="n"/>
      <c r="T26" s="7" t="n"/>
      <c r="U26" s="7" t="n"/>
      <c r="V26" s="7" t="n"/>
      <c r="W26" s="7" t="n"/>
      <c r="X26" s="7" t="n"/>
      <c r="Y26" s="7" t="n"/>
      <c r="Z26" s="7" t="n"/>
      <c r="AA26" s="7" t="n"/>
      <c r="AB26" s="7" t="n"/>
      <c r="AC26" s="7" t="n"/>
      <c r="AD26" s="7" t="n"/>
      <c r="AE26" s="9" t="inlineStr">
        <is>
          <t>ADVERTIDO — “…obre algún punto principal o accesorio. En este caso, en la parte resolutiva de la ampulosa sentencia materia de grado, se ha omitido declarar la nulidad de los actos jurídicos contenidos en las escrituras cuya nulidad se ha demandado como pretensiones principales, no obstante haberse analizado dichos aspectos en la parte considerativa, por lo que, debe integrarse la sentencia recurrida en ese sentido.…”</t>
        </is>
      </c>
      <c r="AF26" s="7" t="n"/>
      <c r="AG26" s="7" t="n"/>
      <c r="AH26" s="7" t="n"/>
      <c r="AI26" s="7" t="n"/>
      <c r="AJ26" s="7" t="n"/>
      <c r="AK26" s="7" t="n"/>
      <c r="AL26" s="7" t="n"/>
      <c r="AM26" s="7" t="n"/>
      <c r="AN26" s="7" t="n"/>
      <c r="AO26" s="7" t="n"/>
      <c r="AP26" s="7" t="inlineStr">
        <is>
          <t>Reclasificación de estatus —→ADV</t>
        </is>
      </c>
      <c r="AQ26" s="7" t="n"/>
      <c r="AR26" s="7" t="n"/>
      <c r="AS26" s="7" t="n"/>
      <c r="AT26" s="7" t="n"/>
      <c r="AU26" s="7" t="n"/>
      <c r="AV26" s="7" t="n"/>
      <c r="AW26" s="7" t="n"/>
      <c r="AX26" s="7" t="n"/>
      <c r="AY26" s="7" t="n"/>
      <c r="AZ26" s="7" t="n"/>
      <c r="BA26" s="7" t="n"/>
      <c r="BB26" s="7" t="inlineStr">
        <is>
          <t>Comparativa_defectos_2018_vs_2024 + Defectos_procesales_SV_CSJA</t>
        </is>
      </c>
      <c r="BC26" s="7" t="n">
        <v>2</v>
      </c>
      <c r="BD26" s="7" t="inlineStr">
        <is>
          <t>CONOCIMIENTO</t>
        </is>
      </c>
      <c r="BE26" s="7" t="inlineStr">
        <is>
          <t>REVOCADA</t>
        </is>
      </c>
      <c r="BF26" s="7" t="inlineStr">
        <is>
          <t>CR</t>
        </is>
      </c>
    </row>
    <row r="27" ht="53.25" customHeight="1">
      <c r="A27" s="6" t="n">
        <v>26</v>
      </c>
      <c r="B27" s="6" t="inlineStr">
        <is>
          <t>00933-2022</t>
        </is>
      </c>
      <c r="C27" s="6" t="inlineStr">
        <is>
          <t>00933-2022-0-0401-JR-CI-07</t>
        </is>
      </c>
      <c r="D27" s="6" t="inlineStr">
        <is>
          <t>Llamoja — SV de control (2021-2023)</t>
        </is>
      </c>
      <c r="E27" s="6" t="inlineStr">
        <is>
          <t>Obligación de dar suma de dinero</t>
        </is>
      </c>
      <c r="F27" s="6" t="inlineStr">
        <is>
          <t>3SC</t>
        </is>
      </c>
      <c r="G27" s="6" t="inlineStr">
        <is>
          <t>72-2024-3SC</t>
        </is>
      </c>
      <c r="H27" s="6" t="inlineStr">
        <is>
          <t>24</t>
        </is>
      </c>
      <c r="I27" s="6" t="inlineStr">
        <is>
          <t>dos mil veinticuatro, Marzo ocho</t>
        </is>
      </c>
      <c r="J27" s="6" t="inlineStr">
        <is>
          <t>2024</t>
        </is>
      </c>
      <c r="K27" s="6" t="n"/>
      <c r="L27" s="6" t="inlineStr">
        <is>
          <t>Burga Cervantes</t>
        </is>
      </c>
      <c r="M27" s="6" t="inlineStr">
        <is>
          <t>NULA</t>
        </is>
      </c>
      <c r="N27" s="6" t="n">
        <v>2</v>
      </c>
      <c r="O27" s="6" t="n">
        <v>2</v>
      </c>
      <c r="P27" s="7" t="n"/>
      <c r="Q27" s="7" t="n"/>
      <c r="R27" s="7" t="n"/>
      <c r="S27" s="7" t="n"/>
      <c r="T27" s="7" t="n"/>
      <c r="U27" s="7" t="n"/>
      <c r="V27" s="7" t="n"/>
      <c r="W27" s="7" t="n"/>
      <c r="X27" s="7" t="n"/>
      <c r="Y27" s="7" t="n"/>
      <c r="Z27" s="7" t="n"/>
      <c r="AA27" s="7" t="n"/>
      <c r="AB27" s="7" t="n"/>
      <c r="AC27" s="8" t="inlineStr">
        <is>
          <t>DECLARADO — (evidencia en las columnas «Cita textual 1–3» de esta misma fila)</t>
        </is>
      </c>
      <c r="AD27" s="7" t="n"/>
      <c r="AE27" s="8" t="inlineStr">
        <is>
          <t>DECLARADO — (evidencia en las columnas «Cita textual 1–3» de esta misma fila)</t>
        </is>
      </c>
      <c r="AF27" s="7" t="n"/>
      <c r="AG27" s="7" t="n"/>
      <c r="AH27" s="7" t="n"/>
      <c r="AI27" s="7" t="n"/>
      <c r="AJ27" s="7" t="n"/>
      <c r="AK27" s="7" t="n"/>
      <c r="AL27" s="7" t="n"/>
      <c r="AM27" s="7" t="n"/>
      <c r="AN27" s="7" t="n"/>
      <c r="AO27" s="7" t="n"/>
      <c r="AP27" s="7" t="inlineStr">
        <is>
          <t>Migración D17→D14</t>
        </is>
      </c>
      <c r="AQ27" s="7" t="inlineStr">
        <is>
          <t>a) Inexistencia / motivación aparente</t>
        </is>
      </c>
      <c r="AR27" s="7" t="inlineStr">
        <is>
          <t>e) Motivación sustancialmente incongruente</t>
        </is>
      </c>
      <c r="AS27" s="7" t="inlineStr">
        <is>
          <t>Sí</t>
        </is>
      </c>
      <c r="AT27" s="7" t="inlineStr">
        <is>
          <t>«Siendo así, se advierte que la sentencia objeto de apelación ha incurrido en el vicio consistente en ausencia de motivación, puesto que se ha omitido emitir pronunciamiento sobre el hecho impeditivo expuesto como defensa de fondo por el recurrente Ronald Federico Companoca Coaquira.»</t>
        </is>
      </c>
      <c r="AU27" s="7" t="inlineStr">
        <is>
          <t>a) Ausencia de motivación (etiqueta expresa)</t>
        </is>
      </c>
      <c r="AV27" s="7" t="inlineStr">
        <is>
          <t>«Ahora, de la revisión de la sentencia que viene en grado de apelación, precisamente del considerando tercero, se advierte que el Juez a quo ha omitido emitir pronunciamiento sobre el hecho impeditivo expuesto como defensa de fondo por el recurrente Ronald Federico Companoca Coaquira.»</t>
        </is>
      </c>
      <c r="AW27" s="7" t="inlineStr">
        <is>
          <t>Incongruencia omisiva: omite el hecho impeditivo</t>
        </is>
      </c>
      <c r="AX27" s="7" t="n"/>
      <c r="AY27" s="7" t="n"/>
      <c r="AZ27" s="7" t="inlineStr">
        <is>
          <t>Etiqueta expresa 'ausencia de motivación' por omitir el hecho impeditivo (defensa de fondo). Materialmente es incongruencia omisiva. SV 72-2024-3SC (menor año; existe SV 471-2025-3SC que revoca).</t>
        </is>
      </c>
      <c r="BA27" s="7" t="inlineStr">
        <is>
          <t>933 2022 SV 2023.doc</t>
        </is>
      </c>
      <c r="BB27" s="7" t="inlineStr">
        <is>
          <t>Clasificacion_SV_ABR24_Llamoja_defectos</t>
        </is>
      </c>
      <c r="BC27" s="7" t="n">
        <v>1</v>
      </c>
      <c r="BD27" s="7" t="inlineStr">
        <is>
          <t>ABREVIADO</t>
        </is>
      </c>
      <c r="BE27" s="7" t="inlineStr">
        <is>
          <t>NULA</t>
        </is>
      </c>
      <c r="BF27" s="7" t="inlineStr">
        <is>
          <t>AN</t>
        </is>
      </c>
    </row>
    <row r="28" ht="137.25" customHeight="1">
      <c r="A28" s="6" t="n">
        <v>27</v>
      </c>
      <c r="B28" s="6" t="inlineStr">
        <is>
          <t>00965-2015</t>
        </is>
      </c>
      <c r="C28" s="6" t="inlineStr">
        <is>
          <t>00965-2015</t>
        </is>
      </c>
      <c r="D28" s="6" t="inlineStr">
        <is>
          <t>Pre-2019</t>
        </is>
      </c>
      <c r="E28" s="6" t="n"/>
      <c r="F28" s="6" t="inlineStr">
        <is>
          <t>3SC</t>
        </is>
      </c>
      <c r="G28" s="6" t="inlineStr">
        <is>
          <t>SV N° 498-2019-3SC</t>
        </is>
      </c>
      <c r="H28" s="6" t="n"/>
      <c r="I28" s="6" t="inlineStr">
        <is>
          <t>03/07/2019</t>
        </is>
      </c>
      <c r="J28" s="6" t="inlineStr">
        <is>
          <t>2019</t>
        </is>
      </c>
      <c r="K28" s="6" t="n"/>
      <c r="L28" s="6" t="n"/>
      <c r="M28" s="6" t="inlineStr">
        <is>
          <t>Nula</t>
        </is>
      </c>
      <c r="N28" s="6" t="n">
        <v>2</v>
      </c>
      <c r="O28" s="6" t="n">
        <v>2</v>
      </c>
      <c r="P28" s="7" t="n"/>
      <c r="Q28" s="7" t="n"/>
      <c r="R28" s="7" t="n"/>
      <c r="S28" s="7" t="n"/>
      <c r="T28" s="7" t="n"/>
      <c r="U28" s="8" t="inlineStr">
        <is>
          <t>DECLARADO — “…e se decide u ordena, respecto de todos los puntos controvertidos, que al haberse emitido sin los requisitos señalados, se ha incurrido en causal de nulidad y que este colegiado debe sancionar en aplicación del artículo 176 del acotado Código, reponiéndose el proceso al estado de fijarse los puntos controvertidos de acuerdo a la pretensión demandada y la contestación de la demandada, dejando subsistente la in…”</t>
        </is>
      </c>
      <c r="V28" s="7" t="n"/>
      <c r="W28" s="7" t="n"/>
      <c r="X28" s="7" t="n"/>
      <c r="Y28" s="7" t="n"/>
      <c r="Z28" s="7" t="n"/>
      <c r="AA28" s="7" t="n"/>
      <c r="AB28" s="7" t="n"/>
      <c r="AC28" s="7" t="n"/>
      <c r="AD28" s="7" t="n"/>
      <c r="AE28" s="7" t="n"/>
      <c r="AF28" s="7" t="n"/>
      <c r="AG28" s="7" t="n"/>
      <c r="AH28" s="7" t="n"/>
      <c r="AI28" s="7" t="n"/>
      <c r="AJ28" s="7" t="n"/>
      <c r="AK28" s="7" t="n"/>
      <c r="AL28" s="8" t="inlineStr">
        <is>
          <t>DECLARADO — “…requisitos que deben contener las Resoluciones tales como los fundamentos de hecho que sustentan la decisión, y los respectivos de derecho con la cita de la norma o normas aplicables en cada punto, según el mérito de lo actuado. La expresión clara y precisa de lo que se decide u ordena, respecto de to…”</t>
        </is>
      </c>
      <c r="AM28" s="7" t="n"/>
      <c r="AN28" s="7" t="n"/>
      <c r="AO28" s="7" t="n"/>
      <c r="AP28" s="7" t="inlineStr">
        <is>
          <t>Migración D15→D23</t>
        </is>
      </c>
      <c r="AQ28" s="7" t="n"/>
      <c r="AR28" s="7" t="n"/>
      <c r="AS28" s="7" t="n"/>
      <c r="AT28" s="7" t="n"/>
      <c r="AU28" s="7" t="n"/>
      <c r="AV28" s="7" t="n"/>
      <c r="AW28" s="7" t="n"/>
      <c r="AX28" s="7" t="n"/>
      <c r="AY28" s="7" t="n"/>
      <c r="AZ28" s="7" t="n"/>
      <c r="BA28" s="7" t="n"/>
      <c r="BB28" s="7" t="inlineStr">
        <is>
          <t>Comparativa_defectos_2018_vs_2024 + Defectos_procesales_SV_CSJA</t>
        </is>
      </c>
      <c r="BC28" s="7" t="n">
        <v>2</v>
      </c>
      <c r="BD28" s="7" t="inlineStr">
        <is>
          <t>CONOCIMIENTO</t>
        </is>
      </c>
      <c r="BE28" s="7" t="inlineStr">
        <is>
          <t>NULA</t>
        </is>
      </c>
      <c r="BF28" s="7" t="inlineStr">
        <is>
          <t>CN</t>
        </is>
      </c>
    </row>
    <row r="29" ht="32.25" customHeight="1">
      <c r="A29" s="6" t="n">
        <v>28</v>
      </c>
      <c r="B29" s="6" t="inlineStr">
        <is>
          <t>00979-2024</t>
        </is>
      </c>
      <c r="C29" s="6" t="inlineStr">
        <is>
          <t>00979-2024-0-0401-JR-CI-06</t>
        </is>
      </c>
      <c r="D29" s="6" t="inlineStr">
        <is>
          <t>Matriz sumarísimos — grupo 2024</t>
        </is>
      </c>
      <c r="E29" s="6" t="inlineStr">
        <is>
          <t>Ineficacia de acto jurídico (excepciones)</t>
        </is>
      </c>
      <c r="F29" s="6" t="inlineStr">
        <is>
          <t>1SC</t>
        </is>
      </c>
      <c r="G29" s="6" t="inlineStr">
        <is>
          <t>Auto de Vista 960-2025-1SC</t>
        </is>
      </c>
      <c r="H29" s="6" t="inlineStr">
        <is>
          <t>Res. 26 (seis-1SC)</t>
        </is>
      </c>
      <c r="I29" s="6" t="inlineStr">
        <is>
          <t>17/09/2025</t>
        </is>
      </c>
      <c r="J29" s="6" t="inlineStr">
        <is>
          <t>2025</t>
        </is>
      </c>
      <c r="K29" s="6" t="inlineStr">
        <is>
          <t>Patricia Ruby Valdivia Franco</t>
        </is>
      </c>
      <c r="L29" s="6" t="n"/>
      <c r="M29" s="6" t="inlineStr">
        <is>
          <t>CONFIRMADA</t>
        </is>
      </c>
      <c r="N29" s="6" t="n">
        <v>0</v>
      </c>
      <c r="O29" s="6" t="n">
        <v>0</v>
      </c>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7" t="n"/>
      <c r="AL29" s="7" t="n"/>
      <c r="AM29" s="7" t="n"/>
      <c r="AN29" s="7" t="n"/>
      <c r="AO29" s="7" t="n"/>
      <c r="AP29" s="7" t="n"/>
      <c r="AQ29" s="7" t="n"/>
      <c r="AR29" s="7" t="n"/>
      <c r="AS29" s="7" t="n"/>
      <c r="AT29" s="7" t="n"/>
      <c r="AU29" s="7" t="n"/>
      <c r="AV29" s="7" t="n"/>
      <c r="AW29" s="7" t="n"/>
      <c r="AX29" s="7" t="n"/>
      <c r="AY29" s="7" t="n"/>
      <c r="AZ29" s="7" t="inlineStr">
        <is>
          <t>OBSERVACIÓN DE CORPUS: es un AUTO DE VISTA sobre excepciones, no una sentencia de vista sobre el fondo. Sin vicio procesal declarado.</t>
        </is>
      </c>
      <c r="BA29" s="7" t="n"/>
      <c r="BB29" s="7" t="inlineStr">
        <is>
          <t>Matriz_defectos_procesales_1ra_SV</t>
        </is>
      </c>
      <c r="BC29" s="7" t="n">
        <v>1</v>
      </c>
      <c r="BD29" s="7" t="inlineStr">
        <is>
          <t>SUMARISIMO</t>
        </is>
      </c>
      <c r="BE29" s="7" t="inlineStr">
        <is>
          <t>CONFIRMADA</t>
        </is>
      </c>
      <c r="BF29" s="7" t="inlineStr">
        <is>
          <t>SF</t>
        </is>
      </c>
    </row>
    <row r="30" ht="105.75" customHeight="1">
      <c r="A30" s="6" t="n">
        <v>29</v>
      </c>
      <c r="B30" s="6" t="inlineStr">
        <is>
          <t>00992-2016</t>
        </is>
      </c>
      <c r="C30" s="6" t="inlineStr">
        <is>
          <t>00992-2016</t>
        </is>
      </c>
      <c r="D30" s="6" t="inlineStr">
        <is>
          <t>Pre-2019</t>
        </is>
      </c>
      <c r="E30" s="6" t="n"/>
      <c r="F30" s="6" t="inlineStr">
        <is>
          <t>3SC</t>
        </is>
      </c>
      <c r="G30" s="6" t="inlineStr">
        <is>
          <t>SV N° 76-2019-3SC</t>
        </is>
      </c>
      <c r="H30" s="6" t="n"/>
      <c r="I30" s="6" t="inlineStr">
        <is>
          <t>08/03/2019</t>
        </is>
      </c>
      <c r="J30" s="6" t="inlineStr">
        <is>
          <t>2019</t>
        </is>
      </c>
      <c r="K30" s="6" t="n"/>
      <c r="L30" s="6" t="n"/>
      <c r="M30" s="6" t="inlineStr">
        <is>
          <t>Otro</t>
        </is>
      </c>
      <c r="N30" s="6" t="n">
        <v>2</v>
      </c>
      <c r="O30" s="6" t="n">
        <v>2</v>
      </c>
      <c r="P30" s="7" t="n"/>
      <c r="Q30" s="7" t="n"/>
      <c r="R30" s="7" t="n"/>
      <c r="S30" s="7" t="n"/>
      <c r="T30" s="7" t="n"/>
      <c r="U30" s="7" t="n"/>
      <c r="V30" s="7" t="n"/>
      <c r="W30" s="7" t="n"/>
      <c r="X30" s="7" t="n"/>
      <c r="Y30" s="7" t="n"/>
      <c r="Z30" s="7" t="n"/>
      <c r="AA30" s="7" t="n"/>
      <c r="AB30" s="7" t="n"/>
      <c r="AC30" s="7" t="n"/>
      <c r="AD30" s="7" t="n"/>
      <c r="AE30" s="8" t="inlineStr">
        <is>
          <t>DECLARADO — “…o 04003327. Que, la sentencia recurrida ha omitido pronunciarse sobre el fondo del asunto, señalando como presupuesto la aclaración sobre el heredero poseedor, sin analizar las declaraciones contenidas en la demanda, ya que los demandantes no tomaron conocimiento previo de estos hechos por tener domicilio en…”</t>
        </is>
      </c>
      <c r="AF30" s="7" t="n"/>
      <c r="AG30" s="7" t="n"/>
      <c r="AH30" s="7" t="n"/>
      <c r="AI30" s="7" t="n"/>
      <c r="AJ30" s="7" t="n"/>
      <c r="AK30" s="7" t="n"/>
      <c r="AL30" s="8" t="inlineStr">
        <is>
          <t>DECLARADO — “…la sentencia apelada incurre en causal de nulidad prevista por el artículo 122 párrafo penúltimo concordante con el artículo 171 del Código Procesal Civil. Se deja constancia que la Sala Superior, se encuentra impedida de emitir pronunciamiento de fondo, para garantizar el dere…”</t>
        </is>
      </c>
      <c r="AM30" s="7" t="n"/>
      <c r="AN30" s="7" t="n"/>
      <c r="AO30" s="7" t="n"/>
      <c r="AP30" s="7" t="inlineStr">
        <is>
          <t>Migración D17→D16 · Migración D15→D23</t>
        </is>
      </c>
      <c r="AQ30" s="7" t="n"/>
      <c r="AR30" s="7" t="n"/>
      <c r="AS30" s="7" t="n"/>
      <c r="AT30" s="7" t="n"/>
      <c r="AU30" s="7" t="n"/>
      <c r="AV30" s="7" t="n"/>
      <c r="AW30" s="7" t="n"/>
      <c r="AX30" s="7" t="n"/>
      <c r="AY30" s="7" t="n"/>
      <c r="AZ30" s="7" t="n"/>
      <c r="BA30" s="7" t="n"/>
      <c r="BB30" s="7" t="inlineStr">
        <is>
          <t>Comparativa_defectos_2018_vs_2024 + Defectos_procesales_SV_CSJA</t>
        </is>
      </c>
      <c r="BC30" s="7" t="n">
        <v>2</v>
      </c>
      <c r="BD30" s="7" t="inlineStr">
        <is>
          <t>CONOCIMIENTO</t>
        </is>
      </c>
      <c r="BE30" s="7" t="inlineStr">
        <is>
          <t>OTRO</t>
        </is>
      </c>
      <c r="BF30" s="7" t="inlineStr">
        <is>
          <t>CO</t>
        </is>
      </c>
    </row>
    <row r="31" ht="63.75" customHeight="1">
      <c r="A31" s="6" t="n">
        <v>30</v>
      </c>
      <c r="B31" s="6" t="inlineStr">
        <is>
          <t>01033-2023</t>
        </is>
      </c>
      <c r="C31" s="6" t="inlineStr">
        <is>
          <t>01033-2023-0-0401-JR-CI-04</t>
        </is>
      </c>
      <c r="D31" s="6" t="inlineStr">
        <is>
          <t>Llamoja — SV de control (2021-2023)</t>
        </is>
      </c>
      <c r="E31" s="6" t="inlineStr">
        <is>
          <t>Indemnización (ONP)</t>
        </is>
      </c>
      <c r="F31" s="6" t="inlineStr">
        <is>
          <t>2SC</t>
        </is>
      </c>
      <c r="G31" s="6" t="inlineStr">
        <is>
          <t>470-2025-2SC</t>
        </is>
      </c>
      <c r="H31" s="6" t="inlineStr">
        <is>
          <t>24</t>
        </is>
      </c>
      <c r="I31" s="6" t="inlineStr">
        <is>
          <t>dos mil veinticinco, Setiembre treinta</t>
        </is>
      </c>
      <c r="J31" s="6" t="inlineStr">
        <is>
          <t>2025</t>
        </is>
      </c>
      <c r="K31" s="6" t="n"/>
      <c r="L31" s="6" t="inlineStr">
        <is>
          <t>de la Cuba Chirinos</t>
        </is>
      </c>
      <c r="M31" s="6" t="inlineStr">
        <is>
          <t>NULA DE OFICIO</t>
        </is>
      </c>
      <c r="N31" s="6" t="n">
        <v>1</v>
      </c>
      <c r="O31" s="6" t="n">
        <v>1</v>
      </c>
      <c r="P31" s="7" t="n"/>
      <c r="Q31" s="7" t="n"/>
      <c r="R31" s="7" t="n"/>
      <c r="S31" s="7" t="n"/>
      <c r="T31" s="7" t="n"/>
      <c r="U31" s="7" t="n"/>
      <c r="V31" s="7" t="n"/>
      <c r="W31" s="7" t="n"/>
      <c r="X31" s="7" t="n"/>
      <c r="Y31" s="7" t="n"/>
      <c r="Z31" s="7" t="n"/>
      <c r="AA31" s="7" t="n"/>
      <c r="AB31" s="7" t="n"/>
      <c r="AC31" s="7" t="n"/>
      <c r="AD31" s="7" t="n"/>
      <c r="AE31" s="8" t="inlineStr">
        <is>
          <t>DECLARADO — (evidencia en las columnas «Cita textual 1–3» de esta misma fila)</t>
        </is>
      </c>
      <c r="AF31" s="7" t="n"/>
      <c r="AG31" s="7" t="n"/>
      <c r="AH31" s="7" t="n"/>
      <c r="AI31" s="7" t="n"/>
      <c r="AJ31" s="7" t="n"/>
      <c r="AK31" s="7" t="n"/>
      <c r="AL31" s="7" t="n"/>
      <c r="AM31" s="7" t="inlineStr">
        <is>
          <t>Sí</t>
        </is>
      </c>
      <c r="AN31" s="7" t="n"/>
      <c r="AO31" s="7" t="n"/>
      <c r="AP31" s="7" t="inlineStr">
        <is>
          <t>Baja D13→—</t>
        </is>
      </c>
      <c r="AQ31" s="7" t="inlineStr">
        <is>
          <t>e) Motivación sustancialmente incongruente</t>
        </is>
      </c>
      <c r="AR31" s="7" t="n"/>
      <c r="AS31" s="7" t="inlineStr">
        <is>
          <t>No</t>
        </is>
      </c>
      <c r="AT31" s="7" t="inlineStr">
        <is>
          <t>«En ese sentido, existe manifiesta incongruencia entre lo que se pretendió en la demanda – responsabilidad civil contractual – y, lo que se ha resuelto en la sentencia, confundiendo ambos tipos de responsabilidad civil en su fundamento jurídico, estableciendo que el hecho objeto de probanza es la responsabilidad contractual; y, aplicando indistintamente las reglas jurídicas de ambas.»</t>
        </is>
      </c>
      <c r="AU31" s="7" t="inlineStr">
        <is>
          <t>e) Incongruencia sustancial (contractual vs. extracontractual)</t>
        </is>
      </c>
      <c r="AV31" s="7" t="inlineStr">
        <is>
          <t>«Aun cuando la nulidad procesal es de último recurso, en el caso concreto, no puede esta instancia superior superar tales vicios de motivación, pues se trata de defectos graves insubsanables.»</t>
        </is>
      </c>
      <c r="AW31" s="7" t="inlineStr">
        <is>
          <t>Efecto: nulidad de oficio, vicios insubsanables</t>
        </is>
      </c>
      <c r="AX31" s="7" t="inlineStr">
        <is>
          <t>«En consecuencia, debe declararse la nulidad de la sentencia apelada, debiendo el juez de primera instancia cumplir con determinar el tipo de responsabilidad civil en la cual nos encontramos; analizando la aplicación de principios para sustanciar de modo correcto la pretensión del actor en los hechos y fundamento jurídico invocado.»</t>
        </is>
      </c>
      <c r="AY31" s="7" t="inlineStr">
        <is>
          <t>Alcance del reenvío: determinar el tipo de responsabilidad</t>
        </is>
      </c>
      <c r="AZ31" s="7" t="inlineStr">
        <is>
          <t>'Manifiesta incongruencia' entre lo pretendido (resp. contractual) y lo resuelto; confusión de regímenes de responsabilidad.</t>
        </is>
      </c>
      <c r="BA31" s="7" t="inlineStr">
        <is>
          <t>1033 2023  SV.doc</t>
        </is>
      </c>
      <c r="BB31" s="7" t="inlineStr">
        <is>
          <t>Clasificacion_SV_ABR24_Llamoja_defectos</t>
        </is>
      </c>
      <c r="BC31" s="7" t="n">
        <v>1</v>
      </c>
      <c r="BD31" s="7" t="inlineStr">
        <is>
          <t>ABREVIADO</t>
        </is>
      </c>
      <c r="BE31" s="7" t="inlineStr">
        <is>
          <t>NULA</t>
        </is>
      </c>
      <c r="BF31" s="7" t="inlineStr">
        <is>
          <t>AN</t>
        </is>
      </c>
    </row>
    <row r="32" ht="105.75" customHeight="1">
      <c r="A32" s="6" t="n">
        <v>31</v>
      </c>
      <c r="B32" s="6" t="inlineStr">
        <is>
          <t>01101-2022</t>
        </is>
      </c>
      <c r="C32" s="6" t="inlineStr">
        <is>
          <t>01101-2022</t>
        </is>
      </c>
      <c r="D32" s="6" t="inlineStr">
        <is>
          <t>2024</t>
        </is>
      </c>
      <c r="E32" s="6" t="n"/>
      <c r="F32" s="6" t="inlineStr">
        <is>
          <t>2SC</t>
        </is>
      </c>
      <c r="G32" s="6" t="inlineStr">
        <is>
          <t>SV N° 226-2025-2SC</t>
        </is>
      </c>
      <c r="H32" s="6" t="n"/>
      <c r="I32" s="6" t="inlineStr">
        <is>
          <t>16/05/2025</t>
        </is>
      </c>
      <c r="J32" s="6" t="inlineStr">
        <is>
          <t>2025</t>
        </is>
      </c>
      <c r="K32" s="6" t="n"/>
      <c r="L32" s="6" t="n"/>
      <c r="M32" s="6" t="inlineStr">
        <is>
          <t>Nula</t>
        </is>
      </c>
      <c r="N32" s="6" t="n">
        <v>1</v>
      </c>
      <c r="O32" s="6" t="n">
        <v>1</v>
      </c>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c r="AK32" s="7" t="n"/>
      <c r="AL32" s="8" t="inlineStr">
        <is>
          <t>DECLARADO — “…lo no es posible particularmente en este caso, debido a que el error en la motivación de la recurrida, contraviene de esta manera no sólo lo establecido en el numeral 3) del artículo 122 del T.U.O. del Código Procesal Civil, sino también lo dispuesto en el numeral 5) del artículo 139 de nuestra Constitución Política, po…”</t>
        </is>
      </c>
      <c r="AM32" s="7" t="n"/>
      <c r="AN32" s="7" t="n"/>
      <c r="AO32" s="7" t="n"/>
      <c r="AP32" s="7" t="inlineStr">
        <is>
          <t>Migración D15→D23</t>
        </is>
      </c>
      <c r="AQ32" s="7" t="n"/>
      <c r="AR32" s="7" t="n"/>
      <c r="AS32" s="7" t="n"/>
      <c r="AT32" s="7" t="n"/>
      <c r="AU32" s="7" t="n"/>
      <c r="AV32" s="7" t="n"/>
      <c r="AW32" s="7" t="n"/>
      <c r="AX32" s="7" t="n"/>
      <c r="AY32" s="7" t="n"/>
      <c r="AZ32" s="7" t="n"/>
      <c r="BA32" s="7" t="n"/>
      <c r="BB32" s="7" t="inlineStr">
        <is>
          <t>Comparativa_defectos_2018_vs_2024 + Defectos_procesales_SV_CSJA</t>
        </is>
      </c>
      <c r="BC32" s="7" t="n">
        <v>2</v>
      </c>
      <c r="BD32" s="7" t="inlineStr">
        <is>
          <t>CONOCIMIENTO</t>
        </is>
      </c>
      <c r="BE32" s="7" t="inlineStr">
        <is>
          <t>NULA</t>
        </is>
      </c>
      <c r="BF32" s="7" t="inlineStr">
        <is>
          <t>CN</t>
        </is>
      </c>
    </row>
    <row r="33" ht="105.75" customHeight="1">
      <c r="A33" s="6" t="n">
        <v>32</v>
      </c>
      <c r="B33" s="6" t="inlineStr">
        <is>
          <t>01286-2022</t>
        </is>
      </c>
      <c r="C33" s="6" t="inlineStr">
        <is>
          <t>01286-2022</t>
        </is>
      </c>
      <c r="D33" s="6" t="inlineStr">
        <is>
          <t>2024</t>
        </is>
      </c>
      <c r="E33" s="6" t="n"/>
      <c r="F33" s="6" t="inlineStr">
        <is>
          <t>2SC</t>
        </is>
      </c>
      <c r="G33" s="6" t="inlineStr">
        <is>
          <t>SV N° 341-2025-2SC</t>
        </is>
      </c>
      <c r="H33" s="6" t="n"/>
      <c r="I33" s="6" t="inlineStr">
        <is>
          <t>18/07/2025</t>
        </is>
      </c>
      <c r="J33" s="6" t="inlineStr">
        <is>
          <t>2025</t>
        </is>
      </c>
      <c r="K33" s="6" t="n"/>
      <c r="L33" s="6" t="n"/>
      <c r="M33" s="6" t="inlineStr">
        <is>
          <t>Nula e insubsistente</t>
        </is>
      </c>
      <c r="N33" s="6" t="n">
        <v>2</v>
      </c>
      <c r="O33" s="6" t="n">
        <v>3</v>
      </c>
      <c r="P33" s="8" t="inlineStr">
        <is>
          <t>DECLARADO — “…ntencia fue expedida incumpliendo el inciso 3) del artículo 139º de la Constitución Política del Estado, en concordancia con el artículo I del título preliminar del código procesal civil y el artículo 165º del código procesal civil, ya que todas las notificaciones se han efectuado en un domicilio que no es el suyo. 4.4. Al respecto,…”</t>
        </is>
      </c>
      <c r="Q33" s="9" t="inlineStr">
        <is>
          <t>DERIVADO — “…esales posteriores, incluida la sentencia. En consecuencia, se vulneró su derecho de defensa y contradicción, configurándose así una infracción al debido proceso. Este vicio procesal resulta ser insubsanable, al haber impedido l…”</t>
        </is>
      </c>
      <c r="R33" s="7" t="n"/>
      <c r="S33" s="8" t="inlineStr">
        <is>
          <t>DECLARADO — “…tubre de dos mil veintidós [ver de fojas 337 a 339 del eje] se declara rebelde al recurrente Rossvel Gregorio Mamani Chire, además se indica, que debe notificársele con arreglo a lo dispuesto por el artículo 459º del código procesal civil. Asimismo, la mencionada resolución fue notificada al…”</t>
        </is>
      </c>
      <c r="T33" s="7" t="n"/>
      <c r="U33" s="7" t="n"/>
      <c r="V33" s="7" t="n"/>
      <c r="W33" s="7" t="n"/>
      <c r="X33" s="7" t="n"/>
      <c r="Y33" s="7" t="n"/>
      <c r="Z33" s="7" t="n"/>
      <c r="AA33" s="7" t="n"/>
      <c r="AB33" s="7" t="n"/>
      <c r="AC33" s="7" t="n"/>
      <c r="AD33" s="7" t="n"/>
      <c r="AE33" s="7" t="n"/>
      <c r="AF33" s="7" t="n"/>
      <c r="AG33" s="7" t="n"/>
      <c r="AH33" s="7" t="n"/>
      <c r="AI33" s="7" t="n"/>
      <c r="AJ33" s="7" t="n"/>
      <c r="AK33" s="7" t="n"/>
      <c r="AL33" s="7" t="n"/>
      <c r="AM33" s="7" t="inlineStr">
        <is>
          <t>Sí</t>
        </is>
      </c>
      <c r="AN33" s="7" t="n"/>
      <c r="AO33" s="7" t="inlineStr">
        <is>
          <t>D04: la cita registrada es narrativa (refiere la declaración de rebeldía y el art. 459 CPC) y no contiene juicio sobre su invalidez. Sustituir por el pasaje que anula los actos desde la Res. N° 04.</t>
        </is>
      </c>
      <c r="AP33" s="7" t="inlineStr">
        <is>
          <t>Baja D08→— · Baja D20→— · Reclasificación de estatus D02→D02 (derivado)</t>
        </is>
      </c>
      <c r="AQ33" s="7" t="n"/>
      <c r="AR33" s="7" t="n"/>
      <c r="AS33" s="7" t="n"/>
      <c r="AT33" s="7" t="n"/>
      <c r="AU33" s="7" t="n"/>
      <c r="AV33" s="7" t="n"/>
      <c r="AW33" s="7" t="n"/>
      <c r="AX33" s="7" t="n"/>
      <c r="AY33" s="7" t="n"/>
      <c r="AZ33" s="7" t="n"/>
      <c r="BA33" s="7" t="n"/>
      <c r="BB33" s="7" t="inlineStr">
        <is>
          <t>Comparativa_defectos_2018_vs_2024 + Defectos_procesales_SV_CSJA</t>
        </is>
      </c>
      <c r="BC33" s="7" t="n">
        <v>2</v>
      </c>
      <c r="BD33" s="7" t="inlineStr">
        <is>
          <t>CONOCIMIENTO</t>
        </is>
      </c>
      <c r="BE33" s="7" t="inlineStr">
        <is>
          <t>NULA</t>
        </is>
      </c>
      <c r="BF33" s="7" t="inlineStr">
        <is>
          <t>CN</t>
        </is>
      </c>
    </row>
    <row r="34" ht="32.25" customHeight="1">
      <c r="A34" s="6" t="n">
        <v>33</v>
      </c>
      <c r="B34" s="6" t="inlineStr">
        <is>
          <t>01328-2023</t>
        </is>
      </c>
      <c r="C34" s="6" t="inlineStr">
        <is>
          <t>01328-2023</t>
        </is>
      </c>
      <c r="D34" s="6" t="inlineStr">
        <is>
          <t>2024</t>
        </is>
      </c>
      <c r="E34" s="6" t="n"/>
      <c r="F34" s="6" t="inlineStr">
        <is>
          <t>2SC</t>
        </is>
      </c>
      <c r="G34" s="6" t="inlineStr">
        <is>
          <t>SV N° 155-2025-2SC</t>
        </is>
      </c>
      <c r="H34" s="6" t="n"/>
      <c r="I34" s="6" t="inlineStr">
        <is>
          <t>08/04/2025</t>
        </is>
      </c>
      <c r="J34" s="6" t="inlineStr">
        <is>
          <t>2025</t>
        </is>
      </c>
      <c r="K34" s="6" t="n"/>
      <c r="L34" s="6" t="n"/>
      <c r="M34" s="6" t="inlineStr">
        <is>
          <t>Revocada</t>
        </is>
      </c>
      <c r="N34" s="6" t="n">
        <v>0</v>
      </c>
      <c r="O34" s="6" t="n">
        <v>0</v>
      </c>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c r="AK34" s="7" t="n"/>
      <c r="AL34" s="7" t="n"/>
      <c r="AM34" s="7" t="n"/>
      <c r="AN34" s="7" t="n"/>
      <c r="AO34" s="7" t="n"/>
      <c r="AP34" s="7" t="n"/>
      <c r="AQ34" s="7" t="n"/>
      <c r="AR34" s="7" t="n"/>
      <c r="AS34" s="7" t="n"/>
      <c r="AT34" s="7" t="n"/>
      <c r="AU34" s="7" t="n"/>
      <c r="AV34" s="7" t="n"/>
      <c r="AW34" s="7" t="n"/>
      <c r="AX34" s="7" t="n"/>
      <c r="AY34" s="7" t="n"/>
      <c r="AZ34" s="7" t="n"/>
      <c r="BA34" s="7" t="n"/>
      <c r="BB34" s="7" t="inlineStr">
        <is>
          <t>Comparativa_defectos_2018_vs_2024 + Defectos_procesales_SV_CSJA</t>
        </is>
      </c>
      <c r="BC34" s="7" t="n">
        <v>2</v>
      </c>
      <c r="BD34" s="7" t="inlineStr">
        <is>
          <t>CONOCIMIENTO</t>
        </is>
      </c>
      <c r="BE34" s="7" t="inlineStr">
        <is>
          <t>REVOCADA</t>
        </is>
      </c>
      <c r="BF34" s="7" t="inlineStr">
        <is>
          <t>CR</t>
        </is>
      </c>
    </row>
    <row r="35" ht="116.25" customHeight="1">
      <c r="A35" s="6" t="n">
        <v>34</v>
      </c>
      <c r="B35" s="6" t="inlineStr">
        <is>
          <t>01376-2023</t>
        </is>
      </c>
      <c r="C35" s="6" t="inlineStr">
        <is>
          <t>01376-2023</t>
        </is>
      </c>
      <c r="D35" s="6" t="inlineStr">
        <is>
          <t>2024</t>
        </is>
      </c>
      <c r="E35" s="6" t="n"/>
      <c r="F35" s="6" t="inlineStr">
        <is>
          <t>2SC</t>
        </is>
      </c>
      <c r="G35" s="6" t="inlineStr">
        <is>
          <t>SV N° 033-2026-2SC</t>
        </is>
      </c>
      <c r="H35" s="6" t="n"/>
      <c r="I35" s="6" t="inlineStr">
        <is>
          <t>23/01/2026</t>
        </is>
      </c>
      <c r="J35" s="6" t="inlineStr">
        <is>
          <t>2026</t>
        </is>
      </c>
      <c r="K35" s="6" t="n"/>
      <c r="L35" s="6" t="n"/>
      <c r="M35" s="6" t="inlineStr">
        <is>
          <t>Revocada</t>
        </is>
      </c>
      <c r="N35" s="6" t="n">
        <v>2</v>
      </c>
      <c r="O35" s="6" t="n">
        <v>2</v>
      </c>
      <c r="P35" s="7" t="n"/>
      <c r="Q35" s="7" t="n"/>
      <c r="R35" s="7" t="n"/>
      <c r="S35" s="7" t="n"/>
      <c r="T35" s="7" t="n"/>
      <c r="U35" s="7" t="n"/>
      <c r="V35" s="7" t="n"/>
      <c r="W35" s="7" t="n"/>
      <c r="X35" s="7" t="n"/>
      <c r="Y35" s="7" t="n"/>
      <c r="Z35" s="7" t="n"/>
      <c r="AA35" s="8" t="inlineStr">
        <is>
          <t>DECLARADO — “…rente que la jueza de primera instancia incurre en omisión en cuanto a la valoración conjunta y razonada de los medios probatorios admitidos de la parte demandante y en consecuencia se ha constituido un vicio in procedendo debido que todos los medios probatorios admitidos por la jueza de primera instancia deben ser valorados en forma conjunta o en…”</t>
        </is>
      </c>
      <c r="AB35" s="7" t="n"/>
      <c r="AC35" s="7" t="n"/>
      <c r="AD35" s="7" t="n"/>
      <c r="AE35" s="7" t="n"/>
      <c r="AF35" s="7" t="n"/>
      <c r="AG35" s="7" t="n"/>
      <c r="AH35" s="8" t="inlineStr">
        <is>
          <t>DECLARADO — “…ción N° 07 de fecha tres de noviembre de dos mil veintitrés [ver fojas 232 y 233 del EJE], en donde se declaró improcedente tanto la contestación de la demanda como la reconvención por extemporánea en relación al condemandado Alfredo Joaquín Flores Apaza y disponiendo que el juzgado de primera instancia proceda a calificar la contestación de la demanda y…”</t>
        </is>
      </c>
      <c r="AI35" s="7" t="n"/>
      <c r="AJ35" s="7" t="n"/>
      <c r="AK35" s="7" t="n"/>
      <c r="AL35" s="7" t="n"/>
      <c r="AM35" s="7" t="n"/>
      <c r="AN35" s="7" t="n"/>
      <c r="AO35" s="7" t="inlineStr">
        <is>
          <t>La cita registrada en D20 es literalmente idéntica a la CITA1 del expediente 04965-2023. Verificar en el original antes de conservar el registro.</t>
        </is>
      </c>
      <c r="AP35" s="7" t="inlineStr">
        <is>
          <t>Migración D11→D12 · Migración D08→D19 · Baja D20→—</t>
        </is>
      </c>
      <c r="AQ35" s="7" t="n"/>
      <c r="AR35" s="7" t="n"/>
      <c r="AS35" s="7" t="n"/>
      <c r="AT35" s="7" t="n"/>
      <c r="AU35" s="7" t="n"/>
      <c r="AV35" s="7" t="n"/>
      <c r="AW35" s="7" t="n"/>
      <c r="AX35" s="7" t="n"/>
      <c r="AY35" s="7" t="n"/>
      <c r="AZ35" s="7" t="n"/>
      <c r="BA35" s="7" t="n"/>
      <c r="BB35" s="7" t="inlineStr">
        <is>
          <t>Comparativa_defectos_2018_vs_2024 + Defectos_procesales_SV_CSJA</t>
        </is>
      </c>
      <c r="BC35" s="7" t="n">
        <v>2</v>
      </c>
      <c r="BD35" s="7" t="inlineStr">
        <is>
          <t>CONOCIMIENTO</t>
        </is>
      </c>
      <c r="BE35" s="7" t="inlineStr">
        <is>
          <t>REVOCADA</t>
        </is>
      </c>
      <c r="BF35" s="7" t="inlineStr">
        <is>
          <t>CR</t>
        </is>
      </c>
    </row>
    <row r="36" ht="126.75" customHeight="1">
      <c r="A36" s="6" t="n">
        <v>35</v>
      </c>
      <c r="B36" s="6" t="inlineStr">
        <is>
          <t>01417-2017</t>
        </is>
      </c>
      <c r="C36" s="6" t="inlineStr">
        <is>
          <t>01417-2017</t>
        </is>
      </c>
      <c r="D36" s="6" t="inlineStr">
        <is>
          <t>Pre-2019</t>
        </is>
      </c>
      <c r="E36" s="6" t="n"/>
      <c r="F36" s="6" t="inlineStr">
        <is>
          <t>2SC</t>
        </is>
      </c>
      <c r="G36" s="6" t="inlineStr">
        <is>
          <t>SV N° 004-2020-2SC</t>
        </is>
      </c>
      <c r="H36" s="6" t="n"/>
      <c r="I36" s="6" t="inlineStr">
        <is>
          <t>03/01/2020</t>
        </is>
      </c>
      <c r="J36" s="6" t="inlineStr">
        <is>
          <t>2020</t>
        </is>
      </c>
      <c r="K36" s="6" t="n"/>
      <c r="L36" s="6" t="n"/>
      <c r="M36" s="6" t="inlineStr">
        <is>
          <t>Nula</t>
        </is>
      </c>
      <c r="N36" s="6" t="n">
        <v>1</v>
      </c>
      <c r="O36" s="6" t="n">
        <v>1</v>
      </c>
      <c r="P36" s="7" t="n"/>
      <c r="Q36" s="7" t="n"/>
      <c r="R36" s="7" t="n"/>
      <c r="S36" s="7" t="n"/>
      <c r="T36" s="7" t="n"/>
      <c r="U36" s="7" t="n"/>
      <c r="V36" s="7" t="n"/>
      <c r="W36" s="7" t="n"/>
      <c r="X36" s="7" t="n"/>
      <c r="Y36" s="7" t="n"/>
      <c r="Z36" s="7" t="n"/>
      <c r="AA36" s="7" t="n"/>
      <c r="AB36" s="7" t="n"/>
      <c r="AC36" s="7" t="n"/>
      <c r="AD36" s="7" t="n"/>
      <c r="AE36" s="7" t="n"/>
      <c r="AF36" s="7" t="n"/>
      <c r="AG36" s="7" t="n"/>
      <c r="AH36" s="7" t="n"/>
      <c r="AI36" s="7" t="n"/>
      <c r="AJ36" s="7" t="n"/>
      <c r="AK36" s="7" t="n"/>
      <c r="AL36" s="8" t="inlineStr">
        <is>
          <t>DECLARADO — “…en mérito a lo expuesto precedentemente se concluye que la sentencia recurrida no se encuentra debidamente motivada, contraviniendo de esta manera lo establecido en el segundo párrafo del artículo 122 del Código Procesal Civil, por lo que, corresponde declarar la nulidad de la apelada, de conformidad con el artículo 171 del Código Procesal acotado. PARTE RESOLUTIVA: Fundamentos…”</t>
        </is>
      </c>
      <c r="AM36" s="7" t="n"/>
      <c r="AN36" s="7" t="n"/>
      <c r="AO36" s="7" t="n"/>
      <c r="AP36" s="7" t="inlineStr">
        <is>
          <t>Migración D15→D23</t>
        </is>
      </c>
      <c r="AQ36" s="7" t="n"/>
      <c r="AR36" s="7" t="n"/>
      <c r="AS36" s="7" t="n"/>
      <c r="AT36" s="7" t="n"/>
      <c r="AU36" s="7" t="n"/>
      <c r="AV36" s="7" t="n"/>
      <c r="AW36" s="7" t="n"/>
      <c r="AX36" s="7" t="n"/>
      <c r="AY36" s="7" t="n"/>
      <c r="AZ36" s="7" t="n"/>
      <c r="BA36" s="7" t="n"/>
      <c r="BB36" s="7" t="inlineStr">
        <is>
          <t>Comparativa_defectos_2018_vs_2024 + Defectos_procesales_SV_CSJA</t>
        </is>
      </c>
      <c r="BC36" s="7" t="n">
        <v>2</v>
      </c>
      <c r="BD36" s="7" t="inlineStr">
        <is>
          <t>CONOCIMIENTO</t>
        </is>
      </c>
      <c r="BE36" s="7" t="inlineStr">
        <is>
          <t>NULA</t>
        </is>
      </c>
      <c r="BF36" s="7" t="inlineStr">
        <is>
          <t>CN</t>
        </is>
      </c>
    </row>
    <row r="37" ht="105.75" customHeight="1">
      <c r="A37" s="6" t="n">
        <v>36</v>
      </c>
      <c r="B37" s="6" t="inlineStr">
        <is>
          <t>01535-2022</t>
        </is>
      </c>
      <c r="C37" s="6" t="inlineStr">
        <is>
          <t>01535-2022</t>
        </is>
      </c>
      <c r="D37" s="6" t="inlineStr">
        <is>
          <t>2024</t>
        </is>
      </c>
      <c r="E37" s="6" t="n"/>
      <c r="F37" s="6" t="inlineStr">
        <is>
          <t>2SC</t>
        </is>
      </c>
      <c r="G37" s="6" t="inlineStr">
        <is>
          <t>SV N° 572-2024-2SC</t>
        </is>
      </c>
      <c r="H37" s="6" t="n"/>
      <c r="I37" s="6" t="inlineStr">
        <is>
          <t>11/12/2024</t>
        </is>
      </c>
      <c r="J37" s="6" t="inlineStr">
        <is>
          <t>2024</t>
        </is>
      </c>
      <c r="K37" s="6" t="n"/>
      <c r="L37" s="6" t="n"/>
      <c r="M37" s="6" t="inlineStr">
        <is>
          <t>Nula</t>
        </is>
      </c>
      <c r="N37" s="6" t="n">
        <v>2</v>
      </c>
      <c r="O37" s="6" t="n">
        <v>2</v>
      </c>
      <c r="P37" s="7" t="n"/>
      <c r="Q37" s="7" t="n"/>
      <c r="R37" s="7" t="n"/>
      <c r="S37" s="7" t="n"/>
      <c r="T37" s="7" t="n"/>
      <c r="U37" s="7" t="n"/>
      <c r="V37" s="7" t="n"/>
      <c r="W37" s="7" t="n"/>
      <c r="X37" s="7" t="n"/>
      <c r="Y37" s="7" t="n"/>
      <c r="Z37" s="8" t="inlineStr">
        <is>
          <t>DECLARADO — “…n apelada no se ha dado una respuesta debidamente razonada al justiciable, pues se ha omitido valorar los argumentos expuestos por la parte apelante, así como los medios probatorios adjuntos al escrito de solicitud de medida cautelar, existiendo una motivación aparente, la cual es entendida por el Tribunal Constitucional como…”</t>
        </is>
      </c>
      <c r="AA37" s="7" t="n"/>
      <c r="AB37" s="7" t="n"/>
      <c r="AC37" s="8" t="inlineStr">
        <is>
          <t>DECLARADO — “…a que a través de la resolución apelada no se ha dado una respuesta debidamente razonada al justiciable, pues se ha omitido valorar los argumentos expuestos por la parte apelante, así como los medios probatorios adjuntos al escrito de solicitud de medida cautelar…”</t>
        </is>
      </c>
      <c r="AD37" s="7" t="n"/>
      <c r="AE37" s="7" t="n"/>
      <c r="AF37" s="7" t="n"/>
      <c r="AG37" s="7" t="n"/>
      <c r="AH37" s="7" t="n"/>
      <c r="AI37" s="7" t="n"/>
      <c r="AJ37" s="7" t="n"/>
      <c r="AK37" s="7" t="n"/>
      <c r="AL37" s="7" t="n"/>
      <c r="AM37" s="7" t="n"/>
      <c r="AN37" s="7" t="n"/>
      <c r="AO37" s="7" t="n"/>
      <c r="AP37" s="7" t="inlineStr">
        <is>
          <t>Migración D15→D14</t>
        </is>
      </c>
      <c r="AQ37" s="7" t="n"/>
      <c r="AR37" s="7" t="n"/>
      <c r="AS37" s="7" t="n"/>
      <c r="AT37" s="7" t="n"/>
      <c r="AU37" s="7" t="n"/>
      <c r="AV37" s="7" t="n"/>
      <c r="AW37" s="7" t="n"/>
      <c r="AX37" s="7" t="n"/>
      <c r="AY37" s="7" t="n"/>
      <c r="AZ37" s="7" t="n"/>
      <c r="BA37" s="7" t="n"/>
      <c r="BB37" s="7" t="inlineStr">
        <is>
          <t>Comparativa_defectos_2018_vs_2024 + Defectos_procesales_SV_CSJA</t>
        </is>
      </c>
      <c r="BC37" s="7" t="n">
        <v>2</v>
      </c>
      <c r="BD37" s="7" t="inlineStr">
        <is>
          <t>CONOCIMIENTO</t>
        </is>
      </c>
      <c r="BE37" s="7" t="inlineStr">
        <is>
          <t>NULA</t>
        </is>
      </c>
      <c r="BF37" s="7" t="inlineStr">
        <is>
          <t>CN</t>
        </is>
      </c>
    </row>
    <row r="38" ht="32.25" customHeight="1">
      <c r="A38" s="6" t="n">
        <v>37</v>
      </c>
      <c r="B38" s="6" t="inlineStr">
        <is>
          <t>01549-2017</t>
        </is>
      </c>
      <c r="C38" s="6" t="inlineStr">
        <is>
          <t>01549-2017-0-0401-JR-CI-04</t>
        </is>
      </c>
      <c r="D38" s="6" t="inlineStr">
        <is>
          <t>Matriz sumarísimos — anteriores a 2019</t>
        </is>
      </c>
      <c r="E38" s="6" t="inlineStr">
        <is>
          <t>Otorgamiento de escritura pública</t>
        </is>
      </c>
      <c r="F38" s="6" t="inlineStr">
        <is>
          <t>2SC</t>
        </is>
      </c>
      <c r="G38" s="6" t="inlineStr">
        <is>
          <t>SV 173-2019-2SC</t>
        </is>
      </c>
      <c r="H38" s="6" t="inlineStr">
        <is>
          <t>Res. 18 (tres-2SC)</t>
        </is>
      </c>
      <c r="I38" s="6" t="inlineStr">
        <is>
          <t>10/05/2019</t>
        </is>
      </c>
      <c r="J38" s="6" t="inlineStr">
        <is>
          <t>2019</t>
        </is>
      </c>
      <c r="K38" s="6" t="inlineStr">
        <is>
          <t>Justo Quispe Apaza</t>
        </is>
      </c>
      <c r="L38" s="6" t="n"/>
      <c r="M38" s="6" t="inlineStr">
        <is>
          <t>REVOCADA → IMPROCEDENTE</t>
        </is>
      </c>
      <c r="N38" s="6" t="n">
        <v>0</v>
      </c>
      <c r="O38" s="6" t="n">
        <v>0</v>
      </c>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c r="AK38" s="7" t="n"/>
      <c r="AL38" s="7" t="n"/>
      <c r="AM38" s="7" t="n"/>
      <c r="AN38" s="7" t="n"/>
      <c r="AO38" s="7" t="n"/>
      <c r="AP38" s="7" t="n"/>
      <c r="AQ38" s="7" t="n"/>
      <c r="AR38" s="7" t="n"/>
      <c r="AS38" s="7" t="n"/>
      <c r="AT38" s="7" t="n"/>
      <c r="AU38" s="7" t="n"/>
      <c r="AV38" s="7" t="n"/>
      <c r="AW38" s="7" t="n"/>
      <c r="AX38" s="7" t="n"/>
      <c r="AY38" s="7" t="n"/>
      <c r="AZ38" s="7" t="inlineStr">
        <is>
          <t>Sin vicio procesal declarado. La revocatoria se funda en error de derecho sustantivo (condición suspensiva no acreditada; IX Pleno Casatorio).</t>
        </is>
      </c>
      <c r="BA38" s="7" t="n"/>
      <c r="BB38" s="7" t="inlineStr">
        <is>
          <t>Matriz_defectos_procesales_1ra_SV</t>
        </is>
      </c>
      <c r="BC38" s="7" t="n">
        <v>1</v>
      </c>
      <c r="BD38" s="7" t="inlineStr">
        <is>
          <t>SUMARISIMO</t>
        </is>
      </c>
      <c r="BE38" s="7" t="inlineStr">
        <is>
          <t>REVOCADA</t>
        </is>
      </c>
      <c r="BF38" s="7" t="inlineStr">
        <is>
          <t>SR</t>
        </is>
      </c>
    </row>
    <row r="39" ht="116.25" customHeight="1">
      <c r="A39" s="6" t="n">
        <v>38</v>
      </c>
      <c r="B39" s="6" t="inlineStr">
        <is>
          <t>01647-2019</t>
        </is>
      </c>
      <c r="C39" s="6" t="inlineStr">
        <is>
          <t>01647-2019</t>
        </is>
      </c>
      <c r="D39" s="6" t="inlineStr">
        <is>
          <t>2024</t>
        </is>
      </c>
      <c r="E39" s="6" t="n"/>
      <c r="F39" s="6" t="inlineStr">
        <is>
          <t>2SC</t>
        </is>
      </c>
      <c r="G39" s="6" t="inlineStr">
        <is>
          <t>SV N° 082-2026-2SC</t>
        </is>
      </c>
      <c r="H39" s="6" t="n"/>
      <c r="I39" s="6" t="inlineStr">
        <is>
          <t>18/03/2026</t>
        </is>
      </c>
      <c r="J39" s="6" t="inlineStr">
        <is>
          <t>2026</t>
        </is>
      </c>
      <c r="K39" s="6" t="n"/>
      <c r="L39" s="6" t="n"/>
      <c r="M39" s="6" t="inlineStr">
        <is>
          <t>Nula</t>
        </is>
      </c>
      <c r="N39" s="6" t="n">
        <v>2</v>
      </c>
      <c r="O39" s="6" t="n">
        <v>2</v>
      </c>
      <c r="P39" s="7" t="n"/>
      <c r="Q39" s="7" t="n"/>
      <c r="R39" s="7" t="n"/>
      <c r="S39" s="7" t="n"/>
      <c r="T39" s="7" t="n"/>
      <c r="U39" s="7" t="n"/>
      <c r="V39" s="7" t="n"/>
      <c r="W39" s="7" t="n"/>
      <c r="X39" s="7" t="n"/>
      <c r="Y39" s="7" t="n"/>
      <c r="Z39" s="7" t="n"/>
      <c r="AA39" s="8" t="inlineStr">
        <is>
          <t>DECLARADO — “…uye, que al haberse expedido la sentencia materia de grado, sin que se haya realizado un análisis conjunto y razonado de los medios probatorios admitidos y actuados en el proceso como lo dispone el artículo 197 del Código Procesal Civil, se ha vulnerado el principio al debido proceso y el de motivación establecido en los incisos 3° y 5° del artículo 139 de nues…”</t>
        </is>
      </c>
      <c r="AB39" s="7" t="n"/>
      <c r="AC39" s="8" t="inlineStr">
        <is>
          <t>DECLARADO — “…al debido proceso y el de motivación establecido en los incisos 3° y 5° del artículo 139 de nuestra constitución; pues nos encontramos ante una motivación aparente; por lo que, en aplicación de lo dispuesto por el artículo 176, concordante con el 171 del Código Procesal Civil debe d…”</t>
        </is>
      </c>
      <c r="AD39" s="7" t="n"/>
      <c r="AE39" s="7" t="n"/>
      <c r="AF39" s="7" t="n"/>
      <c r="AG39" s="7" t="n"/>
      <c r="AH39" s="7" t="n"/>
      <c r="AI39" s="7" t="n"/>
      <c r="AJ39" s="7" t="n"/>
      <c r="AK39" s="7" t="n"/>
      <c r="AL39" s="7" t="n"/>
      <c r="AM39" s="7" t="n"/>
      <c r="AN39" s="7" t="n"/>
      <c r="AO39" s="7" t="n"/>
      <c r="AP39" s="7" t="inlineStr">
        <is>
          <t>Migración D11→D12</t>
        </is>
      </c>
      <c r="AQ39" s="7" t="n"/>
      <c r="AR39" s="7" t="n"/>
      <c r="AS39" s="7" t="n"/>
      <c r="AT39" s="7" t="n"/>
      <c r="AU39" s="7" t="n"/>
      <c r="AV39" s="7" t="n"/>
      <c r="AW39" s="7" t="n"/>
      <c r="AX39" s="7" t="n"/>
      <c r="AY39" s="7" t="n"/>
      <c r="AZ39" s="7" t="n"/>
      <c r="BA39" s="7" t="n"/>
      <c r="BB39" s="7" t="inlineStr">
        <is>
          <t>Comparativa_defectos_2018_vs_2024 + Defectos_procesales_SV_CSJA</t>
        </is>
      </c>
      <c r="BC39" s="7" t="n">
        <v>2</v>
      </c>
      <c r="BD39" s="7" t="inlineStr">
        <is>
          <t>CONOCIMIENTO</t>
        </is>
      </c>
      <c r="BE39" s="7" t="inlineStr">
        <is>
          <t>NULA</t>
        </is>
      </c>
      <c r="BF39" s="7" t="inlineStr">
        <is>
          <t>CN</t>
        </is>
      </c>
    </row>
    <row r="40" ht="32.25" customHeight="1">
      <c r="A40" s="6" t="n">
        <v>39</v>
      </c>
      <c r="B40" s="6" t="inlineStr">
        <is>
          <t>01650-2023</t>
        </is>
      </c>
      <c r="C40" s="6" t="inlineStr">
        <is>
          <t>01650-2023</t>
        </is>
      </c>
      <c r="D40" s="6" t="inlineStr">
        <is>
          <t>2024</t>
        </is>
      </c>
      <c r="E40" s="6" t="n"/>
      <c r="F40" s="6" t="n"/>
      <c r="G40" s="6" t="inlineStr">
        <is>
          <t>SV N° 267-2025</t>
        </is>
      </c>
      <c r="H40" s="6" t="n"/>
      <c r="I40" s="6" t="inlineStr">
        <is>
          <t>30/06/2025</t>
        </is>
      </c>
      <c r="J40" s="6" t="inlineStr">
        <is>
          <t>2025</t>
        </is>
      </c>
      <c r="K40" s="6" t="n"/>
      <c r="L40" s="6" t="n"/>
      <c r="M40" s="6" t="inlineStr">
        <is>
          <t>Revocada</t>
        </is>
      </c>
      <c r="N40" s="6" t="n">
        <v>0</v>
      </c>
      <c r="O40" s="6" t="n">
        <v>0</v>
      </c>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c r="AK40" s="7" t="n"/>
      <c r="AL40" s="7" t="n"/>
      <c r="AM40" s="7" t="n"/>
      <c r="AN40" s="7" t="n"/>
      <c r="AO40" s="7" t="n"/>
      <c r="AP40" s="7" t="n"/>
      <c r="AQ40" s="7" t="n"/>
      <c r="AR40" s="7" t="n"/>
      <c r="AS40" s="7" t="n"/>
      <c r="AT40" s="7" t="n"/>
      <c r="AU40" s="7" t="n"/>
      <c r="AV40" s="7" t="n"/>
      <c r="AW40" s="7" t="n"/>
      <c r="AX40" s="7" t="n"/>
      <c r="AY40" s="7" t="n"/>
      <c r="AZ40" s="7" t="n"/>
      <c r="BA40" s="7" t="n"/>
      <c r="BB40" s="7" t="inlineStr">
        <is>
          <t>Comparativa_defectos_2018_vs_2024 + Defectos_procesales_SV_CSJA</t>
        </is>
      </c>
      <c r="BC40" s="7" t="n">
        <v>2</v>
      </c>
      <c r="BD40" s="7" t="inlineStr">
        <is>
          <t>CONOCIMIENTO</t>
        </is>
      </c>
      <c r="BE40" s="7" t="inlineStr">
        <is>
          <t>REVOCADA</t>
        </is>
      </c>
      <c r="BF40" s="7" t="inlineStr">
        <is>
          <t>CR</t>
        </is>
      </c>
    </row>
    <row r="41" ht="63.75" customHeight="1">
      <c r="A41" s="6" t="n">
        <v>40</v>
      </c>
      <c r="B41" s="6" t="inlineStr">
        <is>
          <t>01681-2023</t>
        </is>
      </c>
      <c r="C41" s="6" t="inlineStr">
        <is>
          <t>01681-2023-0-0401-JR-CI-01</t>
        </is>
      </c>
      <c r="D41" s="6" t="inlineStr">
        <is>
          <t>Llamoja — SV de control (2021-2023)</t>
        </is>
      </c>
      <c r="E41" s="6" t="inlineStr">
        <is>
          <t>División y partición</t>
        </is>
      </c>
      <c r="F41" s="6" t="inlineStr">
        <is>
          <t>3SC</t>
        </is>
      </c>
      <c r="G41" s="6" t="inlineStr">
        <is>
          <t>219-2025-3SC</t>
        </is>
      </c>
      <c r="H41" s="6" t="inlineStr">
        <is>
          <t>39</t>
        </is>
      </c>
      <c r="I41" s="6" t="inlineStr">
        <is>
          <t>dos mil veinticinco, Junio seis</t>
        </is>
      </c>
      <c r="J41" s="6" t="inlineStr">
        <is>
          <t>2025</t>
        </is>
      </c>
      <c r="K41" s="6" t="n"/>
      <c r="L41" s="6" t="inlineStr">
        <is>
          <t>Marroquín Mogrovejo</t>
        </is>
      </c>
      <c r="M41" s="6" t="inlineStr">
        <is>
          <t>NULA (reposición hasta puntos controvertidos)</t>
        </is>
      </c>
      <c r="N41" s="6" t="n">
        <v>2</v>
      </c>
      <c r="O41" s="6" t="n">
        <v>2</v>
      </c>
      <c r="P41" s="7" t="n"/>
      <c r="Q41" s="7" t="n"/>
      <c r="R41" s="7" t="n"/>
      <c r="S41" s="7" t="n"/>
      <c r="T41" s="7" t="n"/>
      <c r="U41" s="8" t="inlineStr">
        <is>
          <t>DECLARADO — (evidencia en las columnas «Cita textual 1–3» de esta misma fila)</t>
        </is>
      </c>
      <c r="V41" s="7" t="n"/>
      <c r="W41" s="7" t="n"/>
      <c r="X41" s="7" t="n"/>
      <c r="Y41" s="7" t="n"/>
      <c r="Z41" s="7" t="n"/>
      <c r="AA41" s="7" t="n"/>
      <c r="AB41" s="7" t="n"/>
      <c r="AC41" s="7" t="n"/>
      <c r="AD41" s="8" t="inlineStr">
        <is>
          <t>DECLARADO — (evidencia en las columnas «Cita textual 1–3» de esta misma fila)</t>
        </is>
      </c>
      <c r="AE41" s="7" t="n"/>
      <c r="AF41" s="7" t="n"/>
      <c r="AG41" s="7" t="n"/>
      <c r="AH41" s="7" t="n"/>
      <c r="AI41" s="7" t="n"/>
      <c r="AJ41" s="7" t="n"/>
      <c r="AK41" s="7" t="n"/>
      <c r="AL41" s="7" t="n"/>
      <c r="AM41" s="7" t="n"/>
      <c r="AN41" s="7" t="n"/>
      <c r="AO41" s="7" t="n"/>
      <c r="AP41" s="7" t="n"/>
      <c r="AQ41" s="7" t="inlineStr">
        <is>
          <t>b) Falta de motivación interna</t>
        </is>
      </c>
      <c r="AR41" s="7" t="inlineStr">
        <is>
          <t>a) Inexistencia / motivación aparente</t>
        </is>
      </c>
      <c r="AS41" s="7" t="inlineStr">
        <is>
          <t>No</t>
        </is>
      </c>
      <c r="AT41" s="7" t="inlineStr">
        <is>
          <t>«Por otro lado, si bien se demandó la partición de sólo de una parte de derechos sobre el inmueble inscrito en la partida N° 01125760, la recurrida ha resuelto, sin ninguna motivación, que la división y partición se realice sobre el íntegro del inmueble asignando el porcentaje del 33.33% a cada una de las partes del proceso, conclusión contradictoria con lo señalado en el numeral 4.7.»</t>
        </is>
      </c>
      <c r="AU41" s="7" t="inlineStr">
        <is>
          <t>b) Defecto interno: fallo sin motivación y contradictorio</t>
        </is>
      </c>
      <c r="AV41" s="7" t="inlineStr">
        <is>
          <t>«Las omisiones, e incoherencias anotadas en los fundamentos anteriores, constituyen causal de nulidad prevista en el artículo 122 concordante con el artículo 171 del Código Procesal Civil, por lo que debe declararse nula la apelada.»</t>
        </is>
      </c>
      <c r="AW41" s="7" t="inlineStr">
        <is>
          <t>b) Omisiones e incoherencias como causal (arts. 122 y 171 CPC)</t>
        </is>
      </c>
      <c r="AX41" s="7" t="inlineStr">
        <is>
          <t>«Se deja constancia, que la Sala Superior se encuentra impedida de emitir pronunciamiento de fondo, para garantizar el principio de doble instancia a que se refiere el inciso 6 del artículo 139 de la Constitución Política del Perú.»</t>
        </is>
      </c>
      <c r="AY41" s="7" t="inlineStr">
        <is>
          <t>Efecto: reenvío por instancia plural</t>
        </is>
      </c>
      <c r="AZ41" s="7" t="inlineStr">
        <is>
          <t>Incoherencia entre fundamentos y fallo (partición sobre el íntegro vs. parte); extremo resuelto 'sin ninguna motivación'. Ordena prueba de oficio y nuevo punto controvertido.</t>
        </is>
      </c>
      <c r="BA41" s="7" t="inlineStr">
        <is>
          <t>1681 2023 SV.doc</t>
        </is>
      </c>
      <c r="BB41" s="7" t="inlineStr">
        <is>
          <t>Clasificacion_SV_ABR24_Llamoja_defectos</t>
        </is>
      </c>
      <c r="BC41" s="7" t="n">
        <v>1</v>
      </c>
      <c r="BD41" s="7" t="inlineStr">
        <is>
          <t>ABREVIADO</t>
        </is>
      </c>
      <c r="BE41" s="7" t="inlineStr">
        <is>
          <t>NULA</t>
        </is>
      </c>
      <c r="BF41" s="7" t="inlineStr">
        <is>
          <t>AN</t>
        </is>
      </c>
    </row>
    <row r="42" ht="63.75" customHeight="1">
      <c r="A42" s="6" t="n">
        <v>41</v>
      </c>
      <c r="B42" s="6" t="inlineStr">
        <is>
          <t>01723-2022</t>
        </is>
      </c>
      <c r="C42" s="6" t="inlineStr">
        <is>
          <t>01723-2022-0-0401-JR-CI-06</t>
        </is>
      </c>
      <c r="D42" s="6" t="inlineStr">
        <is>
          <t>Llamoja — SV de control (2021-2023)</t>
        </is>
      </c>
      <c r="E42" s="6" t="inlineStr">
        <is>
          <t>División y partición</t>
        </is>
      </c>
      <c r="F42" s="6" t="inlineStr">
        <is>
          <t>2SC</t>
        </is>
      </c>
      <c r="G42" s="6" t="inlineStr">
        <is>
          <t>063-2025-2SC</t>
        </is>
      </c>
      <c r="H42" s="6" t="inlineStr">
        <is>
          <t>23</t>
        </is>
      </c>
      <c r="I42" s="6" t="inlineStr">
        <is>
          <t>dos mil veinticinco, Enero veintiuno</t>
        </is>
      </c>
      <c r="J42" s="6" t="inlineStr">
        <is>
          <t>2025</t>
        </is>
      </c>
      <c r="K42" s="6" t="n"/>
      <c r="L42" s="6" t="inlineStr">
        <is>
          <t>Cervantes López</t>
        </is>
      </c>
      <c r="M42" s="6" t="inlineStr">
        <is>
          <t>REVOCA → IMPROCEDENTE</t>
        </is>
      </c>
      <c r="N42" s="6" t="n">
        <v>0</v>
      </c>
      <c r="O42" s="6" t="n">
        <v>0</v>
      </c>
      <c r="P42" s="7" t="n"/>
      <c r="Q42" s="7" t="n"/>
      <c r="R42" s="7" t="n"/>
      <c r="S42" s="7" t="n"/>
      <c r="T42" s="7" t="n"/>
      <c r="U42" s="7" t="n"/>
      <c r="V42" s="7" t="n"/>
      <c r="W42" s="7" t="n"/>
      <c r="X42" s="7" t="n"/>
      <c r="Y42" s="7" t="n"/>
      <c r="Z42" s="7" t="n"/>
      <c r="AA42" s="7" t="n"/>
      <c r="AB42" s="7" t="n"/>
      <c r="AC42" s="7" t="n"/>
      <c r="AD42" s="7" t="n"/>
      <c r="AE42" s="7" t="n"/>
      <c r="AF42" s="7" t="n"/>
      <c r="AG42" s="7" t="n"/>
      <c r="AH42" s="7" t="n"/>
      <c r="AI42" s="7" t="n"/>
      <c r="AJ42" s="7" t="n"/>
      <c r="AK42" s="7" t="n"/>
      <c r="AL42" s="7" t="n"/>
      <c r="AM42" s="7" t="n"/>
      <c r="AN42" s="7" t="n"/>
      <c r="AO42" s="7" t="n"/>
      <c r="AP42" s="7" t="n"/>
      <c r="AQ42" s="7" t="inlineStr">
        <is>
          <t>— Sin vicio de motivación como causal</t>
        </is>
      </c>
      <c r="AR42" s="7" t="n"/>
      <c r="AS42" s="7" t="inlineStr">
        <is>
          <t>No</t>
        </is>
      </c>
      <c r="AT42" s="7" t="inlineStr">
        <is>
          <t>«Por estos fundamentos, SE RESUELVE: REVOCAR la Sentencia N° 5-2024-6JEC (Resolución N° 16) de fecha 15 de enero de 2024 digitalizada a fojas doscientos quince, que resolvió declarar fundada la demanda interpuesta por Dennis Pablo Salas Mollinedo en contra de Miryam Giannina Aguilar Pacheco sobre División y Partición de bien, con lo demás que contiene.»</t>
        </is>
      </c>
      <c r="AU42" s="7" t="inlineStr">
        <is>
          <t>Error de juicio: revoca y reforma (improcedente)</t>
        </is>
      </c>
      <c r="AV42" s="7" t="inlineStr">
        <is>
          <t>«REFORMANDOLA, se declara IMPROCEDENTE la citada demanda interpuesta por Dennis Pablo Salas Mollinedo en contra de Miryam Giannina Aguilar Pacheco sobre división y partición, por las razones expuestas; se deja a salvo el derecho de la parte demandante para que haga valer con arreglo a ley.»</t>
        </is>
      </c>
      <c r="AW42" s="7" t="inlineStr">
        <is>
          <t>Fallo reformado</t>
        </is>
      </c>
      <c r="AX42" s="7" t="n"/>
      <c r="AY42" s="7" t="n"/>
      <c r="AZ42" s="7" t="inlineStr">
        <is>
          <t>Error de juicio; sin anulación.</t>
        </is>
      </c>
      <c r="BA42" s="7" t="inlineStr">
        <is>
          <t>1723 2022 SV 202.doc</t>
        </is>
      </c>
      <c r="BB42" s="7" t="inlineStr">
        <is>
          <t>Clasificacion_SV_ABR24_Llamoja_defectos</t>
        </is>
      </c>
      <c r="BC42" s="7" t="n">
        <v>1</v>
      </c>
      <c r="BD42" s="7" t="inlineStr">
        <is>
          <t>ABREVIADO</t>
        </is>
      </c>
      <c r="BE42" s="7" t="inlineStr">
        <is>
          <t>REVOCADA</t>
        </is>
      </c>
      <c r="BF42" s="7" t="inlineStr">
        <is>
          <t>AR</t>
        </is>
      </c>
    </row>
    <row r="43" ht="95.25" customHeight="1">
      <c r="A43" s="6" t="n">
        <v>42</v>
      </c>
      <c r="B43" s="6" t="inlineStr">
        <is>
          <t>01734-2017</t>
        </is>
      </c>
      <c r="C43" s="6" t="inlineStr">
        <is>
          <t>01734-2017</t>
        </is>
      </c>
      <c r="D43" s="6" t="inlineStr">
        <is>
          <t>Pre-2019</t>
        </is>
      </c>
      <c r="E43" s="6" t="n"/>
      <c r="F43" s="6" t="inlineStr">
        <is>
          <t>2SC</t>
        </is>
      </c>
      <c r="G43" s="6" t="inlineStr">
        <is>
          <t>SV N° 017-2019-2SC</t>
        </is>
      </c>
      <c r="H43" s="6" t="n"/>
      <c r="I43" s="6" t="inlineStr">
        <is>
          <t>18/01/2019</t>
        </is>
      </c>
      <c r="J43" s="6" t="inlineStr">
        <is>
          <t>2019</t>
        </is>
      </c>
      <c r="K43" s="6" t="n"/>
      <c r="L43" s="6" t="n"/>
      <c r="M43" s="6" t="inlineStr">
        <is>
          <t>Nula</t>
        </is>
      </c>
      <c r="N43" s="6" t="n">
        <v>1</v>
      </c>
      <c r="O43" s="6" t="n">
        <v>1</v>
      </c>
      <c r="P43" s="7" t="n"/>
      <c r="Q43" s="7" t="n"/>
      <c r="R43" s="7" t="n"/>
      <c r="S43" s="7" t="n"/>
      <c r="T43" s="7" t="n"/>
      <c r="U43" s="7" t="n"/>
      <c r="V43" s="7" t="n"/>
      <c r="W43" s="7" t="n"/>
      <c r="X43" s="7" t="n"/>
      <c r="Y43" s="7" t="n"/>
      <c r="Z43" s="7" t="n"/>
      <c r="AA43" s="7" t="n"/>
      <c r="AB43" s="7" t="n"/>
      <c r="AC43" s="7" t="n"/>
      <c r="AD43" s="8" t="inlineStr">
        <is>
          <t>DECLARADO — “…dose establecido que el fundamento expuesto en la recurrida adolece de una falta de motivación interna, se concluye que la recurrida adolece de nulidad insubsanable, por haber infringido no sólo el inciso 5) del artículo 139 de nuestra Constitución Política, sino también el inciso 3) del artículo 122…”</t>
        </is>
      </c>
      <c r="AE43" s="7" t="n"/>
      <c r="AF43" s="7" t="n"/>
      <c r="AG43" s="7" t="n"/>
      <c r="AH43" s="7" t="n"/>
      <c r="AI43" s="7" t="n"/>
      <c r="AJ43" s="7" t="n"/>
      <c r="AK43" s="7" t="n"/>
      <c r="AL43" s="7" t="n"/>
      <c r="AM43" s="7" t="inlineStr">
        <is>
          <t>Sí</t>
        </is>
      </c>
      <c r="AN43" s="7" t="n"/>
      <c r="AO43" s="7" t="n"/>
      <c r="AP43" s="7" t="inlineStr">
        <is>
          <t>Baja D20→—</t>
        </is>
      </c>
      <c r="AQ43" s="7" t="n"/>
      <c r="AR43" s="7" t="n"/>
      <c r="AS43" s="7" t="n"/>
      <c r="AT43" s="7" t="n"/>
      <c r="AU43" s="7" t="n"/>
      <c r="AV43" s="7" t="n"/>
      <c r="AW43" s="7" t="n"/>
      <c r="AX43" s="7" t="n"/>
      <c r="AY43" s="7" t="n"/>
      <c r="AZ43" s="7" t="n"/>
      <c r="BA43" s="7" t="n"/>
      <c r="BB43" s="7" t="inlineStr">
        <is>
          <t>Comparativa_defectos_2018_vs_2024 + Defectos_procesales_SV_CSJA</t>
        </is>
      </c>
      <c r="BC43" s="7" t="n">
        <v>2</v>
      </c>
      <c r="BD43" s="7" t="inlineStr">
        <is>
          <t>CONOCIMIENTO</t>
        </is>
      </c>
      <c r="BE43" s="7" t="inlineStr">
        <is>
          <t>NULA</t>
        </is>
      </c>
      <c r="BF43" s="7" t="inlineStr">
        <is>
          <t>CN</t>
        </is>
      </c>
    </row>
    <row r="44" ht="32.25" customHeight="1">
      <c r="A44" s="6" t="n">
        <v>43</v>
      </c>
      <c r="B44" s="6" t="inlineStr">
        <is>
          <t>01835-2024</t>
        </is>
      </c>
      <c r="C44" s="6" t="inlineStr">
        <is>
          <t>01835-2024</t>
        </is>
      </c>
      <c r="D44" s="6" t="inlineStr">
        <is>
          <t>2024</t>
        </is>
      </c>
      <c r="E44" s="6" t="n"/>
      <c r="F44" s="6" t="inlineStr">
        <is>
          <t>1SC</t>
        </is>
      </c>
      <c r="G44" s="6" t="inlineStr">
        <is>
          <t>SV N° 295-2025-1SC</t>
        </is>
      </c>
      <c r="H44" s="6" t="n"/>
      <c r="I44" s="6" t="inlineStr">
        <is>
          <t>16/07/2025</t>
        </is>
      </c>
      <c r="J44" s="6" t="inlineStr">
        <is>
          <t>2025</t>
        </is>
      </c>
      <c r="K44" s="6" t="n"/>
      <c r="L44" s="6" t="n"/>
      <c r="M44" s="6" t="inlineStr">
        <is>
          <t>Revocada</t>
        </is>
      </c>
      <c r="N44" s="6" t="n">
        <v>0</v>
      </c>
      <c r="O44" s="6" t="n">
        <v>0</v>
      </c>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7" t="n"/>
      <c r="AL44" s="7" t="n"/>
      <c r="AM44" s="7" t="n"/>
      <c r="AN44" s="7" t="n"/>
      <c r="AO44" s="7" t="n"/>
      <c r="AP44" s="7" t="n"/>
      <c r="AQ44" s="7" t="n"/>
      <c r="AR44" s="7" t="n"/>
      <c r="AS44" s="7" t="n"/>
      <c r="AT44" s="7" t="n"/>
      <c r="AU44" s="7" t="n"/>
      <c r="AV44" s="7" t="n"/>
      <c r="AW44" s="7" t="n"/>
      <c r="AX44" s="7" t="n"/>
      <c r="AY44" s="7" t="n"/>
      <c r="AZ44" s="7" t="n"/>
      <c r="BA44" s="7" t="n"/>
      <c r="BB44" s="7" t="inlineStr">
        <is>
          <t>Comparativa_defectos_2018_vs_2024 + Defectos_procesales_SV_CSJA</t>
        </is>
      </c>
      <c r="BC44" s="7" t="n">
        <v>2</v>
      </c>
      <c r="BD44" s="7" t="n"/>
      <c r="BE44" s="7" t="inlineStr">
        <is>
          <t>REVOCADA</t>
        </is>
      </c>
      <c r="BF44" s="7" t="n"/>
    </row>
    <row r="45" ht="105.75" customHeight="1">
      <c r="A45" s="6" t="n">
        <v>44</v>
      </c>
      <c r="B45" s="6" t="inlineStr">
        <is>
          <t>01869-2023</t>
        </is>
      </c>
      <c r="C45" s="6" t="inlineStr">
        <is>
          <t>01869-2023-0-0401-JR-CI-01</t>
        </is>
      </c>
      <c r="D45" s="6" t="inlineStr">
        <is>
          <t>Llamoja — SV de control (2021-2023)</t>
        </is>
      </c>
      <c r="E45" s="6" t="inlineStr">
        <is>
          <t>Indemnización (Contraloría)</t>
        </is>
      </c>
      <c r="F45" s="6" t="inlineStr">
        <is>
          <t>2SC</t>
        </is>
      </c>
      <c r="G45" s="6" t="inlineStr">
        <is>
          <t>032-2026-2SC</t>
        </is>
      </c>
      <c r="H45" s="6" t="inlineStr">
        <is>
          <t>35</t>
        </is>
      </c>
      <c r="I45" s="6" t="inlineStr">
        <is>
          <t>dos mil veintiséis, Enero veintitrés</t>
        </is>
      </c>
      <c r="J45" s="6" t="inlineStr">
        <is>
          <t>2026</t>
        </is>
      </c>
      <c r="K45" s="6" t="n"/>
      <c r="L45" s="6" t="inlineStr">
        <is>
          <t>de la Cuba Chirinos</t>
        </is>
      </c>
      <c r="M45" s="6" t="inlineStr">
        <is>
          <t>NULA</t>
        </is>
      </c>
      <c r="N45" s="6" t="n">
        <v>3</v>
      </c>
      <c r="O45" s="6" t="n">
        <v>3</v>
      </c>
      <c r="P45" s="7" t="n"/>
      <c r="Q45" s="7" t="n"/>
      <c r="R45" s="7" t="n"/>
      <c r="S45" s="7" t="n"/>
      <c r="T45" s="7" t="n"/>
      <c r="U45" s="7" t="n"/>
      <c r="V45" s="7" t="n"/>
      <c r="W45" s="7" t="n"/>
      <c r="X45" s="7" t="n"/>
      <c r="Y45" s="7" t="n"/>
      <c r="Z45" s="7" t="n"/>
      <c r="AA45" s="8" t="inlineStr">
        <is>
          <t>DECLARADO — (evidencia en las columnas «Cita textual 1–3» de esta misma fila)</t>
        </is>
      </c>
      <c r="AB45" s="8" t="inlineStr">
        <is>
          <t>DECLARADO — (evidencia en las columnas «Cita textual 1–3» de esta misma fila)</t>
        </is>
      </c>
      <c r="AC45" s="7" t="n"/>
      <c r="AD45" s="7" t="n"/>
      <c r="AE45" s="7" t="n"/>
      <c r="AF45" s="7" t="n"/>
      <c r="AG45" s="7" t="n"/>
      <c r="AH45" s="7" t="n"/>
      <c r="AI45" s="7" t="n"/>
      <c r="AJ45" s="8" t="inlineStr">
        <is>
          <t>DECLARADO — «el juzgado de primera instancia sustenta su conclusión en un medio probatorio que no acredita el hecho que se pretende demostrar» (premisa fáctica no justificada)</t>
        </is>
      </c>
      <c r="AK45" s="7" t="n"/>
      <c r="AL45" s="7" t="n"/>
      <c r="AM45" s="7" t="n"/>
      <c r="AN45" s="7" t="n"/>
      <c r="AO45" s="7" t="n"/>
      <c r="AP45" s="7" t="inlineStr">
        <is>
          <t>Alta —→D21</t>
        </is>
      </c>
      <c r="AQ45" s="7" t="inlineStr">
        <is>
          <t>d) Motivación insuficiente</t>
        </is>
      </c>
      <c r="AR45" s="7" t="inlineStr">
        <is>
          <t>c) Deficiencia de motivación externa</t>
        </is>
      </c>
      <c r="AS45" s="7" t="inlineStr">
        <is>
          <t>Sí</t>
        </is>
      </c>
      <c r="AT45" s="7" t="inlineStr">
        <is>
          <t>«En ese sentido, esta sala superior concluye que el juzgado de primera instancia incurre en una deficiencia de motivación al considerar que la carta N° 070-2019-OOPP/MDM constituye sustento del pedido de ampliación de plazo N° 01 por parte del contratista, pues dicho documento no fue emitido ni suscrito por el representante legal del Consorcio COLTAN, sino por el codemandado Lucio Vilca Ticona, servidor de la entidad demandada, y se encuentra dirigido, además, al representante legal común del consorcio.»</t>
        </is>
      </c>
      <c r="AU45" s="7" t="inlineStr">
        <is>
          <t>d) Deficiencia de motivación (etiqueta expresa)</t>
        </is>
      </c>
      <c r="AV45" s="7" t="inlineStr">
        <is>
          <t>«Asimismo, de su contenido no es posible también inferir la existencia de una solicitud expresa de ampliación de plazo formulada por el contratista, exigencia prevista en el artículo 170º del reglamento de ley de las contrataciones del Estado; por lo que, el juzgado de primera instancia sustenta su conclusión en un medio probatorio que no acredita el hecho que se pretende demostrar, afectándose el deber de motivación suficiente de las resoluciones judiciales, verificándose así una incongruencia probatoria que afecta la motivación de la sentencia apelada de manera insubsanable.»</t>
        </is>
      </c>
      <c r="AW45" s="7" t="inlineStr">
        <is>
          <t>c)/d): premisa probatoria falsa; 'incongruencia probatoria' insubsanable</t>
        </is>
      </c>
      <c r="AX45" s="7" t="inlineStr">
        <is>
          <t>«La falta de motivación o una motivación deficiente en las resoluciones judiciales constituye un vicio que puede ser objeto de control en sede impugnatoria, especialmente cuando tal deficiencia compromete gravemente la validez del acto procesal.»</t>
        </is>
      </c>
      <c r="AY45" s="7" t="inlineStr">
        <is>
          <t>Marco: la deficiencia como vicio controlable en sede impugnatoria</t>
        </is>
      </c>
      <c r="AZ45" s="7" t="inlineStr">
        <is>
          <t>Etiqueta 'deficiencia de motivación' / 'motivación suficiente'; premisa fáctica falsa (carta atribuida a quien no la emitió) = también c). SV fechada 2026.</t>
        </is>
      </c>
      <c r="BA45" s="7" t="inlineStr">
        <is>
          <t>1869 2023 SV.doc</t>
        </is>
      </c>
      <c r="BB45" s="7" t="inlineStr">
        <is>
          <t>Clasificacion_SV_ABR24_Llamoja_defectos</t>
        </is>
      </c>
      <c r="BC45" s="7" t="n">
        <v>1</v>
      </c>
      <c r="BD45" s="7" t="inlineStr">
        <is>
          <t>ABREVIADO</t>
        </is>
      </c>
      <c r="BE45" s="7" t="inlineStr">
        <is>
          <t>NULA</t>
        </is>
      </c>
      <c r="BF45" s="7" t="inlineStr">
        <is>
          <t>AN</t>
        </is>
      </c>
    </row>
    <row r="46" ht="84.75" customHeight="1">
      <c r="A46" s="6" t="n">
        <v>45</v>
      </c>
      <c r="B46" s="6" t="inlineStr">
        <is>
          <t>01879-2022</t>
        </is>
      </c>
      <c r="C46" s="6" t="inlineStr">
        <is>
          <t>01879-2022</t>
        </is>
      </c>
      <c r="D46" s="6" t="inlineStr">
        <is>
          <t>2024</t>
        </is>
      </c>
      <c r="E46" s="6" t="n"/>
      <c r="F46" s="6" t="inlineStr">
        <is>
          <t>2SC</t>
        </is>
      </c>
      <c r="G46" s="6" t="inlineStr">
        <is>
          <t>SV N° 527-2025-2SC</t>
        </is>
      </c>
      <c r="H46" s="6" t="n"/>
      <c r="I46" s="6" t="inlineStr">
        <is>
          <t>28/10/2025</t>
        </is>
      </c>
      <c r="J46" s="6" t="inlineStr">
        <is>
          <t>2025</t>
        </is>
      </c>
      <c r="K46" s="6" t="n"/>
      <c r="L46" s="6" t="n"/>
      <c r="M46" s="6" t="inlineStr">
        <is>
          <t>Nula</t>
        </is>
      </c>
      <c r="N46" s="6" t="n">
        <v>1</v>
      </c>
      <c r="O46" s="6" t="n">
        <v>1</v>
      </c>
      <c r="P46" s="7" t="n"/>
      <c r="Q46" s="7" t="n"/>
      <c r="R46" s="7" t="n"/>
      <c r="S46" s="7" t="n"/>
      <c r="T46" s="7" t="n"/>
      <c r="U46" s="7" t="n"/>
      <c r="V46" s="7" t="n"/>
      <c r="W46" s="7" t="n"/>
      <c r="X46" s="7" t="n"/>
      <c r="Y46" s="7" t="n"/>
      <c r="Z46" s="7" t="n"/>
      <c r="AA46" s="7" t="n"/>
      <c r="AB46" s="7" t="n"/>
      <c r="AC46" s="7" t="n"/>
      <c r="AD46" s="7" t="n"/>
      <c r="AE46" s="7" t="n"/>
      <c r="AF46" s="7" t="n"/>
      <c r="AG46" s="7" t="n"/>
      <c r="AH46" s="7" t="n"/>
      <c r="AI46" s="7" t="n"/>
      <c r="AJ46" s="7" t="n"/>
      <c r="AK46" s="7" t="n"/>
      <c r="AL46" s="8" t="inlineStr">
        <is>
          <t>DECLARADO — “…esta instancia superior no puede subsanar los referidos vicios de motivación, al tratarse de defectos graves e insubsanables. 4.24. Por tanto, al renovarse el pronunciamiento judicial, corresponde al juzgado de primera instancia dispone…”</t>
        </is>
      </c>
      <c r="AM46" s="7" t="inlineStr">
        <is>
          <t>Sí</t>
        </is>
      </c>
      <c r="AN46" s="7" t="n"/>
      <c r="AO46" s="7" t="n"/>
      <c r="AP46" s="7" t="inlineStr">
        <is>
          <t>Migración D15→D23 · Baja D20→—</t>
        </is>
      </c>
      <c r="AQ46" s="7" t="n"/>
      <c r="AR46" s="7" t="n"/>
      <c r="AS46" s="7" t="n"/>
      <c r="AT46" s="7" t="n"/>
      <c r="AU46" s="7" t="n"/>
      <c r="AV46" s="7" t="n"/>
      <c r="AW46" s="7" t="n"/>
      <c r="AX46" s="7" t="n"/>
      <c r="AY46" s="7" t="n"/>
      <c r="AZ46" s="7" t="n"/>
      <c r="BA46" s="7" t="n"/>
      <c r="BB46" s="7" t="inlineStr">
        <is>
          <t>Comparativa_defectos_2018_vs_2024 + Defectos_procesales_SV_CSJA</t>
        </is>
      </c>
      <c r="BC46" s="7" t="n">
        <v>2</v>
      </c>
      <c r="BD46" s="7" t="inlineStr">
        <is>
          <t>CONOCIMIENTO</t>
        </is>
      </c>
      <c r="BE46" s="7" t="inlineStr">
        <is>
          <t>NULA</t>
        </is>
      </c>
      <c r="BF46" s="7" t="inlineStr">
        <is>
          <t>CN</t>
        </is>
      </c>
    </row>
    <row r="47" ht="116.25" customHeight="1">
      <c r="A47" s="6" t="n">
        <v>46</v>
      </c>
      <c r="B47" s="6" t="inlineStr">
        <is>
          <t>01888-2011</t>
        </is>
      </c>
      <c r="C47" s="6" t="inlineStr">
        <is>
          <t>01888-2011</t>
        </is>
      </c>
      <c r="D47" s="6" t="inlineStr">
        <is>
          <t>Pre-2019</t>
        </is>
      </c>
      <c r="E47" s="6" t="n"/>
      <c r="F47" s="6" t="inlineStr">
        <is>
          <t>2SC</t>
        </is>
      </c>
      <c r="G47" s="6" t="inlineStr">
        <is>
          <t>SV N° 022-2020-2SC</t>
        </is>
      </c>
      <c r="H47" s="6" t="n"/>
      <c r="I47" s="6" t="inlineStr">
        <is>
          <t>10/01/2020</t>
        </is>
      </c>
      <c r="J47" s="6" t="inlineStr">
        <is>
          <t>2020</t>
        </is>
      </c>
      <c r="K47" s="6" t="n"/>
      <c r="L47" s="6" t="n"/>
      <c r="M47" s="6" t="inlineStr">
        <is>
          <t>Nula</t>
        </is>
      </c>
      <c r="N47" s="6" t="n">
        <v>1</v>
      </c>
      <c r="O47" s="6" t="n">
        <v>1</v>
      </c>
      <c r="P47" s="7" t="n"/>
      <c r="Q47" s="7" t="n"/>
      <c r="R47" s="7" t="n"/>
      <c r="S47" s="7" t="n"/>
      <c r="T47" s="7" t="n"/>
      <c r="U47" s="7" t="n"/>
      <c r="V47" s="7" t="n"/>
      <c r="W47" s="7" t="n"/>
      <c r="X47" s="7" t="n"/>
      <c r="Y47" s="7" t="n"/>
      <c r="Z47" s="7" t="n"/>
      <c r="AA47" s="7" t="n"/>
      <c r="AB47" s="7" t="n"/>
      <c r="AC47" s="7" t="n"/>
      <c r="AD47" s="7" t="n"/>
      <c r="AE47" s="7" t="n"/>
      <c r="AF47" s="7" t="n"/>
      <c r="AG47" s="7" t="n"/>
      <c r="AH47" s="8" t="inlineStr">
        <is>
          <t>DECLARADO — “…cisiete, de fojas seiscientos sesenta y siete, que resolvía declarar improcedente por extemporánea la tacha de documento formulada por la demandada Sandra Luz Parada Aramayo, por los considerandos del Auto de Vista que antecede, por medio del cual se dispone que el Juzgado emitir nuevo pronunciamiento respecto de la tacha deducida por la…”</t>
        </is>
      </c>
      <c r="AI47" s="7" t="n"/>
      <c r="AJ47" s="7" t="n"/>
      <c r="AK47" s="7" t="n"/>
      <c r="AL47" s="7" t="n"/>
      <c r="AM47" s="7" t="inlineStr">
        <is>
          <t>Sí</t>
        </is>
      </c>
      <c r="AN47" s="7" t="n"/>
      <c r="AO47" s="7" t="n"/>
      <c r="AP47" s="7" t="inlineStr">
        <is>
          <t>Migración D08→D19 · Baja D15→— · Baja D20→—</t>
        </is>
      </c>
      <c r="AQ47" s="7" t="n"/>
      <c r="AR47" s="7" t="n"/>
      <c r="AS47" s="7" t="n"/>
      <c r="AT47" s="7" t="n"/>
      <c r="AU47" s="7" t="n"/>
      <c r="AV47" s="7" t="n"/>
      <c r="AW47" s="7" t="n"/>
      <c r="AX47" s="7" t="n"/>
      <c r="AY47" s="7" t="n"/>
      <c r="AZ47" s="7" t="n"/>
      <c r="BA47" s="7" t="n"/>
      <c r="BB47" s="7" t="inlineStr">
        <is>
          <t>Comparativa_defectos_2018_vs_2024 + Defectos_procesales_SV_CSJA</t>
        </is>
      </c>
      <c r="BC47" s="7" t="n">
        <v>2</v>
      </c>
      <c r="BD47" s="7" t="inlineStr">
        <is>
          <t>CONOCIMIENTO</t>
        </is>
      </c>
      <c r="BE47" s="7" t="inlineStr">
        <is>
          <t>NULA</t>
        </is>
      </c>
      <c r="BF47" s="7" t="inlineStr">
        <is>
          <t>CN</t>
        </is>
      </c>
    </row>
    <row r="48" ht="32.25" customHeight="1">
      <c r="A48" s="6" t="n">
        <v>47</v>
      </c>
      <c r="B48" s="6" t="inlineStr">
        <is>
          <t>01946-2016</t>
        </is>
      </c>
      <c r="C48" s="6" t="inlineStr">
        <is>
          <t>01946-2016</t>
        </is>
      </c>
      <c r="D48" s="6" t="inlineStr">
        <is>
          <t>Pre-2019</t>
        </is>
      </c>
      <c r="E48" s="6" t="n"/>
      <c r="F48" s="6" t="inlineStr">
        <is>
          <t>3SC</t>
        </is>
      </c>
      <c r="G48" s="6" t="inlineStr">
        <is>
          <t>SV N° 616-2019-3SC</t>
        </is>
      </c>
      <c r="H48" s="6" t="n"/>
      <c r="I48" s="6" t="inlineStr">
        <is>
          <t>13/08/2019</t>
        </is>
      </c>
      <c r="J48" s="6" t="inlineStr">
        <is>
          <t>2019</t>
        </is>
      </c>
      <c r="K48" s="6" t="n"/>
      <c r="L48" s="6" t="n"/>
      <c r="M48" s="6" t="inlineStr">
        <is>
          <t>Revocada</t>
        </is>
      </c>
      <c r="N48" s="6" t="n">
        <v>0</v>
      </c>
      <c r="O48" s="6" t="n">
        <v>0</v>
      </c>
      <c r="P48" s="7" t="n"/>
      <c r="Q48" s="7" t="n"/>
      <c r="R48" s="7" t="n"/>
      <c r="S48" s="7" t="n"/>
      <c r="T48" s="7" t="n"/>
      <c r="U48" s="7" t="n"/>
      <c r="V48" s="7" t="n"/>
      <c r="W48" s="7" t="n"/>
      <c r="X48" s="7" t="n"/>
      <c r="Y48" s="7" t="n"/>
      <c r="Z48" s="7" t="n"/>
      <c r="AA48" s="7" t="n"/>
      <c r="AB48" s="7" t="n"/>
      <c r="AC48" s="7" t="n"/>
      <c r="AD48" s="7" t="n"/>
      <c r="AE48" s="7" t="n"/>
      <c r="AF48" s="7" t="n"/>
      <c r="AG48" s="7" t="n"/>
      <c r="AH48" s="7" t="n"/>
      <c r="AI48" s="7" t="n"/>
      <c r="AJ48" s="7" t="n"/>
      <c r="AK48" s="7" t="n"/>
      <c r="AL48" s="7" t="n"/>
      <c r="AM48" s="7" t="n"/>
      <c r="AN48" s="7" t="n"/>
      <c r="AO48" s="7" t="n"/>
      <c r="AP48" s="7" t="n"/>
      <c r="AQ48" s="7" t="n"/>
      <c r="AR48" s="7" t="n"/>
      <c r="AS48" s="7" t="n"/>
      <c r="AT48" s="7" t="n"/>
      <c r="AU48" s="7" t="n"/>
      <c r="AV48" s="7" t="n"/>
      <c r="AW48" s="7" t="n"/>
      <c r="AX48" s="7" t="n"/>
      <c r="AY48" s="7" t="n"/>
      <c r="AZ48" s="7" t="n"/>
      <c r="BA48" s="7" t="n"/>
      <c r="BB48" s="7" t="inlineStr">
        <is>
          <t>Comparativa_defectos_2018_vs_2024 + Defectos_procesales_SV_CSJA</t>
        </is>
      </c>
      <c r="BC48" s="7" t="n">
        <v>2</v>
      </c>
      <c r="BD48" s="7" t="inlineStr">
        <is>
          <t>CONOCIMIENTO</t>
        </is>
      </c>
      <c r="BE48" s="7" t="inlineStr">
        <is>
          <t>REVOCADA</t>
        </is>
      </c>
      <c r="BF48" s="7" t="inlineStr">
        <is>
          <t>CR</t>
        </is>
      </c>
    </row>
    <row r="49" ht="95.25" customHeight="1">
      <c r="A49" s="6" t="n">
        <v>48</v>
      </c>
      <c r="B49" s="6" t="inlineStr">
        <is>
          <t>02167-2023</t>
        </is>
      </c>
      <c r="C49" s="6" t="inlineStr">
        <is>
          <t>02167-2023-0-0401-JR-CI-06</t>
        </is>
      </c>
      <c r="D49" s="6" t="inlineStr">
        <is>
          <t>Matriz sumarísimos — grupo 2024</t>
        </is>
      </c>
      <c r="E49" s="6" t="inlineStr">
        <is>
          <t>Desalojo por ocupación precaria</t>
        </is>
      </c>
      <c r="F49" s="6" t="inlineStr">
        <is>
          <t>2SC</t>
        </is>
      </c>
      <c r="G49" s="6" t="inlineStr">
        <is>
          <t>SV 608-2025-2SC (por mayoría)</t>
        </is>
      </c>
      <c r="H49" s="6" t="inlineStr">
        <is>
          <t>Res. 27 (seis-2SC)</t>
        </is>
      </c>
      <c r="I49" s="6" t="inlineStr">
        <is>
          <t>22/12/2025</t>
        </is>
      </c>
      <c r="J49" s="6" t="inlineStr">
        <is>
          <t>2025</t>
        </is>
      </c>
      <c r="K49" s="6" t="inlineStr">
        <is>
          <t>Patricia Valdivia Franco</t>
        </is>
      </c>
      <c r="L49" s="6" t="n"/>
      <c r="M49" s="6" t="inlineStr">
        <is>
          <t>REVOCADA → IMPROCEDENTE (por mayoría)</t>
        </is>
      </c>
      <c r="N49" s="6" t="n">
        <v>0</v>
      </c>
      <c r="O49" s="6" t="n">
        <v>3</v>
      </c>
      <c r="P49" s="7" t="n"/>
      <c r="Q49" s="7" t="n"/>
      <c r="R49" s="7" t="n"/>
      <c r="S49" s="7" t="n"/>
      <c r="T49" s="7" t="n"/>
      <c r="U49" s="11" t="inlineStr">
        <is>
          <t>VOTO MINORÍA — «el problema de la falta de identificación plena y ocupación, se origina en que se establecieron de manera errónea los puntos controvertidos en este expediente… cuando lo que correspondía era establecer si existe alguna superposición entre el predio sublitis y respecto al cual el demandado señala ser titular»</t>
        </is>
      </c>
      <c r="V49" s="7" t="n"/>
      <c r="W49" s="7" t="n"/>
      <c r="X49" s="11" t="inlineStr">
        <is>
          <t>VOTO MINORÍA — «corresponde que de oficio se solicite una prueba pericial para determinar tanto la ubicación como los linderos y/o inspección judicial; facultad que tiene el juez con arreglo al Art. 194 del Código Procesal Civil y al X Pleno Casatorio Civil»</t>
        </is>
      </c>
      <c r="Y49" s="7" t="n"/>
      <c r="Z49" s="7" t="n"/>
      <c r="AA49" s="7" t="n"/>
      <c r="AB49" s="7" t="n"/>
      <c r="AC49" s="7" t="n"/>
      <c r="AD49" s="7" t="n"/>
      <c r="AE49" s="7" t="n"/>
      <c r="AF49" s="7" t="n"/>
      <c r="AG49" s="7" t="n"/>
      <c r="AH49" s="7" t="n"/>
      <c r="AI49" s="7" t="n"/>
      <c r="AJ49" s="7" t="n"/>
      <c r="AK49" s="7" t="n"/>
      <c r="AL49" s="11" t="inlineStr">
        <is>
          <t>VOTO MINORÍA — «la resolución que viene en apelación se halla incursa en la causal de nulidad prevista en los incisos 3 y 4 del Art. 122»</t>
        </is>
      </c>
      <c r="AM49" s="7" t="n"/>
      <c r="AN49" s="7" t="n"/>
      <c r="AO49" s="7" t="n"/>
      <c r="AP49" s="7" t="inlineStr">
        <is>
          <t>Migración D20→D23 · Reclasificación de estatus —→MIN</t>
        </is>
      </c>
      <c r="AQ49" s="7" t="n"/>
      <c r="AR49" s="7" t="n"/>
      <c r="AS49" s="7" t="n"/>
      <c r="AT49" s="7" t="n"/>
      <c r="AU49" s="7" t="n"/>
      <c r="AV49" s="7" t="n"/>
      <c r="AW49" s="7" t="n"/>
      <c r="AX49" s="7" t="n"/>
      <c r="AY49" s="7" t="n"/>
      <c r="AZ49" s="7" t="inlineStr">
        <is>
          <t>La mayoría revoca sin declarar vicio. El voto en minoría (Polanco Gutiérrez) propone nulidad por defectuosa fijación de puntos controvertidos y falta de prueba de oficio; además observa que debió declararse infundada (regla 6 del IV Pleno) y no improcedente.</t>
        </is>
      </c>
      <c r="BA49" s="7" t="n"/>
      <c r="BB49" s="7" t="inlineStr">
        <is>
          <t>Matriz_defectos_procesales_1ra_SV</t>
        </is>
      </c>
      <c r="BC49" s="7" t="n">
        <v>1</v>
      </c>
      <c r="BD49" s="7" t="inlineStr">
        <is>
          <t>SUMARISIMO</t>
        </is>
      </c>
      <c r="BE49" s="7" t="inlineStr">
        <is>
          <t>REVOCADA</t>
        </is>
      </c>
      <c r="BF49" s="7" t="inlineStr">
        <is>
          <t>SR</t>
        </is>
      </c>
    </row>
    <row r="50" ht="116.25" customHeight="1">
      <c r="A50" s="6" t="n">
        <v>49</v>
      </c>
      <c r="B50" s="6" t="inlineStr">
        <is>
          <t>02275-2023</t>
        </is>
      </c>
      <c r="C50" s="6" t="inlineStr">
        <is>
          <t>02275-2023-0-0401-JR-CI-02</t>
        </is>
      </c>
      <c r="D50" s="6" t="inlineStr">
        <is>
          <t>Llamoja — SV de control (2021-2023)</t>
        </is>
      </c>
      <c r="E50" s="6" t="inlineStr">
        <is>
          <t>Ineficacia de acto jurídico</t>
        </is>
      </c>
      <c r="F50" s="6" t="inlineStr">
        <is>
          <t>3SC</t>
        </is>
      </c>
      <c r="G50" s="6" t="inlineStr">
        <is>
          <t>412-2025-3SC</t>
        </is>
      </c>
      <c r="H50" s="6" t="inlineStr">
        <is>
          <t>22</t>
        </is>
      </c>
      <c r="I50" s="6" t="inlineStr">
        <is>
          <t>dos mil veinticinco, Octubre quince</t>
        </is>
      </c>
      <c r="J50" s="6" t="inlineStr">
        <is>
          <t>2025</t>
        </is>
      </c>
      <c r="K50" s="6" t="n"/>
      <c r="L50" s="6" t="inlineStr">
        <is>
          <t>Marroquín Mogrovejo</t>
        </is>
      </c>
      <c r="M50" s="6" t="inlineStr">
        <is>
          <t>NULA + nulo lo actuado desde la notificación</t>
        </is>
      </c>
      <c r="N50" s="6" t="n">
        <v>2</v>
      </c>
      <c r="O50" s="6" t="n">
        <v>2</v>
      </c>
      <c r="P50" s="8" t="inlineStr">
        <is>
          <t>DECLARADO — (evidencia en las columnas «Cita textual 1–3» de esta misma fila)</t>
        </is>
      </c>
      <c r="Q50" s="7" t="n"/>
      <c r="R50" s="7" t="n"/>
      <c r="S50" s="8" t="inlineStr">
        <is>
          <t>DECLARADO — (evidencia en las columnas «Cita textual 1–3» de esta misma fila)</t>
        </is>
      </c>
      <c r="T50" s="7" t="n"/>
      <c r="U50" s="7" t="n"/>
      <c r="V50" s="7" t="n"/>
      <c r="W50" s="7" t="n"/>
      <c r="X50" s="7" t="n"/>
      <c r="Y50" s="7" t="n"/>
      <c r="Z50" s="7" t="n"/>
      <c r="AA50" s="7" t="n"/>
      <c r="AB50" s="7" t="n"/>
      <c r="AC50" s="7" t="n"/>
      <c r="AD50" s="7" t="n"/>
      <c r="AE50" s="7" t="n"/>
      <c r="AF50" s="7" t="n"/>
      <c r="AG50" s="7" t="n"/>
      <c r="AH50" s="7" t="n"/>
      <c r="AI50" s="7" t="n"/>
      <c r="AJ50" s="7" t="n"/>
      <c r="AK50" s="7" t="n"/>
      <c r="AL50" s="7" t="n"/>
      <c r="AM50" s="7" t="n"/>
      <c r="AN50" s="7" t="n"/>
      <c r="AO50" s="7" t="n"/>
      <c r="AP50" s="7" t="n"/>
      <c r="AQ50" s="7" t="inlineStr">
        <is>
          <t>— Sin vicio de motivación como causal</t>
        </is>
      </c>
      <c r="AR50" s="7" t="n"/>
      <c r="AS50" s="7" t="inlineStr">
        <is>
          <t>No</t>
        </is>
      </c>
      <c r="AT50" s="7" t="inlineStr">
        <is>
          <t>«4.4 La deficiencia descrita ha generado que no se realice un adecuado emplazamiento o notificación al apelante, generando que se festine el trámite del proceso, cursándose las notificaciones de la demanda y demás actos procesales a una persona distinta a la que fue demandada, lo que ha generado indefensión de dicha parte, por cuanto evidentemente se ha vulnerado su derecho de defensa, derecho previsto y consagrado en el inciso 14) del artículo 139° de la Constitución Política del Perú; en consecuencia, se vulneró el derecho al debido proceso y tutela jurisdiccional, toda vez que, al no ser debidamente notificados, no pudo ejercer su derecho de defensa en la forma que consideren pertinente.»</t>
        </is>
      </c>
      <c r="AU50" s="7" t="inlineStr">
        <is>
          <t>Notificación/emplazamiento defectuoso + indefensión (139.14)</t>
        </is>
      </c>
      <c r="AV50" s="7" t="inlineStr">
        <is>
          <t>«4.5 Aunado a lo señalado y a causa de la deficiencia incurrida por el órgano jurisdiccional en la plena identificación de la persona demandada, el error mencionado se reiteró al emitir la Resolución número cinco de la página setenta, en la que se declaró “(…) REBELDE a los demandados José ROBERTO BROUNCLE CÉSPEDES (…)” persona que es distinta a quien se demandó y en contra de quien se admitió la demanda.»</t>
        </is>
      </c>
      <c r="AW50" s="7" t="inlineStr">
        <is>
          <t>Declaración indebida de rebeldía contra persona distinta</t>
        </is>
      </c>
      <c r="AX50" s="7" t="n"/>
      <c r="AY50" s="7" t="n"/>
      <c r="AZ50" s="7" t="inlineStr">
        <is>
          <t>Notificaciones dirigidas a persona con apellido distinto (Brouncle/Bouroncle); rebeldía declarada contra persona distinta; vulneración del derecho de defensa (139.14).</t>
        </is>
      </c>
      <c r="BA50" s="7" t="inlineStr">
        <is>
          <t>2275 2023 SV.doc</t>
        </is>
      </c>
      <c r="BB50" s="7" t="inlineStr">
        <is>
          <t>Clasificacion_SV_ABR24_Llamoja_defectos</t>
        </is>
      </c>
      <c r="BC50" s="7" t="n">
        <v>1</v>
      </c>
      <c r="BD50" s="7" t="inlineStr">
        <is>
          <t>ABREVIADO</t>
        </is>
      </c>
      <c r="BE50" s="7" t="inlineStr">
        <is>
          <t>NULA</t>
        </is>
      </c>
      <c r="BF50" s="7" t="inlineStr">
        <is>
          <t>AN</t>
        </is>
      </c>
    </row>
    <row r="51" ht="32.25" customHeight="1">
      <c r="A51" s="6" t="n">
        <v>50</v>
      </c>
      <c r="B51" s="6" t="inlineStr">
        <is>
          <t>02371-2021</t>
        </is>
      </c>
      <c r="C51" s="6" t="inlineStr">
        <is>
          <t>02371-2021</t>
        </is>
      </c>
      <c r="D51" s="6" t="inlineStr">
        <is>
          <t>2024</t>
        </is>
      </c>
      <c r="E51" s="6" t="n"/>
      <c r="F51" s="6" t="n"/>
      <c r="G51" s="6" t="inlineStr">
        <is>
          <t>SV N° 443-2025</t>
        </is>
      </c>
      <c r="H51" s="6" t="n"/>
      <c r="I51" s="6" t="inlineStr">
        <is>
          <t>25/09/2025</t>
        </is>
      </c>
      <c r="J51" s="6" t="inlineStr">
        <is>
          <t>2025</t>
        </is>
      </c>
      <c r="K51" s="6" t="n"/>
      <c r="L51" s="6" t="n"/>
      <c r="M51" s="6" t="inlineStr">
        <is>
          <t>Revocada</t>
        </is>
      </c>
      <c r="N51" s="6" t="n">
        <v>0</v>
      </c>
      <c r="O51" s="6" t="n">
        <v>0</v>
      </c>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7" t="n"/>
      <c r="AL51" s="7" t="n"/>
      <c r="AM51" s="7" t="n"/>
      <c r="AN51" s="7" t="n"/>
      <c r="AO51" s="7" t="n"/>
      <c r="AP51" s="7" t="n"/>
      <c r="AQ51" s="7" t="n"/>
      <c r="AR51" s="7" t="n"/>
      <c r="AS51" s="7" t="n"/>
      <c r="AT51" s="7" t="n"/>
      <c r="AU51" s="7" t="n"/>
      <c r="AV51" s="7" t="n"/>
      <c r="AW51" s="7" t="n"/>
      <c r="AX51" s="7" t="n"/>
      <c r="AY51" s="7" t="n"/>
      <c r="AZ51" s="7" t="n"/>
      <c r="BA51" s="7" t="n"/>
      <c r="BB51" s="7" t="inlineStr">
        <is>
          <t>Comparativa_defectos_2018_vs_2024 + Defectos_procesales_SV_CSJA</t>
        </is>
      </c>
      <c r="BC51" s="7" t="n">
        <v>2</v>
      </c>
      <c r="BD51" s="7" t="inlineStr">
        <is>
          <t>CONOCIMIENTO</t>
        </is>
      </c>
      <c r="BE51" s="7" t="inlineStr">
        <is>
          <t>REVOCADA</t>
        </is>
      </c>
      <c r="BF51" s="7" t="inlineStr">
        <is>
          <t>CR</t>
        </is>
      </c>
    </row>
    <row r="52" ht="84.75" customHeight="1">
      <c r="A52" s="6" t="n">
        <v>51</v>
      </c>
      <c r="B52" s="6" t="inlineStr">
        <is>
          <t>02483-2021</t>
        </is>
      </c>
      <c r="C52" s="6" t="inlineStr">
        <is>
          <t>02483-2021-0-0401-JR-CI-01</t>
        </is>
      </c>
      <c r="D52" s="6" t="inlineStr">
        <is>
          <t>Llamoja — SV de control (2021-2023)</t>
        </is>
      </c>
      <c r="E52" s="6" t="inlineStr">
        <is>
          <t>Petición de herencia</t>
        </is>
      </c>
      <c r="F52" s="6" t="inlineStr">
        <is>
          <t>2SC</t>
        </is>
      </c>
      <c r="G52" s="6" t="inlineStr">
        <is>
          <t>139-2023</t>
        </is>
      </c>
      <c r="H52" s="6" t="inlineStr">
        <is>
          <t>23</t>
        </is>
      </c>
      <c r="I52" s="6" t="inlineStr">
        <is>
          <t>dos mil veintitrés, Marzo treinta y uno</t>
        </is>
      </c>
      <c r="J52" s="6" t="inlineStr">
        <is>
          <t>2023</t>
        </is>
      </c>
      <c r="K52" s="6" t="n"/>
      <c r="L52" s="6" t="inlineStr">
        <is>
          <t>Paredes Bedregal</t>
        </is>
      </c>
      <c r="M52" s="6" t="inlineStr">
        <is>
          <t>NULA</t>
        </is>
      </c>
      <c r="N52" s="6" t="n">
        <v>1</v>
      </c>
      <c r="O52" s="6" t="n">
        <v>1</v>
      </c>
      <c r="P52" s="7" t="n"/>
      <c r="Q52" s="7" t="n"/>
      <c r="R52" s="8" t="inlineStr">
        <is>
          <t>DECLARADO — (evidencia en las columnas «Cita textual 1–3» de esta misma fila)</t>
        </is>
      </c>
      <c r="S52" s="7" t="n"/>
      <c r="T52" s="7" t="n"/>
      <c r="U52" s="7" t="n"/>
      <c r="V52" s="7" t="n"/>
      <c r="W52" s="7" t="n"/>
      <c r="X52" s="7" t="n"/>
      <c r="Y52" s="7" t="n"/>
      <c r="Z52" s="7" t="n"/>
      <c r="AA52" s="7" t="n"/>
      <c r="AB52" s="7" t="n"/>
      <c r="AC52" s="7" t="n"/>
      <c r="AD52" s="7" t="n"/>
      <c r="AE52" s="7" t="n"/>
      <c r="AF52" s="7" t="n"/>
      <c r="AG52" s="7" t="n"/>
      <c r="AH52" s="7" t="n"/>
      <c r="AI52" s="7" t="n"/>
      <c r="AJ52" s="7" t="n"/>
      <c r="AK52" s="7" t="n"/>
      <c r="AL52" s="7" t="n"/>
      <c r="AM52" s="7" t="n"/>
      <c r="AN52" s="7" t="n"/>
      <c r="AO52" s="7" t="n"/>
      <c r="AP52" s="7" t="inlineStr">
        <is>
          <t>Baja D09→—</t>
        </is>
      </c>
      <c r="AQ52" s="7" t="inlineStr">
        <is>
          <t>— Sin vicio de motivación como causal</t>
        </is>
      </c>
      <c r="AR52" s="7" t="n"/>
      <c r="AS52" s="7" t="inlineStr">
        <is>
          <t>No</t>
        </is>
      </c>
      <c r="AT52" s="7" t="inlineStr">
        <is>
          <t>«De esta manera, se evidencia, que además de las partes incluidas en este proceso, existiría otro heredero de la causante Laura Cristina Lizárraga y Salas, declarado mediante el acta protocolizada del once de febrero de dos mil quince, que sería Miguel Ernesto Chávez Lizárraga, quien debe ser emplazado, con la finalidad que haga valer su derecho si así lo considera, debiendo ser incorporado como litisconsorte necesario activo, conforme a lo dispuesto en los artículos 92, 93, 95 y 98 del T.U.O.»</t>
        </is>
      </c>
      <c r="AU52" s="7" t="inlineStr">
        <is>
          <t>Litisconsorte necesario omitido (arts. 93, 95 y 98 CPC)</t>
        </is>
      </c>
      <c r="AV52" s="7" t="inlineStr">
        <is>
          <t>«se debe declarar la nulidad de la resolución impugnada según lo dispuesto en el artículo 171 y 176 in fine del T.U.O. del Código Procesal Civil, a fin que la A quo disponga la incorporación al proceso de Miguel Ernesto Chávez Lizarraga y emita nuevo pronunciamiento de acuerdo a ley.»</t>
        </is>
      </c>
      <c r="AW52" s="7" t="inlineStr">
        <is>
          <t>Efecto: nulidad (arts. 171 y 176) e incorporación del heredero</t>
        </is>
      </c>
      <c r="AX52" s="7" t="n"/>
      <c r="AY52" s="7" t="n"/>
      <c r="AZ52" s="7" t="inlineStr">
        <is>
          <t>Heredero no emplazado (arts. 93, 95 CPC); ordena incorporarlo y sugiere prueba de oficio (art. 194). SV 139-2023 (menor año; existe SV 460-2025-2SC).</t>
        </is>
      </c>
      <c r="BA52" s="7" t="inlineStr">
        <is>
          <t>2483 2021 sv 2023.doc</t>
        </is>
      </c>
      <c r="BB52" s="7" t="inlineStr">
        <is>
          <t>Clasificacion_SV_ABR24_Llamoja_defectos</t>
        </is>
      </c>
      <c r="BC52" s="7" t="n">
        <v>1</v>
      </c>
      <c r="BD52" s="7" t="inlineStr">
        <is>
          <t>ABREVIADO</t>
        </is>
      </c>
      <c r="BE52" s="7" t="inlineStr">
        <is>
          <t>NULA</t>
        </is>
      </c>
      <c r="BF52" s="7" t="inlineStr">
        <is>
          <t>AN</t>
        </is>
      </c>
    </row>
    <row r="53" ht="105.75" customHeight="1">
      <c r="A53" s="6" t="n">
        <v>52</v>
      </c>
      <c r="B53" s="6" t="inlineStr">
        <is>
          <t>02505-2009</t>
        </is>
      </c>
      <c r="C53" s="6" t="inlineStr">
        <is>
          <t>02505-2009</t>
        </is>
      </c>
      <c r="D53" s="6" t="inlineStr">
        <is>
          <t>Pre-2019</t>
        </is>
      </c>
      <c r="E53" s="6" t="n"/>
      <c r="F53" s="6" t="inlineStr">
        <is>
          <t>3SC</t>
        </is>
      </c>
      <c r="G53" s="6" t="inlineStr">
        <is>
          <t>SV N° 02-2019-3SC</t>
        </is>
      </c>
      <c r="H53" s="6" t="n"/>
      <c r="I53" s="6" t="inlineStr">
        <is>
          <t>03/01/2019</t>
        </is>
      </c>
      <c r="J53" s="6" t="inlineStr">
        <is>
          <t>2019</t>
        </is>
      </c>
      <c r="K53" s="6" t="n"/>
      <c r="L53" s="6" t="n"/>
      <c r="M53" s="6" t="inlineStr">
        <is>
          <t>Nula</t>
        </is>
      </c>
      <c r="N53" s="6" t="n">
        <v>2</v>
      </c>
      <c r="O53" s="6" t="n">
        <v>2</v>
      </c>
      <c r="P53" s="7" t="n"/>
      <c r="Q53" s="8" t="inlineStr">
        <is>
          <t>DECLARADO — “…go, si se quiere dar cumplimiento al mandato y pronunciarse sobre dicha causal, debe permitírsele que ejerza su derecho de defensa sobre dicho extremo por lo que debió efectuarse el emplazamiento correspondiente, lo que no ha ocurrido en el caso de autos colocándosele en estado de indefensión respecto de dich…”</t>
        </is>
      </c>
      <c r="R53" s="7" t="n"/>
      <c r="S53" s="7" t="n"/>
      <c r="T53" s="7" t="n"/>
      <c r="U53" s="7" t="n"/>
      <c r="V53" s="7" t="n"/>
      <c r="W53" s="7" t="n"/>
      <c r="X53" s="7" t="n"/>
      <c r="Y53" s="7" t="n"/>
      <c r="Z53" s="7" t="n"/>
      <c r="AA53" s="7" t="n"/>
      <c r="AB53" s="7" t="n"/>
      <c r="AC53" s="7" t="n"/>
      <c r="AD53" s="7" t="n"/>
      <c r="AE53" s="8" t="inlineStr">
        <is>
          <t>DECLARADO — “…se ha incurrido en nulidad al no haberse resuelto conforme al mérito de lo actuado como lo exige el artículo 122° inciso 3° del Código Procesal Civil, la que debe ser declarada por éste colegiado. Fundamentos por los cuales: DECLARARON NULA la Sentencia número c…”</t>
        </is>
      </c>
      <c r="AF53" s="7" t="n"/>
      <c r="AG53" s="7" t="n"/>
      <c r="AH53" s="7" t="n"/>
      <c r="AI53" s="7" t="n"/>
      <c r="AJ53" s="7" t="n"/>
      <c r="AK53" s="7" t="n"/>
      <c r="AL53" s="7" t="n"/>
      <c r="AM53" s="7" t="n"/>
      <c r="AN53" s="7" t="n"/>
      <c r="AO53" s="7" t="inlineStr">
        <is>
          <t>D16: la cita es la fórmula genérica del art. 122.3 CPC. Sustituir por el pasaje que describe la incorporación de oficio de la causal del art. V TP del Código Civil.</t>
        </is>
      </c>
      <c r="AP53" s="7" t="inlineStr">
        <is>
          <t>Baja D09→— · Baja D10→—</t>
        </is>
      </c>
      <c r="AQ53" s="7" t="n"/>
      <c r="AR53" s="7" t="n"/>
      <c r="AS53" s="7" t="n"/>
      <c r="AT53" s="7" t="n"/>
      <c r="AU53" s="7" t="n"/>
      <c r="AV53" s="7" t="n"/>
      <c r="AW53" s="7" t="n"/>
      <c r="AX53" s="7" t="n"/>
      <c r="AY53" s="7" t="n"/>
      <c r="AZ53" s="7" t="n"/>
      <c r="BA53" s="7" t="n"/>
      <c r="BB53" s="7" t="inlineStr">
        <is>
          <t>Comparativa_defectos_2018_vs_2024 + Defectos_procesales_SV_CSJA</t>
        </is>
      </c>
      <c r="BC53" s="7" t="n">
        <v>2</v>
      </c>
      <c r="BD53" s="7" t="inlineStr">
        <is>
          <t>CONOCIMIENTO</t>
        </is>
      </c>
      <c r="BE53" s="7" t="inlineStr">
        <is>
          <t>NULA</t>
        </is>
      </c>
      <c r="BF53" s="7" t="inlineStr">
        <is>
          <t>CN</t>
        </is>
      </c>
    </row>
    <row r="54" ht="84.75" customHeight="1">
      <c r="A54" s="6" t="n">
        <v>53</v>
      </c>
      <c r="B54" s="6" t="inlineStr">
        <is>
          <t>02532-2017</t>
        </is>
      </c>
      <c r="C54" s="6" t="inlineStr">
        <is>
          <t>02532-2017-0-0401-JR-CI-08</t>
        </is>
      </c>
      <c r="D54" s="6" t="inlineStr">
        <is>
          <t>Matriz sumarísimos — anteriores a 2019</t>
        </is>
      </c>
      <c r="E54" s="6" t="inlineStr">
        <is>
          <t>Otorgamiento de escritura pública (CONSULTA)</t>
        </is>
      </c>
      <c r="F54" s="6" t="inlineStr">
        <is>
          <t>1SC</t>
        </is>
      </c>
      <c r="G54" s="6" t="inlineStr">
        <is>
          <t>SV 519-2018-1SC</t>
        </is>
      </c>
      <c r="H54" s="6" t="inlineStr">
        <is>
          <t>Res. 12 (dos-1SC)</t>
        </is>
      </c>
      <c r="I54" s="6" t="inlineStr">
        <is>
          <t>23/10/2018</t>
        </is>
      </c>
      <c r="J54" s="6" t="inlineStr">
        <is>
          <t>2018</t>
        </is>
      </c>
      <c r="K54" s="6" t="inlineStr">
        <is>
          <t>Ronald Valencia de Romaña</t>
        </is>
      </c>
      <c r="L54" s="6" t="n"/>
      <c r="M54" s="6" t="inlineStr">
        <is>
          <t>DESAPROBADA (reenvío)</t>
        </is>
      </c>
      <c r="N54" s="6" t="n">
        <v>2</v>
      </c>
      <c r="O54" s="6" t="n">
        <v>3</v>
      </c>
      <c r="P54" s="8" t="inlineStr">
        <is>
          <t>DECLARADO — «no solo no se ha mencionado a los herederos como demandados sino que tampoco se ha indicado que se ignora el domicilio de éstos bajo juramento»; «se debió disponer se notifique a los herederos en el domicilio que se consigna en el RENIEC»</t>
        </is>
      </c>
      <c r="Q54" s="9" t="inlineStr">
        <is>
          <t>DERIVADO — «al no haberse procedido así, se ha afectado el debido proceso, por lo que debe desaprobarse la sentencia emitida»</t>
        </is>
      </c>
      <c r="R54" s="8" t="inlineStr">
        <is>
          <t>DECLARADO — «se afecta el debido proceso al admitir la demanda en contra de la "sucesión de Hipólito Efraín Sánchez Rivera", cuando ya se sabe quien son los herederos declarados de dicha sucesión, por lo que la demanda debió ser admitida en contra de dichos herederos»</t>
        </is>
      </c>
      <c r="S54" s="7" t="n"/>
      <c r="T54" s="7" t="n"/>
      <c r="U54" s="7" t="n"/>
      <c r="V54" s="7" t="n"/>
      <c r="W54" s="7" t="n"/>
      <c r="X54" s="7" t="n"/>
      <c r="Y54" s="7" t="n"/>
      <c r="Z54" s="7" t="n"/>
      <c r="AA54" s="7" t="n"/>
      <c r="AB54" s="7" t="n"/>
      <c r="AC54" s="7" t="n"/>
      <c r="AD54" s="7" t="n"/>
      <c r="AE54" s="7" t="n"/>
      <c r="AF54" s="7" t="n"/>
      <c r="AG54" s="7" t="n"/>
      <c r="AH54" s="7" t="n"/>
      <c r="AI54" s="7" t="n"/>
      <c r="AJ54" s="7" t="n"/>
      <c r="AK54" s="7" t="n"/>
      <c r="AL54" s="7" t="n"/>
      <c r="AM54" s="7" t="n"/>
      <c r="AN54" s="7" t="n"/>
      <c r="AO54" s="7" t="n"/>
      <c r="AP54" s="7" t="inlineStr">
        <is>
          <t>Reclasificación de estatus D02→D02 (derivado)</t>
        </is>
      </c>
      <c r="AQ54" s="7" t="n"/>
      <c r="AR54" s="7" t="n"/>
      <c r="AS54" s="7" t="n"/>
      <c r="AT54" s="7" t="n"/>
      <c r="AU54" s="7" t="n"/>
      <c r="AV54" s="7" t="n"/>
      <c r="AW54" s="7" t="n"/>
      <c r="AX54" s="7" t="n"/>
      <c r="AY54" s="7" t="n"/>
      <c r="AZ54" s="7" t="inlineStr">
        <is>
          <t>Revisión en consulta (art. 408.2 CPC) por haber intervenido curador procesal. Emplazamiento genérico a la «sucesión» pese a existir sucesión intestada inscrita con herederos identificados.</t>
        </is>
      </c>
      <c r="BA54" s="7" t="n"/>
      <c r="BB54" s="7" t="inlineStr">
        <is>
          <t>Matriz_defectos_procesales_1ra_SV</t>
        </is>
      </c>
      <c r="BC54" s="7" t="n">
        <v>1</v>
      </c>
      <c r="BD54" s="7" t="inlineStr">
        <is>
          <t>SUMARISIMO</t>
        </is>
      </c>
      <c r="BE54" s="7" t="inlineStr">
        <is>
          <t>NULA</t>
        </is>
      </c>
      <c r="BF54" s="7" t="inlineStr">
        <is>
          <t>SN</t>
        </is>
      </c>
    </row>
    <row r="55" ht="116.25" customHeight="1">
      <c r="A55" s="6" t="n">
        <v>54</v>
      </c>
      <c r="B55" s="6" t="inlineStr">
        <is>
          <t>02635-2019</t>
        </is>
      </c>
      <c r="C55" s="6" t="inlineStr">
        <is>
          <t>02635-2019</t>
        </is>
      </c>
      <c r="D55" s="6" t="inlineStr">
        <is>
          <t>2024</t>
        </is>
      </c>
      <c r="E55" s="6" t="n"/>
      <c r="F55" s="6" t="n"/>
      <c r="G55" s="6" t="inlineStr">
        <is>
          <t>SV N° 531-2023</t>
        </is>
      </c>
      <c r="H55" s="6" t="n"/>
      <c r="I55" s="6" t="inlineStr">
        <is>
          <t>06/11/2023</t>
        </is>
      </c>
      <c r="J55" s="6" t="inlineStr">
        <is>
          <t>2023</t>
        </is>
      </c>
      <c r="K55" s="6" t="n"/>
      <c r="L55" s="6" t="n"/>
      <c r="M55" s="6" t="inlineStr">
        <is>
          <t>Nula</t>
        </is>
      </c>
      <c r="N55" s="6" t="n">
        <v>2</v>
      </c>
      <c r="O55" s="6" t="n">
        <v>2</v>
      </c>
      <c r="P55" s="7" t="n"/>
      <c r="Q55" s="7" t="n"/>
      <c r="R55" s="7" t="n"/>
      <c r="S55" s="7" t="n"/>
      <c r="T55" s="7" t="n"/>
      <c r="U55" s="7" t="n"/>
      <c r="V55" s="7" t="n"/>
      <c r="W55" s="7" t="n"/>
      <c r="X55" s="7" t="n"/>
      <c r="Y55" s="7" t="n"/>
      <c r="Z55" s="8" t="inlineStr">
        <is>
          <t>DECLARADO — “…dante. En la sentencia materia de grado no se han valorado los medios probatorios ofrecidos en la contestación de demanda, no se ha merituado el valor probatorio del acta de asamblea de fecha dieciséis de octubre del dos mil diecinueve y el acta de fecha dieciocho de noviembre del dos mil veinte, así como las actas, escrituras publicas y testigos cuyo valor p…”</t>
        </is>
      </c>
      <c r="AA55" s="7" t="n"/>
      <c r="AB55" s="7" t="n"/>
      <c r="AC55" s="8" t="inlineStr">
        <is>
          <t>DECLARADO — “…ha copiado y pegado literalmente todo el texto y no ha realizado fundamentación alguna respecto a la causal de ser contrario al orden público y las buenas costumbres y ha copiado los considerandos desarrollados en la sentencia número 21-2023 del veintisiete de marzo del dos mil veintitrés del expediente 5…”</t>
        </is>
      </c>
      <c r="AD55" s="7" t="n"/>
      <c r="AE55" s="7" t="n"/>
      <c r="AF55" s="7" t="n"/>
      <c r="AG55" s="7" t="n"/>
      <c r="AH55" s="7" t="n"/>
      <c r="AI55" s="7" t="n"/>
      <c r="AJ55" s="7" t="n"/>
      <c r="AK55" s="7" t="n"/>
      <c r="AL55" s="7" t="n"/>
      <c r="AM55" s="7" t="inlineStr">
        <is>
          <t>Sí</t>
        </is>
      </c>
      <c r="AN55" s="7" t="n"/>
      <c r="AO55" s="7" t="n"/>
      <c r="AP55" s="7" t="inlineStr">
        <is>
          <t>Migración D15→D14 · Baja D20→—</t>
        </is>
      </c>
      <c r="AQ55" s="7" t="n"/>
      <c r="AR55" s="7" t="n"/>
      <c r="AS55" s="7" t="n"/>
      <c r="AT55" s="7" t="n"/>
      <c r="AU55" s="7" t="n"/>
      <c r="AV55" s="7" t="n"/>
      <c r="AW55" s="7" t="n"/>
      <c r="AX55" s="7" t="n"/>
      <c r="AY55" s="7" t="n"/>
      <c r="AZ55" s="7" t="n"/>
      <c r="BA55" s="7" t="n"/>
      <c r="BB55" s="7" t="inlineStr">
        <is>
          <t>Comparativa_defectos_2018_vs_2024 + Defectos_procesales_SV_CSJA</t>
        </is>
      </c>
      <c r="BC55" s="7" t="n">
        <v>2</v>
      </c>
      <c r="BD55" s="7" t="inlineStr">
        <is>
          <t>CONOCIMIENTO</t>
        </is>
      </c>
      <c r="BE55" s="7" t="inlineStr">
        <is>
          <t>NULA</t>
        </is>
      </c>
      <c r="BF55" s="7" t="inlineStr">
        <is>
          <t>CN</t>
        </is>
      </c>
    </row>
    <row r="56" ht="105.75" customHeight="1">
      <c r="A56" s="6" t="n">
        <v>55</v>
      </c>
      <c r="B56" s="6" t="inlineStr">
        <is>
          <t>02641-2010</t>
        </is>
      </c>
      <c r="C56" s="6" t="inlineStr">
        <is>
          <t>02641-2010</t>
        </is>
      </c>
      <c r="D56" s="6" t="inlineStr">
        <is>
          <t>Pre-2019</t>
        </is>
      </c>
      <c r="E56" s="6" t="n"/>
      <c r="F56" s="6" t="inlineStr">
        <is>
          <t>1SC</t>
        </is>
      </c>
      <c r="G56" s="6" t="inlineStr">
        <is>
          <t>SV N° 479-2018-1SC</t>
        </is>
      </c>
      <c r="H56" s="6" t="n"/>
      <c r="I56" s="6" t="inlineStr">
        <is>
          <t>25/09/2018</t>
        </is>
      </c>
      <c r="J56" s="6" t="inlineStr">
        <is>
          <t>2018</t>
        </is>
      </c>
      <c r="K56" s="6" t="n"/>
      <c r="L56" s="6" t="n"/>
      <c r="M56" s="6" t="inlineStr">
        <is>
          <t>Nula</t>
        </is>
      </c>
      <c r="N56" s="6" t="n">
        <v>1</v>
      </c>
      <c r="O56" s="6" t="n">
        <v>1</v>
      </c>
      <c r="P56" s="7" t="n"/>
      <c r="Q56" s="7" t="n"/>
      <c r="R56" s="7" t="n"/>
      <c r="S56" s="7" t="n"/>
      <c r="T56" s="7" t="n"/>
      <c r="U56" s="7" t="n"/>
      <c r="V56" s="8" t="inlineStr">
        <is>
          <t>DECLARADO — “…stente en el audio contenido en el CD, acta de verificación de grabación y el documento de transcripción del mismo, que debía actuarse en la audiencia de pruebas programada, conforme lo dispuesto en el artículo 234 del Código Procesal Civil; esto es, se disponga por el Juez de la causa, la reproducción del contenido del audio del…”</t>
        </is>
      </c>
      <c r="W56" s="7" t="n"/>
      <c r="X56" s="7" t="n"/>
      <c r="Y56" s="7" t="n"/>
      <c r="Z56" s="7" t="n"/>
      <c r="AA56" s="7" t="n"/>
      <c r="AB56" s="7" t="n"/>
      <c r="AC56" s="7" t="n"/>
      <c r="AD56" s="7" t="n"/>
      <c r="AE56" s="7" t="n"/>
      <c r="AF56" s="7" t="n"/>
      <c r="AG56" s="7" t="n"/>
      <c r="AH56" s="7" t="n"/>
      <c r="AI56" s="7" t="n"/>
      <c r="AJ56" s="7" t="n"/>
      <c r="AK56" s="7" t="n"/>
      <c r="AL56" s="7" t="n"/>
      <c r="AM56" s="7" t="n"/>
      <c r="AN56" s="7" t="n"/>
      <c r="AO56" s="7" t="n"/>
      <c r="AP56" s="7" t="inlineStr">
        <is>
          <t>Baja D05→—</t>
        </is>
      </c>
      <c r="AQ56" s="7" t="n"/>
      <c r="AR56" s="7" t="n"/>
      <c r="AS56" s="7" t="n"/>
      <c r="AT56" s="7" t="n"/>
      <c r="AU56" s="7" t="n"/>
      <c r="AV56" s="7" t="n"/>
      <c r="AW56" s="7" t="n"/>
      <c r="AX56" s="7" t="n"/>
      <c r="AY56" s="7" t="n"/>
      <c r="AZ56" s="7" t="n"/>
      <c r="BA56" s="7" t="n"/>
      <c r="BB56" s="7" t="inlineStr">
        <is>
          <t>Comparativa_defectos_2018_vs_2024 + Defectos_procesales_SV_CSJA</t>
        </is>
      </c>
      <c r="BC56" s="7" t="n">
        <v>2</v>
      </c>
      <c r="BD56" s="7" t="inlineStr">
        <is>
          <t>CONOCIMIENTO</t>
        </is>
      </c>
      <c r="BE56" s="7" t="inlineStr">
        <is>
          <t>NULA</t>
        </is>
      </c>
      <c r="BF56" s="7" t="inlineStr">
        <is>
          <t>CN</t>
        </is>
      </c>
    </row>
    <row r="57" ht="116.25" customHeight="1">
      <c r="A57" s="6" t="n">
        <v>56</v>
      </c>
      <c r="B57" s="6" t="inlineStr">
        <is>
          <t>02706-2015</t>
        </is>
      </c>
      <c r="C57" s="6" t="inlineStr">
        <is>
          <t>02706-2015</t>
        </is>
      </c>
      <c r="D57" s="6" t="inlineStr">
        <is>
          <t>Pre-2019</t>
        </is>
      </c>
      <c r="E57" s="6" t="n"/>
      <c r="F57" s="6" t="inlineStr">
        <is>
          <t>2SC</t>
        </is>
      </c>
      <c r="G57" s="6" t="inlineStr">
        <is>
          <t>SV N° 070-2019-2SC</t>
        </is>
      </c>
      <c r="H57" s="6" t="n"/>
      <c r="I57" s="6" t="inlineStr">
        <is>
          <t>21/03/2019</t>
        </is>
      </c>
      <c r="J57" s="6" t="inlineStr">
        <is>
          <t>2019</t>
        </is>
      </c>
      <c r="K57" s="6" t="n"/>
      <c r="L57" s="6" t="n"/>
      <c r="M57" s="6" t="inlineStr">
        <is>
          <t>Nula</t>
        </is>
      </c>
      <c r="N57" s="6" t="n">
        <v>1</v>
      </c>
      <c r="O57" s="6" t="n">
        <v>1</v>
      </c>
      <c r="P57" s="7" t="n"/>
      <c r="Q57" s="7" t="n"/>
      <c r="R57" s="8" t="inlineStr">
        <is>
          <t>DECLARADO — “…el Notario debió ser integrado al proceso como parte demandada, lo cual no fue advertido por el jugador, de modo que a fin de garantizar que la presente causa se tramite sin vulnerar el debido proceso y garantizando el derecho de defensa del Notario citado, es que debe incluírsele en la relación jurídica procesal, conforme a las facultares establecidas en el a…”</t>
        </is>
      </c>
      <c r="S57" s="7" t="n"/>
      <c r="T57" s="7" t="n"/>
      <c r="U57" s="7" t="n"/>
      <c r="V57" s="7" t="n"/>
      <c r="W57" s="7" t="n"/>
      <c r="X57" s="7" t="n"/>
      <c r="Y57" s="7" t="n"/>
      <c r="Z57" s="7" t="n"/>
      <c r="AA57" s="7" t="n"/>
      <c r="AB57" s="7" t="n"/>
      <c r="AC57" s="7" t="n"/>
      <c r="AD57" s="7" t="n"/>
      <c r="AE57" s="7" t="n"/>
      <c r="AF57" s="7" t="n"/>
      <c r="AG57" s="7" t="n"/>
      <c r="AH57" s="7" t="n"/>
      <c r="AI57" s="7" t="n"/>
      <c r="AJ57" s="7" t="n"/>
      <c r="AK57" s="7" t="n"/>
      <c r="AL57" s="7" t="n"/>
      <c r="AM57" s="7" t="n"/>
      <c r="AN57" s="7" t="n"/>
      <c r="AO57" s="7" t="n"/>
      <c r="AP57" s="7" t="inlineStr">
        <is>
          <t>Baja D02→—</t>
        </is>
      </c>
      <c r="AQ57" s="7" t="n"/>
      <c r="AR57" s="7" t="n"/>
      <c r="AS57" s="7" t="n"/>
      <c r="AT57" s="7" t="n"/>
      <c r="AU57" s="7" t="n"/>
      <c r="AV57" s="7" t="n"/>
      <c r="AW57" s="7" t="n"/>
      <c r="AX57" s="7" t="n"/>
      <c r="AY57" s="7" t="n"/>
      <c r="AZ57" s="7" t="n"/>
      <c r="BA57" s="7" t="n"/>
      <c r="BB57" s="7" t="inlineStr">
        <is>
          <t>Comparativa_defectos_2018_vs_2024 + Defectos_procesales_SV_CSJA</t>
        </is>
      </c>
      <c r="BC57" s="7" t="n">
        <v>2</v>
      </c>
      <c r="BD57" s="7" t="inlineStr">
        <is>
          <t>CONOCIMIENTO</t>
        </is>
      </c>
      <c r="BE57" s="7" t="inlineStr">
        <is>
          <t>NULA</t>
        </is>
      </c>
      <c r="BF57" s="7" t="inlineStr">
        <is>
          <t>CN</t>
        </is>
      </c>
    </row>
    <row r="58" ht="74.25" customHeight="1">
      <c r="A58" s="6" t="n">
        <v>57</v>
      </c>
      <c r="B58" s="6" t="inlineStr">
        <is>
          <t>02706-2016</t>
        </is>
      </c>
      <c r="C58" s="6" t="inlineStr">
        <is>
          <t>02706-2016-0-0401-JR-CI-04</t>
        </is>
      </c>
      <c r="D58" s="6" t="inlineStr">
        <is>
          <t>Matriz sumarísimos — anteriores a 2019</t>
        </is>
      </c>
      <c r="E58" s="6" t="inlineStr">
        <is>
          <t>Desalojo por ocupación precaria</t>
        </is>
      </c>
      <c r="F58" s="6" t="inlineStr">
        <is>
          <t>2SC</t>
        </is>
      </c>
      <c r="G58" s="6" t="inlineStr">
        <is>
          <t>SV 2SC (en discordia)</t>
        </is>
      </c>
      <c r="H58" s="6" t="inlineStr">
        <is>
          <t>Res. 35 (ocho-2SC)</t>
        </is>
      </c>
      <c r="I58" s="6" t="inlineStr">
        <is>
          <t>19/02/2021</t>
        </is>
      </c>
      <c r="J58" s="6" t="inlineStr">
        <is>
          <t>2021</t>
        </is>
      </c>
      <c r="K58" s="6" t="inlineStr">
        <is>
          <t>Justo Quispe Apaza</t>
        </is>
      </c>
      <c r="L58" s="6" t="n"/>
      <c r="M58" s="6" t="inlineStr">
        <is>
          <t>REVOCADA → IMPROCEDENTE (por mayoría)</t>
        </is>
      </c>
      <c r="N58" s="6" t="n">
        <v>0</v>
      </c>
      <c r="O58" s="6" t="n">
        <v>2</v>
      </c>
      <c r="P58" s="7" t="n"/>
      <c r="Q58" s="7" t="n"/>
      <c r="R58" s="7" t="n"/>
      <c r="S58" s="7" t="n"/>
      <c r="T58" s="7" t="n"/>
      <c r="U58" s="11" t="inlineStr">
        <is>
          <t>VOTO MINORÍA — «no fue alegado por la parte demandada en la contestación a la demanda, y menos ha sido fijado como punto controvertido en la audiencia del tres de julio del dos mil diecisiete (foja 179)»</t>
        </is>
      </c>
      <c r="V58" s="7" t="n"/>
      <c r="W58" s="11" t="inlineStr">
        <is>
          <t>VOTO MINORÍA — «el juzgado indebidamente ha admitido mediante auto 23 del 28 de setiembre del dos mil dieciocho (foja 326) el contrato privado del 14 de enero de mil novecientos noventa y siete… la introducción de dicho documento al acervo probatorio es indebido»</t>
        </is>
      </c>
      <c r="X58" s="7" t="n"/>
      <c r="Y58" s="7" t="n"/>
      <c r="Z58" s="7" t="n"/>
      <c r="AA58" s="7" t="n"/>
      <c r="AB58" s="7" t="n"/>
      <c r="AC58" s="7" t="n"/>
      <c r="AD58" s="7" t="n"/>
      <c r="AE58" s="7" t="n"/>
      <c r="AF58" s="7" t="n"/>
      <c r="AG58" s="7" t="n"/>
      <c r="AH58" s="7" t="n"/>
      <c r="AI58" s="7" t="n"/>
      <c r="AJ58" s="7" t="n"/>
      <c r="AK58" s="7" t="n"/>
      <c r="AL58" s="7" t="n"/>
      <c r="AM58" s="7" t="n"/>
      <c r="AN58" s="7" t="n"/>
      <c r="AO58" s="7" t="n"/>
      <c r="AP58" s="7" t="n"/>
      <c r="AQ58" s="7" t="n"/>
      <c r="AR58" s="7" t="n"/>
      <c r="AS58" s="7" t="n"/>
      <c r="AT58" s="7" t="n"/>
      <c r="AU58" s="7" t="n"/>
      <c r="AV58" s="7" t="n"/>
      <c r="AW58" s="7" t="n"/>
      <c r="AX58" s="7" t="n"/>
      <c r="AY58" s="7" t="n"/>
      <c r="AZ58" s="7" t="inlineStr">
        <is>
          <t>Los vicios los señala el voto en discordia (Barrera Benavides), que además objeta que la ponencia funde la improcedencia en una usucapión no alegada (art. VII TP CPC).</t>
        </is>
      </c>
      <c r="BA58" s="7" t="n"/>
      <c r="BB58" s="7" t="inlineStr">
        <is>
          <t>Matriz_defectos_procesales_1ra_SV</t>
        </is>
      </c>
      <c r="BC58" s="7" t="n">
        <v>1</v>
      </c>
      <c r="BD58" s="7" t="inlineStr">
        <is>
          <t>SUMARISIMO</t>
        </is>
      </c>
      <c r="BE58" s="7" t="inlineStr">
        <is>
          <t>REVOCADA</t>
        </is>
      </c>
      <c r="BF58" s="7" t="inlineStr">
        <is>
          <t>SR</t>
        </is>
      </c>
    </row>
    <row r="59" ht="53.25" customHeight="1">
      <c r="A59" s="6" t="n">
        <v>58</v>
      </c>
      <c r="B59" s="6" t="inlineStr">
        <is>
          <t>02712-2023</t>
        </is>
      </c>
      <c r="C59" s="6" t="inlineStr">
        <is>
          <t>02712-2023-0-0401-JR-CI-10</t>
        </is>
      </c>
      <c r="D59" s="6" t="inlineStr">
        <is>
          <t>Llamoja — SV de control (2021-2023)</t>
        </is>
      </c>
      <c r="E59" s="6" t="inlineStr">
        <is>
          <t>División y partición / rentas</t>
        </is>
      </c>
      <c r="F59" s="6" t="inlineStr">
        <is>
          <t>2SC</t>
        </is>
      </c>
      <c r="G59" s="6" t="inlineStr">
        <is>
          <t>065-2025-2SC</t>
        </is>
      </c>
      <c r="H59" s="6" t="inlineStr">
        <is>
          <t>23</t>
        </is>
      </c>
      <c r="I59" s="6" t="inlineStr">
        <is>
          <t>dos mil veinticinco, Enero veintiuno</t>
        </is>
      </c>
      <c r="J59" s="6" t="inlineStr">
        <is>
          <t>2025</t>
        </is>
      </c>
      <c r="K59" s="6" t="n"/>
      <c r="L59" s="6" t="inlineStr">
        <is>
          <t>Cervantes López</t>
        </is>
      </c>
      <c r="M59" s="6" t="inlineStr">
        <is>
          <t>REVOCA → FUNDADA (extremo)</t>
        </is>
      </c>
      <c r="N59" s="6" t="n">
        <v>0</v>
      </c>
      <c r="O59" s="6" t="n">
        <v>0</v>
      </c>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7" t="n"/>
      <c r="AL59" s="7" t="n"/>
      <c r="AM59" s="7" t="n"/>
      <c r="AN59" s="7" t="n"/>
      <c r="AO59" s="7" t="n"/>
      <c r="AP59" s="7" t="n"/>
      <c r="AQ59" s="7" t="inlineStr">
        <is>
          <t>— Sin vicio de motivación como causal</t>
        </is>
      </c>
      <c r="AR59" s="7" t="n"/>
      <c r="AS59" s="7" t="inlineStr">
        <is>
          <t>No</t>
        </is>
      </c>
      <c r="AT59" s="7" t="inlineStr">
        <is>
          <t>«Por estos fundamentos, SE RESUELVE: REVOCAR la Sentencia N° 016-2024 de fecha 13 de marzo de 2024, digitalizada a fojas ciento sesenta y cuatro, en el extremo que declara infundada la demanda interpuesta respecto de la pretensión de obligación de dar suma de dinero, por las razones expuestas.»</t>
        </is>
      </c>
      <c r="AU59" s="7" t="inlineStr">
        <is>
          <t>Error de juicio: revoca extremo</t>
        </is>
      </c>
      <c r="AV59" s="7" t="inlineStr">
        <is>
          <t>«REFORMANDOLA, se declara FUNDADA la pretensión de obligación de dar suma de dinero por rentas impagas interpuesta por María Patricia Núñez Moscoso en contra de Luis Enrique Núñez Moscoso.»</t>
        </is>
      </c>
      <c r="AW59" s="7" t="inlineStr">
        <is>
          <t>Fallo reformado (fundada obligación de dar)</t>
        </is>
      </c>
      <c r="AX59" s="7" t="n"/>
      <c r="AY59" s="7" t="n"/>
      <c r="AZ59" s="7" t="inlineStr">
        <is>
          <t>Error de juicio; sin anulación.</t>
        </is>
      </c>
      <c r="BA59" s="7" t="inlineStr">
        <is>
          <t>2712 2023 SV 2025.doc</t>
        </is>
      </c>
      <c r="BB59" s="7" t="inlineStr">
        <is>
          <t>Clasificacion_SV_ABR24_Llamoja_defectos</t>
        </is>
      </c>
      <c r="BC59" s="7" t="n">
        <v>1</v>
      </c>
      <c r="BD59" s="7" t="inlineStr">
        <is>
          <t>ABREVIADO</t>
        </is>
      </c>
      <c r="BE59" s="7" t="inlineStr">
        <is>
          <t>REVOCADA</t>
        </is>
      </c>
      <c r="BF59" s="7" t="inlineStr">
        <is>
          <t>AR</t>
        </is>
      </c>
    </row>
    <row r="60" ht="147.75" customHeight="1">
      <c r="A60" s="6" t="n">
        <v>59</v>
      </c>
      <c r="B60" s="6" t="inlineStr">
        <is>
          <t>02718-2015</t>
        </is>
      </c>
      <c r="C60" s="6" t="inlineStr">
        <is>
          <t>02718-2015-0-0401-JR-CI-09</t>
        </is>
      </c>
      <c r="D60" s="6" t="inlineStr">
        <is>
          <t>Matriz sumarísimos — anteriores a 2019</t>
        </is>
      </c>
      <c r="E60" s="6" t="inlineStr">
        <is>
          <t>Desalojo por ocupación precaria</t>
        </is>
      </c>
      <c r="F60" s="6" t="inlineStr">
        <is>
          <t>1SC</t>
        </is>
      </c>
      <c r="G60" s="6" t="inlineStr">
        <is>
          <t>SV 620-2018-1SC</t>
        </is>
      </c>
      <c r="H60" s="6" t="inlineStr">
        <is>
          <t>Res. 36 (once-1SC)</t>
        </is>
      </c>
      <c r="I60" s="6" t="inlineStr">
        <is>
          <t>28/12/2018</t>
        </is>
      </c>
      <c r="J60" s="6" t="inlineStr">
        <is>
          <t>2018</t>
        </is>
      </c>
      <c r="K60" s="6" t="inlineStr">
        <is>
          <t>José Meza Miranda</t>
        </is>
      </c>
      <c r="L60" s="6" t="n"/>
      <c r="M60" s="6" t="inlineStr">
        <is>
          <t>NULA (reenvío)</t>
        </is>
      </c>
      <c r="N60" s="6" t="n">
        <v>3</v>
      </c>
      <c r="O60" s="6" t="n">
        <v>3</v>
      </c>
      <c r="P60" s="7" t="n"/>
      <c r="Q60" s="7" t="n"/>
      <c r="R60" s="7" t="n"/>
      <c r="S60" s="7" t="n"/>
      <c r="T60" s="7" t="n"/>
      <c r="U60" s="7" t="n"/>
      <c r="V60" s="8" t="inlineStr">
        <is>
          <t>DECLARADO — «no siendo razonable que habiéndose admitido como medio probatorio de oficio una inspección a efecto de determinar e individualizar los ambientes materia de proceso, conforme a la Resolución N° 07 a folios noventa y cinco, ésta en términos prácticos no se haya realizado… porque la litisconsorte necesaria pasiva simplemente no quiso mostrar el inmueble, siendo el A quo quien debe ejercer las medidas coercitivas pertinentes»</t>
        </is>
      </c>
      <c r="W60" s="7" t="n"/>
      <c r="X60" s="7" t="n"/>
      <c r="Y60" s="7" t="n"/>
      <c r="Z60" s="7" t="n"/>
      <c r="AA60" s="7" t="n"/>
      <c r="AB60" s="7" t="n"/>
      <c r="AC60" s="7" t="n"/>
      <c r="AD60" s="7" t="n"/>
      <c r="AE60" s="8" t="inlineStr">
        <is>
          <t>DECLARADO — «dicha motivación en términos del Tribunal Constitucional resulta sustancialmente incongruente, pues tanto la parte demandante como la parte demandada en sus actos postulatorios han señalado y reconocido que la propiedad primigenia del inmueble materia de Litis perteneció a Alejandro Donato Sosa Postigo y Josefina Antonieta Muñoz Pacheco; por lo que, el análisis efectuado en tal sentido constituye una desviación que supone alterar el debate procesal»</t>
        </is>
      </c>
      <c r="AF60" s="7" t="n"/>
      <c r="AG60" s="7" t="n"/>
      <c r="AH60" s="7" t="n"/>
      <c r="AI60" s="7" t="n"/>
      <c r="AJ60" s="7" t="n"/>
      <c r="AK60" s="7" t="n"/>
      <c r="AL60" s="8" t="inlineStr">
        <is>
          <t>DECLARADO — «la Sentencia venida en grado ha incurrido en causal de nulidad por una indebida motivación no subsanable en esta instancia»</t>
        </is>
      </c>
      <c r="AM60" s="7" t="inlineStr">
        <is>
          <t>Sí</t>
        </is>
      </c>
      <c r="AN60" s="7" t="n"/>
      <c r="AO60" s="7" t="n"/>
      <c r="AP60" s="7" t="inlineStr">
        <is>
          <t>Baja D02→— · Migración D15→D23 · Baja D20→—</t>
        </is>
      </c>
      <c r="AQ60" s="7" t="n"/>
      <c r="AR60" s="7" t="n"/>
      <c r="AS60" s="7" t="n"/>
      <c r="AT60" s="7" t="n"/>
      <c r="AU60" s="7" t="n"/>
      <c r="AV60" s="7" t="n"/>
      <c r="AW60" s="7" t="n"/>
      <c r="AX60" s="7" t="n"/>
      <c r="AY60" s="7" t="n"/>
      <c r="AZ60" s="7" t="inlineStr">
        <is>
          <t>Se descarta la SV 542-2017 (anterior a 2018) por el criterio de corte temporal. La inspección judicial admitida de oficio (Res. N° 7) quedó frustrada por negativa de la litisconsorte y el A quo no usó medidas coercitivas.</t>
        </is>
      </c>
      <c r="BA60" s="7" t="n"/>
      <c r="BB60" s="7" t="inlineStr">
        <is>
          <t>Matriz_defectos_procesales_1ra_SV</t>
        </is>
      </c>
      <c r="BC60" s="7" t="n">
        <v>1</v>
      </c>
      <c r="BD60" s="7" t="inlineStr">
        <is>
          <t>SUMARISIMO</t>
        </is>
      </c>
      <c r="BE60" s="7" t="inlineStr">
        <is>
          <t>NULA</t>
        </is>
      </c>
      <c r="BF60" s="7" t="inlineStr">
        <is>
          <t>SN</t>
        </is>
      </c>
    </row>
    <row r="61" ht="32.25" customHeight="1">
      <c r="A61" s="6" t="n">
        <v>60</v>
      </c>
      <c r="B61" s="6" t="inlineStr">
        <is>
          <t>02723-2023</t>
        </is>
      </c>
      <c r="C61" s="6" t="inlineStr">
        <is>
          <t>02723-2023-0-0401-JR-CI-02</t>
        </is>
      </c>
      <c r="D61" s="6" t="inlineStr">
        <is>
          <t>Llamoja — SV de control (2021-2023)</t>
        </is>
      </c>
      <c r="E61" s="6" t="inlineStr">
        <is>
          <t>Ineficacia de título valor</t>
        </is>
      </c>
      <c r="F61" s="6" t="inlineStr">
        <is>
          <t>2SC</t>
        </is>
      </c>
      <c r="G61" s="6" t="inlineStr">
        <is>
          <t>525-2025-2SC</t>
        </is>
      </c>
      <c r="H61" s="6" t="inlineStr">
        <is>
          <t>21</t>
        </is>
      </c>
      <c r="I61" s="6" t="inlineStr">
        <is>
          <t>dos mil veinticinco, Octubre veintiocho</t>
        </is>
      </c>
      <c r="J61" s="6" t="inlineStr">
        <is>
          <t>2025</t>
        </is>
      </c>
      <c r="K61" s="6" t="n"/>
      <c r="L61" s="6" t="inlineStr">
        <is>
          <t>de la Cuba Chirinos</t>
        </is>
      </c>
      <c r="M61" s="6" t="inlineStr">
        <is>
          <t>REVOCA → FUNDADA</t>
        </is>
      </c>
      <c r="N61" s="6" t="n">
        <v>0</v>
      </c>
      <c r="O61" s="6" t="n">
        <v>0</v>
      </c>
      <c r="P61" s="7" t="n"/>
      <c r="Q61" s="7" t="n"/>
      <c r="R61" s="7" t="n"/>
      <c r="S61" s="7" t="n"/>
      <c r="T61" s="7" t="n"/>
      <c r="U61" s="7" t="n"/>
      <c r="V61" s="7" t="n"/>
      <c r="W61" s="7" t="n"/>
      <c r="X61" s="7" t="n"/>
      <c r="Y61" s="7" t="n"/>
      <c r="Z61" s="7" t="n"/>
      <c r="AA61" s="7" t="n"/>
      <c r="AB61" s="7" t="n"/>
      <c r="AC61" s="7" t="n"/>
      <c r="AD61" s="7" t="n"/>
      <c r="AE61" s="7" t="n"/>
      <c r="AF61" s="7" t="n"/>
      <c r="AG61" s="7" t="n"/>
      <c r="AH61" s="7" t="n"/>
      <c r="AI61" s="7" t="n"/>
      <c r="AJ61" s="7" t="n"/>
      <c r="AK61" s="7" t="n"/>
      <c r="AL61" s="7" t="n"/>
      <c r="AM61" s="7" t="n"/>
      <c r="AN61" s="7" t="n"/>
      <c r="AO61" s="7" t="n"/>
      <c r="AP61" s="7" t="n"/>
      <c r="AQ61" s="7" t="inlineStr">
        <is>
          <t>— Sin vicio de motivación como causal</t>
        </is>
      </c>
      <c r="AR61" s="7" t="n"/>
      <c r="AS61" s="7" t="inlineStr">
        <is>
          <t>No</t>
        </is>
      </c>
      <c r="AT61" s="7" t="inlineStr">
        <is>
          <t>«Estando a todo lo analizado, dentro de los parámetros de ley y la jurisprudencia citada, son de recibo los argumentos impugnativos, debiendo revocarse la sentencia recurrida.»</t>
        </is>
      </c>
      <c r="AU61" s="7" t="inlineStr">
        <is>
          <t>Error de juicio: se amparan los agravios</t>
        </is>
      </c>
      <c r="AV61" s="7" t="inlineStr">
        <is>
          <t>«En cuanto a los efectos de la resolución del contrato, ha quedado acreditado que la relación contractual entre Matías Jochamowitz Mendoza y Corban Negocios S.A.C.»</t>
        </is>
      </c>
      <c r="AW61" s="7" t="inlineStr">
        <is>
          <t>Fundamento: resolución contractual acreditada</t>
        </is>
      </c>
      <c r="AX61" s="7" t="n"/>
      <c r="AY61" s="7" t="n"/>
      <c r="AZ61" s="7" t="inlineStr">
        <is>
          <t>Error de juicio; sin anulación.</t>
        </is>
      </c>
      <c r="BA61" s="7" t="inlineStr">
        <is>
          <t>2723 2023 SV 22024.doc</t>
        </is>
      </c>
      <c r="BB61" s="7" t="inlineStr">
        <is>
          <t>Clasificacion_SV_ABR24_Llamoja_defectos</t>
        </is>
      </c>
      <c r="BC61" s="7" t="n">
        <v>1</v>
      </c>
      <c r="BD61" s="7" t="inlineStr">
        <is>
          <t>ABREVIADO</t>
        </is>
      </c>
      <c r="BE61" s="7" t="inlineStr">
        <is>
          <t>REVOCADA</t>
        </is>
      </c>
      <c r="BF61" s="7" t="inlineStr">
        <is>
          <t>AR</t>
        </is>
      </c>
    </row>
    <row r="62" ht="147.75" customHeight="1">
      <c r="A62" s="6" t="n">
        <v>61</v>
      </c>
      <c r="B62" s="6" t="inlineStr">
        <is>
          <t>02792-2023</t>
        </is>
      </c>
      <c r="C62" s="6" t="inlineStr">
        <is>
          <t>02792-2023-0-0401-JR-CI-03</t>
        </is>
      </c>
      <c r="D62" s="6" t="inlineStr">
        <is>
          <t>Llamoja — SV de control (2021-2023)</t>
        </is>
      </c>
      <c r="E62" s="6" t="inlineStr">
        <is>
          <t>Nulidad de acto jurídico (simulación)</t>
        </is>
      </c>
      <c r="F62" s="6" t="inlineStr">
        <is>
          <t>1SC</t>
        </is>
      </c>
      <c r="G62" s="6" t="n"/>
      <c r="H62" s="6" t="inlineStr">
        <is>
          <t>27</t>
        </is>
      </c>
      <c r="I62" s="6" t="inlineStr">
        <is>
          <t>dos mil veinticinco, junio veinticuatro</t>
        </is>
      </c>
      <c r="J62" s="6" t="inlineStr">
        <is>
          <t>2025</t>
        </is>
      </c>
      <c r="K62" s="6" t="n"/>
      <c r="L62" s="6" t="inlineStr">
        <is>
          <t>Polanco Gutiérrez</t>
        </is>
      </c>
      <c r="M62" s="6" t="inlineStr">
        <is>
          <t>REVOCA extremo → (nulidad desestimada)</t>
        </is>
      </c>
      <c r="N62" s="6" t="n">
        <v>0</v>
      </c>
      <c r="O62" s="6" t="n">
        <v>2</v>
      </c>
      <c r="P62" s="7" t="n"/>
      <c r="Q62" s="7" t="n"/>
      <c r="R62" s="7" t="n"/>
      <c r="S62" s="7" t="n"/>
      <c r="T62" s="7" t="n"/>
      <c r="U62" s="7" t="n"/>
      <c r="V62" s="7" t="n"/>
      <c r="W62" s="7" t="n"/>
      <c r="X62" s="7" t="n"/>
      <c r="Y62" s="7" t="n"/>
      <c r="Z62" s="7" t="n"/>
      <c r="AA62" s="7" t="n"/>
      <c r="AB62" s="7" t="n"/>
      <c r="AC62" s="9" t="inlineStr">
        <is>
          <t>ADVERTIDO — la Sala califica de aparente la motivación del considerando 7.2</t>
        </is>
      </c>
      <c r="AD62" s="9" t="inlineStr">
        <is>
          <t>ADVERTIDO — la Sala califica de «no lógica» la conclusión del A quo</t>
        </is>
      </c>
      <c r="AE62" s="7" t="n"/>
      <c r="AF62" s="7" t="n"/>
      <c r="AG62" s="7" t="n"/>
      <c r="AH62" s="7" t="n"/>
      <c r="AI62" s="7" t="n"/>
      <c r="AJ62" s="7" t="n"/>
      <c r="AK62" s="7" t="n"/>
      <c r="AL62" s="7" t="n"/>
      <c r="AM62" s="7" t="n"/>
      <c r="AN62" s="7" t="n"/>
      <c r="AO62" s="7" t="n"/>
      <c r="AP62" s="7" t="inlineStr">
        <is>
          <t>Alta —→D14 y D15</t>
        </is>
      </c>
      <c r="AQ62" s="7" t="inlineStr">
        <is>
          <t>— Sin vicio de motivación como causal</t>
        </is>
      </c>
      <c r="AR62" s="7" t="inlineStr">
        <is>
          <t>a) Inexistencia / motivación aparente</t>
        </is>
      </c>
      <c r="AS62" s="7" t="inlineStr">
        <is>
          <t>No</t>
        </is>
      </c>
      <c r="AT62" s="7" t="inlineStr">
        <is>
          <t>«Ninguno de los contratos fue impugnado en su validez, por lo que prevalece lo señalado en el artículo 2013 del Código Civil y aun cuando es un indicio de la conducta de las partes, es aparente la motivación del juez en 7.2.»</t>
        </is>
      </c>
      <c r="AU62" s="7" t="inlineStr">
        <is>
          <t>a) Motivación aparente advertida (sin efecto anulatorio)</t>
        </is>
      </c>
      <c r="AV62" s="7" t="inlineStr">
        <is>
          <t>«cuando afirmar que: “… el hecho que no haya sido declaradas nulas no necesariamente significa que sean reales; entonces , bajo dicho presupuesto reposa la confianza de devolución que sustenta el acuerdo sobre el que habrían actuado las partes, independiente a la voluntad de la parte demandada de apropiarse el inmueble … se hacía aparentar a los demandados que eran los propietarios sin haber pagado el precio y/o perjudicar a los derechos de los demás hijos de los demandantes; concurriendo el propósito de engaño y perjuicio a terceros.” ¿Cómo debe, entonces, ser valorada la conducta de las partes? como una de confianza, por lo que justifica la inexistencia de cualquier contradocumento al respecto, pero no puede concluirse que como firmaron dos contratos simulados (afirmación que no está acreditada), el tercero también es simulado, pues dicha conclusión es una conclusión no lógica.»</t>
        </is>
      </c>
      <c r="AW62" s="7" t="inlineStr">
        <is>
          <t>b) Conclusión 'no lógica' (defecto interno), corregida por revocatoria</t>
        </is>
      </c>
      <c r="AX62" s="7" t="inlineStr">
        <is>
          <t>«Finalmente, se le recomienda al juez de la causa, que tenga en cuenta que el proceso por audiencias (oralidad), parte de la premisa de un proceso instrumento y flexible para una decisión correcta, siendo uno de sus límites importantes a las facultades del juez, la no vulneración del derecho de defensa y contradictorio al que tienen derecho las partes.»</t>
        </is>
      </c>
      <c r="AY62" s="7" t="inlineStr">
        <is>
          <t>Exhortación sobre oralidad y contradictorio</t>
        </is>
      </c>
      <c r="AZ62" s="7" t="inlineStr">
        <is>
          <t>Vicio advertido sin efecto anulatorio: la Sala califica de 'aparente' la motivación del 7.2 y de 'no lógica' la conclusión (a/b), pero corrige por revocatoria. Registrar como vicio detectado sin nulidad.</t>
        </is>
      </c>
      <c r="BA62" s="7" t="inlineStr">
        <is>
          <t>2792 2023 SV 2025.doc</t>
        </is>
      </c>
      <c r="BB62" s="7" t="inlineStr">
        <is>
          <t>Clasificacion_SV_ABR24_Llamoja_defectos</t>
        </is>
      </c>
      <c r="BC62" s="7" t="n">
        <v>1</v>
      </c>
      <c r="BD62" s="7" t="inlineStr">
        <is>
          <t>ABREVIADO</t>
        </is>
      </c>
      <c r="BE62" s="7" t="inlineStr">
        <is>
          <t>REVOCADA</t>
        </is>
      </c>
      <c r="BF62" s="7" t="inlineStr">
        <is>
          <t>AR</t>
        </is>
      </c>
    </row>
    <row r="63" ht="116.25" customHeight="1">
      <c r="A63" s="6" t="n">
        <v>62</v>
      </c>
      <c r="B63" s="6" t="inlineStr">
        <is>
          <t>02814-2015</t>
        </is>
      </c>
      <c r="C63" s="6" t="inlineStr">
        <is>
          <t>02814-2015</t>
        </is>
      </c>
      <c r="D63" s="6" t="inlineStr">
        <is>
          <t>Pre-2019</t>
        </is>
      </c>
      <c r="E63" s="6" t="n"/>
      <c r="F63" s="6" t="inlineStr">
        <is>
          <t>3SC</t>
        </is>
      </c>
      <c r="G63" s="6" t="inlineStr">
        <is>
          <t>SV N° 716-2019-3SC</t>
        </is>
      </c>
      <c r="H63" s="6" t="n"/>
      <c r="I63" s="6" t="inlineStr">
        <is>
          <t>11/09/2019</t>
        </is>
      </c>
      <c r="J63" s="6" t="inlineStr">
        <is>
          <t>2019</t>
        </is>
      </c>
      <c r="K63" s="6" t="n"/>
      <c r="L63" s="6" t="n"/>
      <c r="M63" s="6" t="inlineStr">
        <is>
          <t>Nula e insubsistente</t>
        </is>
      </c>
      <c r="N63" s="6" t="n">
        <v>1</v>
      </c>
      <c r="O63" s="6" t="n">
        <v>1</v>
      </c>
      <c r="P63" s="7" t="n"/>
      <c r="Q63" s="7" t="n"/>
      <c r="R63" s="7" t="n"/>
      <c r="S63" s="7" t="n"/>
      <c r="T63" s="7" t="n"/>
      <c r="U63" s="7" t="n"/>
      <c r="V63" s="7" t="n"/>
      <c r="W63" s="7" t="n"/>
      <c r="X63" s="7" t="n"/>
      <c r="Y63" s="7" t="n"/>
      <c r="Z63" s="7" t="n"/>
      <c r="AA63" s="7" t="n"/>
      <c r="AB63" s="7" t="n"/>
      <c r="AC63" s="8" t="inlineStr">
        <is>
          <t>DECLARADO — “…se viola el derecho a una decisión debidamente motivada cuando la motivación es inexistente o cuando la misma es solo aparente, en el sentido de que no da cuenta de las razones mínimas que sustentan la decisión o de que no responde a las alegaciones de las partes del proceso, o porque solo intenta dar un cumplimiento formal al mandato, amparándose en frases sin ni…”</t>
        </is>
      </c>
      <c r="AD63" s="7" t="n"/>
      <c r="AE63" s="7" t="n"/>
      <c r="AF63" s="7" t="n"/>
      <c r="AG63" s="7" t="n"/>
      <c r="AH63" s="7" t="n"/>
      <c r="AI63" s="7" t="n"/>
      <c r="AJ63" s="7" t="n"/>
      <c r="AK63" s="7" t="n"/>
      <c r="AL63" s="7" t="n"/>
      <c r="AM63" s="7" t="n"/>
      <c r="AN63" s="7" t="n"/>
      <c r="AO63" s="7" t="inlineStr">
        <is>
          <t>La cita reproduce la definición abstracta del estándar del Tribunal Constitucional. Sustituir por el considerando en que la Sala subsume el caso.</t>
        </is>
      </c>
      <c r="AP63" s="7" t="n"/>
      <c r="AQ63" s="7" t="n"/>
      <c r="AR63" s="7" t="n"/>
      <c r="AS63" s="7" t="n"/>
      <c r="AT63" s="7" t="n"/>
      <c r="AU63" s="7" t="n"/>
      <c r="AV63" s="7" t="n"/>
      <c r="AW63" s="7" t="n"/>
      <c r="AX63" s="7" t="n"/>
      <c r="AY63" s="7" t="n"/>
      <c r="AZ63" s="7" t="n"/>
      <c r="BA63" s="7" t="n"/>
      <c r="BB63" s="7" t="inlineStr">
        <is>
          <t>Comparativa_defectos_2018_vs_2024 + Defectos_procesales_SV_CSJA</t>
        </is>
      </c>
      <c r="BC63" s="7" t="n">
        <v>2</v>
      </c>
      <c r="BD63" s="7" t="inlineStr">
        <is>
          <t>CONOCIMIENTO</t>
        </is>
      </c>
      <c r="BE63" s="7" t="inlineStr">
        <is>
          <t>NULA</t>
        </is>
      </c>
      <c r="BF63" s="7" t="inlineStr">
        <is>
          <t>CN</t>
        </is>
      </c>
    </row>
    <row r="64" ht="116.25" customHeight="1">
      <c r="A64" s="6" t="n">
        <v>63</v>
      </c>
      <c r="B64" s="6" t="inlineStr">
        <is>
          <t>02851-2023</t>
        </is>
      </c>
      <c r="C64" s="6" t="inlineStr">
        <is>
          <t>02851-2023-0-0401-JR-CI-07</t>
        </is>
      </c>
      <c r="D64" s="6" t="inlineStr">
        <is>
          <t>Llamoja — SV de control (2021-2023)</t>
        </is>
      </c>
      <c r="E64" s="6" t="inlineStr">
        <is>
          <t>División y partición</t>
        </is>
      </c>
      <c r="F64" s="6" t="inlineStr">
        <is>
          <t>1SC</t>
        </is>
      </c>
      <c r="G64" s="6" t="n"/>
      <c r="H64" s="6" t="inlineStr">
        <is>
          <t>39</t>
        </is>
      </c>
      <c r="I64" s="6" t="inlineStr">
        <is>
          <t>dos mil veinticinco, junio seis</t>
        </is>
      </c>
      <c r="J64" s="6" t="inlineStr">
        <is>
          <t>2025</t>
        </is>
      </c>
      <c r="K64" s="6" t="n"/>
      <c r="L64" s="6" t="inlineStr">
        <is>
          <t>Zamalloa Campero</t>
        </is>
      </c>
      <c r="M64" s="6" t="inlineStr">
        <is>
          <t>NULA</t>
        </is>
      </c>
      <c r="N64" s="6" t="n">
        <v>2</v>
      </c>
      <c r="O64" s="6" t="n">
        <v>2</v>
      </c>
      <c r="P64" s="7" t="n"/>
      <c r="Q64" s="7" t="n"/>
      <c r="R64" s="7" t="n"/>
      <c r="S64" s="7" t="n"/>
      <c r="T64" s="7" t="n"/>
      <c r="U64" s="7" t="n"/>
      <c r="V64" s="7" t="n"/>
      <c r="W64" s="7" t="n"/>
      <c r="X64" s="7" t="n"/>
      <c r="Y64" s="7" t="n"/>
      <c r="Z64" s="7" t="n"/>
      <c r="AA64" s="7" t="n"/>
      <c r="AB64" s="7" t="n"/>
      <c r="AC64" s="7" t="n"/>
      <c r="AD64" s="7" t="n"/>
      <c r="AE64" s="7" t="n"/>
      <c r="AF64" s="7" t="n"/>
      <c r="AG64" s="7" t="n"/>
      <c r="AH64" s="8" t="inlineStr">
        <is>
          <t>DECLARADO — (evidencia en las columnas «Cita textual 1–3» de esta misma fila)</t>
        </is>
      </c>
      <c r="AI64" s="7" t="n"/>
      <c r="AJ64" s="7" t="n"/>
      <c r="AK64" s="8" t="inlineStr">
        <is>
          <t>DECLARADO — «como al resolver las apelaciones diferidas se ha declarado nula la resolución dieciocho… también corresponde declarar nula la sentencia»</t>
        </is>
      </c>
      <c r="AL64" s="7" t="n"/>
      <c r="AM64" s="7" t="n"/>
      <c r="AN64" s="7" t="n"/>
      <c r="AO64" s="7" t="n"/>
      <c r="AP64" s="7" t="inlineStr">
        <is>
          <t>Baja D03→— · Alta —→D22</t>
        </is>
      </c>
      <c r="AQ64" s="7" t="inlineStr">
        <is>
          <t>— Sin vicio de motivación como causal</t>
        </is>
      </c>
      <c r="AR64" s="7" t="n"/>
      <c r="AS64" s="7" t="inlineStr">
        <is>
          <t>No</t>
        </is>
      </c>
      <c r="AT64" s="7" t="inlineStr">
        <is>
          <t>«4.4.- Ahora, como al resolver las apelaciones diferidas se ha declarado nula la resolución dieciocho que incorporaba a Vidal José Canales Salas, José Millton Canales Rodríguez y Cinthya Lourdes Canales Rodríguez como litisconsortes facultativos activos (apelantes), también corresponde declarar nula la sentencia materia de grado, pues se encuentra pendiente de resolver el pedido de intervención litisconsorcial formulado por dichas personas y de acuerdo a lo que se decida sobre ese pedido es que recién se podría determinar si en la sentencia debe emitirse algún pronunciamiento sobre el derecho que alegan o si estarían facultados para impugnarla.»</t>
        </is>
      </c>
      <c r="AU64" s="7" t="inlineStr">
        <is>
          <t>Omisión de resolver incidencia previa (nulidad concatenada de la Res. 18)</t>
        </is>
      </c>
      <c r="AV64" s="7" t="inlineStr">
        <is>
          <t>«Siendo así, carece de objeto emitir pronunciamiento sobre la apelación interpuesta contra la sentencia.»</t>
        </is>
      </c>
      <c r="AW64" s="7" t="inlineStr">
        <is>
          <t>Efecto: carece de objeto resolver la apelación de fondo</t>
        </is>
      </c>
      <c r="AX64" s="7" t="n"/>
      <c r="AY64" s="7" t="n"/>
      <c r="AZ64" s="7" t="inlineStr">
        <is>
          <t>Nulidad concatenada: anulada la Res. 18 (incorporación de litisconsortes) queda pendiente el pedido de intervención; carece de objeto resolver la apelación de fondo.</t>
        </is>
      </c>
      <c r="BA64" s="7" t="inlineStr">
        <is>
          <t>2851 2023 SV.doc</t>
        </is>
      </c>
      <c r="BB64" s="7" t="inlineStr">
        <is>
          <t>Clasificacion_SV_ABR24_Llamoja_defectos</t>
        </is>
      </c>
      <c r="BC64" s="7" t="n">
        <v>1</v>
      </c>
      <c r="BD64" s="7" t="inlineStr">
        <is>
          <t>ABREVIADO</t>
        </is>
      </c>
      <c r="BE64" s="7" t="inlineStr">
        <is>
          <t>NULA</t>
        </is>
      </c>
      <c r="BF64" s="7" t="inlineStr">
        <is>
          <t>AN</t>
        </is>
      </c>
    </row>
    <row r="65" ht="84.75" customHeight="1">
      <c r="A65" s="6" t="n">
        <v>64</v>
      </c>
      <c r="B65" s="6" t="inlineStr">
        <is>
          <t>02943-2016</t>
        </is>
      </c>
      <c r="C65" s="6" t="inlineStr">
        <is>
          <t>02943-2016</t>
        </is>
      </c>
      <c r="D65" s="6" t="inlineStr">
        <is>
          <t>Pre-2019</t>
        </is>
      </c>
      <c r="E65" s="6" t="n"/>
      <c r="F65" s="6" t="inlineStr">
        <is>
          <t>2SC</t>
        </is>
      </c>
      <c r="G65" s="6" t="inlineStr">
        <is>
          <t>SV N° 623-2018-2SC</t>
        </is>
      </c>
      <c r="H65" s="6" t="n"/>
      <c r="I65" s="6" t="inlineStr">
        <is>
          <t>04/12/2018</t>
        </is>
      </c>
      <c r="J65" s="6" t="inlineStr">
        <is>
          <t>2018</t>
        </is>
      </c>
      <c r="K65" s="6" t="n"/>
      <c r="L65" s="6" t="n"/>
      <c r="M65" s="6" t="inlineStr">
        <is>
          <t>Nula</t>
        </is>
      </c>
      <c r="N65" s="6" t="n">
        <v>2</v>
      </c>
      <c r="O65" s="6" t="n">
        <v>2</v>
      </c>
      <c r="P65" s="7" t="n"/>
      <c r="Q65" s="7" t="n"/>
      <c r="R65" s="7" t="n"/>
      <c r="S65" s="7" t="n"/>
      <c r="T65" s="7" t="n"/>
      <c r="U65" s="7" t="n"/>
      <c r="V65" s="7" t="n"/>
      <c r="W65" s="7" t="n"/>
      <c r="X65" s="7" t="n"/>
      <c r="Y65" s="7" t="n"/>
      <c r="Z65" s="7" t="n"/>
      <c r="AA65" s="7" t="n"/>
      <c r="AB65" s="7" t="n"/>
      <c r="AC65" s="7" t="n"/>
      <c r="AD65" s="7" t="n"/>
      <c r="AE65" s="8" t="inlineStr">
        <is>
          <t>DECLARADO — “…itirá que el Juzgado se pronuncie sobre los puntos controvertidos fijados en la Resolución N° 14-2017, puesto que no pasa desapercibido que el A quo no se ha pronunciado sobre ningún punto controvertido. OCTAVO: Así expuesto, y también a fin de permitir el derec…”</t>
        </is>
      </c>
      <c r="AF65" s="7" t="n"/>
      <c r="AG65" s="7" t="n"/>
      <c r="AH65" s="7" t="n"/>
      <c r="AI65" s="7" t="n"/>
      <c r="AJ65" s="7" t="n"/>
      <c r="AK65" s="7" t="n"/>
      <c r="AL65" s="8" t="inlineStr">
        <is>
          <t>DECLARADO — “…declarar la nulidad de la recurrida por contener una motivación defectuosa, y, por ende ordenar que el juez de la cause emita un nuevo pronunciamiento. PARTE RESOLUTIVA: Por los fundamentos previamente expuestos, S…”</t>
        </is>
      </c>
      <c r="AM65" s="7" t="n"/>
      <c r="AN65" s="7" t="n"/>
      <c r="AO65" s="7" t="n"/>
      <c r="AP65" s="7" t="inlineStr">
        <is>
          <t>Migración D06→D16 · Migración D15→D23</t>
        </is>
      </c>
      <c r="AQ65" s="7" t="n"/>
      <c r="AR65" s="7" t="n"/>
      <c r="AS65" s="7" t="n"/>
      <c r="AT65" s="7" t="n"/>
      <c r="AU65" s="7" t="n"/>
      <c r="AV65" s="7" t="n"/>
      <c r="AW65" s="7" t="n"/>
      <c r="AX65" s="7" t="n"/>
      <c r="AY65" s="7" t="n"/>
      <c r="AZ65" s="7" t="n"/>
      <c r="BA65" s="7" t="n"/>
      <c r="BB65" s="7" t="inlineStr">
        <is>
          <t>Comparativa_defectos_2018_vs_2024 + Defectos_procesales_SV_CSJA</t>
        </is>
      </c>
      <c r="BC65" s="7" t="n">
        <v>2</v>
      </c>
      <c r="BD65" s="7" t="inlineStr">
        <is>
          <t>CONOCIMIENTO</t>
        </is>
      </c>
      <c r="BE65" s="7" t="inlineStr">
        <is>
          <t>NULA</t>
        </is>
      </c>
      <c r="BF65" s="7" t="inlineStr">
        <is>
          <t>CN</t>
        </is>
      </c>
    </row>
    <row r="66" ht="157.5" customHeight="1">
      <c r="A66" s="6" t="n">
        <v>65</v>
      </c>
      <c r="B66" s="6" t="inlineStr">
        <is>
          <t>02973-2022</t>
        </is>
      </c>
      <c r="C66" s="6" t="inlineStr">
        <is>
          <t>02973-2022-0-0401-JR-CI-07</t>
        </is>
      </c>
      <c r="D66" s="6" t="inlineStr">
        <is>
          <t>Llamoja — SV de control (2021-2023)</t>
        </is>
      </c>
      <c r="E66" s="6" t="inlineStr">
        <is>
          <t>Nulidad de acto jurídico (testamento)</t>
        </is>
      </c>
      <c r="F66" s="6" t="inlineStr">
        <is>
          <t>2SC</t>
        </is>
      </c>
      <c r="G66" s="6" t="inlineStr">
        <is>
          <t>250-2025-2SC</t>
        </is>
      </c>
      <c r="H66" s="6" t="inlineStr">
        <is>
          <t>48</t>
        </is>
      </c>
      <c r="I66" s="6" t="inlineStr">
        <is>
          <t>dos mil veinticinco, Mayo veintisiete</t>
        </is>
      </c>
      <c r="J66" s="6" t="inlineStr">
        <is>
          <t>2025</t>
        </is>
      </c>
      <c r="K66" s="6" t="n"/>
      <c r="L66" s="6" t="inlineStr">
        <is>
          <t>Paredes Bedregal</t>
        </is>
      </c>
      <c r="M66" s="6" t="inlineStr">
        <is>
          <t>NULA</t>
        </is>
      </c>
      <c r="N66" s="6" t="n">
        <v>1</v>
      </c>
      <c r="O66" s="6" t="n">
        <v>1</v>
      </c>
      <c r="P66" s="7" t="n"/>
      <c r="Q66" s="7" t="n"/>
      <c r="R66" s="7" t="n"/>
      <c r="S66" s="7" t="n"/>
      <c r="T66" s="7" t="n"/>
      <c r="U66" s="7" t="n"/>
      <c r="V66" s="7" t="n"/>
      <c r="W66" s="7" t="n"/>
      <c r="X66" s="7" t="n"/>
      <c r="Y66" s="7" t="n"/>
      <c r="Z66" s="7" t="n"/>
      <c r="AA66" s="7" t="n"/>
      <c r="AB66" s="7" t="n"/>
      <c r="AC66" s="7" t="n"/>
      <c r="AD66" s="7" t="n"/>
      <c r="AE66" s="7" t="n"/>
      <c r="AF66" s="7" t="n"/>
      <c r="AG66" s="7" t="n"/>
      <c r="AH66" s="7" t="n"/>
      <c r="AI66" s="7" t="n"/>
      <c r="AJ66" s="8" t="inlineStr">
        <is>
          <t>DECLARADO — (evidencia en las columnas «Cita textual 1–3» de esta misma fila)</t>
        </is>
      </c>
      <c r="AK66" s="7" t="n"/>
      <c r="AL66" s="7" t="n"/>
      <c r="AM66" s="7" t="n"/>
      <c r="AN66" s="7" t="n"/>
      <c r="AO66" s="7" t="n"/>
      <c r="AP66" s="7" t="inlineStr">
        <is>
          <t>Migración D13→D21 · Baja D20→—</t>
        </is>
      </c>
      <c r="AQ66" s="7" t="inlineStr">
        <is>
          <t>c) Deficiencia de motivación externa</t>
        </is>
      </c>
      <c r="AR66" s="7" t="n"/>
      <c r="AS66" s="7" t="inlineStr">
        <is>
          <t>Sí</t>
        </is>
      </c>
      <c r="AT66" s="7" t="inlineStr">
        <is>
          <t>«Por consiguiente, la resolución materia de alzada adolece de falta de motivación externa, referida a la justificación de las premisas, pues conforme a lo señalado por el Tribunal Constitucional en la STC N° 03943-2006-PA/TC “[…] se presenta cuando las premisas de las que parte el Juez no han sido confrontadas o analizadas respecto de su validez fáctica o jurídica […]”; y si bien “no todo ni cualquier error en el que eventualmente incurra una resolución judicial constituye automáticamente la vulneración del contenido constitucionalmente protegido del derecho a la motivación de las resoluciones judiciales, cierto es también que el deber de motivar constituye una garantía del justiciable frente a la arbitrariedad judicial y garantiza que las resoluciones no se encuentren justificadas en el mero capricho de los jueces, sino en datos objetivos que proporciona el ordenamiento jurídico o los que se derivan del caso”.»</t>
        </is>
      </c>
      <c r="AU66" s="7" t="inlineStr">
        <is>
          <t>c) Deficiencia de motivación externa (premisa normativa no justificada)</t>
        </is>
      </c>
      <c r="AV66" s="7" t="inlineStr">
        <is>
          <t>«Consecuentemente, en salvaguarda del derecho a la instancia plural de las partes y el derecho de defensa contenidos en los numerales 6) y 14) del artículo 139 de la Constitución, corresponde declarar la nulidad de la recurrida, en mérito al primer párrafo del artículo 171 y artículo 176 in fine del Código Adjetivo, a fin de que el A quo emita nuevo pronunciamiento de acuerdo a ley y conforme a los antecedentes del proceso.»</t>
        </is>
      </c>
      <c r="AW66" s="7" t="inlineStr">
        <is>
          <t>Efecto: nulidad e imposibilidad de pronunciamiento de fondo (instancia plural)</t>
        </is>
      </c>
      <c r="AX66" s="7" t="n"/>
      <c r="AY66" s="7" t="n"/>
      <c r="AZ66" s="7" t="inlineStr">
        <is>
          <t>Etiqueta expresa 'falta de motivación externa'. Premisa normativa no justificada: aplicó norma sin considerar teoría de hechos cumplidos (art. 219.2 CC derogado). El catálogo no tiene 'motivación externa'; se asigna la categoría más próxima.</t>
        </is>
      </c>
      <c r="BA66" s="7" t="inlineStr">
        <is>
          <t>2973 2022 SV.doc</t>
        </is>
      </c>
      <c r="BB66" s="7" t="inlineStr">
        <is>
          <t>Clasificacion_SV_ABR24_Llamoja_defectos</t>
        </is>
      </c>
      <c r="BC66" s="7" t="n">
        <v>1</v>
      </c>
      <c r="BD66" s="7" t="inlineStr">
        <is>
          <t>ABREVIADO</t>
        </is>
      </c>
      <c r="BE66" s="7" t="inlineStr">
        <is>
          <t>NULA</t>
        </is>
      </c>
      <c r="BF66" s="7" t="inlineStr">
        <is>
          <t>AN</t>
        </is>
      </c>
    </row>
    <row r="67" ht="95.25" customHeight="1">
      <c r="A67" s="6" t="n">
        <v>66</v>
      </c>
      <c r="B67" s="6" t="inlineStr">
        <is>
          <t>03228-2013</t>
        </is>
      </c>
      <c r="C67" s="6" t="inlineStr">
        <is>
          <t>03228-2013</t>
        </is>
      </c>
      <c r="D67" s="6" t="inlineStr">
        <is>
          <t>Pre-2019</t>
        </is>
      </c>
      <c r="E67" s="6" t="n"/>
      <c r="F67" s="6" t="inlineStr">
        <is>
          <t>2SC</t>
        </is>
      </c>
      <c r="G67" s="6" t="inlineStr">
        <is>
          <t>SV N° 681-2018-2SC</t>
        </is>
      </c>
      <c r="H67" s="6" t="n"/>
      <c r="I67" s="6" t="inlineStr">
        <is>
          <t>28/12/2018</t>
        </is>
      </c>
      <c r="J67" s="6" t="inlineStr">
        <is>
          <t>2018</t>
        </is>
      </c>
      <c r="K67" s="6" t="n"/>
      <c r="L67" s="6" t="n"/>
      <c r="M67" s="6" t="inlineStr">
        <is>
          <t>Nula</t>
        </is>
      </c>
      <c r="N67" s="6" t="n">
        <v>3</v>
      </c>
      <c r="O67" s="6" t="n">
        <v>3</v>
      </c>
      <c r="P67" s="7" t="n"/>
      <c r="Q67" s="7" t="n"/>
      <c r="R67" s="7" t="n"/>
      <c r="S67" s="7" t="n"/>
      <c r="T67" s="7" t="n"/>
      <c r="U67" s="7" t="n"/>
      <c r="V67" s="7" t="n"/>
      <c r="W67" s="7" t="n"/>
      <c r="X67" s="7" t="n"/>
      <c r="Y67" s="7" t="n"/>
      <c r="Z67" s="7" t="n"/>
      <c r="AA67" s="8" t="inlineStr">
        <is>
          <t>DECLARADO — “…mpoco ha emitido pronunciamiento respecto del último punto controvertido, peor aún si no se hallan expuestas las razones mínimas o fundamento jurídico que justifican tal decisión, se ha generado insuficiencia de valoración probatoria. Atendiendo a lo señalado, el Colegiado determina que la im…”</t>
        </is>
      </c>
      <c r="AB67" s="7" t="n"/>
      <c r="AC67" s="8" t="inlineStr">
        <is>
          <t>DECLARADO — “…endo a lo señalado, el Colegiado determina que la impugnada incurre en vicio de motivación aparente al no haber dado respuesta a las alegaciones de las partes ni valorado pruebas admitidas, por lo que de conformidad con el artículo 139° inciso 5 de la Constitución Política del E…”</t>
        </is>
      </c>
      <c r="AD67" s="7" t="n"/>
      <c r="AE67" s="8" t="inlineStr">
        <is>
          <t>DECLARADO — “…tampoco ha emitido pronunciamiento respecto del último punto controvertido, peor aún si no se hallan expuestas las razones mínimas o fundamento jurídico que justifican tal decisión, se ha generado insuficiencia de valoración probatori…”</t>
        </is>
      </c>
      <c r="AF67" s="7" t="n"/>
      <c r="AG67" s="7" t="n"/>
      <c r="AH67" s="7" t="n"/>
      <c r="AI67" s="7" t="n"/>
      <c r="AJ67" s="7" t="n"/>
      <c r="AK67" s="7" t="n"/>
      <c r="AL67" s="7" t="n"/>
      <c r="AM67" s="7" t="n"/>
      <c r="AN67" s="7" t="n"/>
      <c r="AO67" s="7" t="n"/>
      <c r="AP67" s="7" t="inlineStr">
        <is>
          <t>Migración D06→D16 · Baja D11→— · Baja D17→— · Nota —→—</t>
        </is>
      </c>
      <c r="AQ67" s="7" t="n"/>
      <c r="AR67" s="7" t="n"/>
      <c r="AS67" s="7" t="n"/>
      <c r="AT67" s="7" t="n"/>
      <c r="AU67" s="7" t="n"/>
      <c r="AV67" s="7" t="n"/>
      <c r="AW67" s="7" t="n"/>
      <c r="AX67" s="7" t="n"/>
      <c r="AY67" s="7" t="n"/>
      <c r="AZ67" s="7" t="n"/>
      <c r="BA67" s="7" t="n"/>
      <c r="BB67" s="7" t="inlineStr">
        <is>
          <t>Comparativa_defectos_2018_vs_2024 + Defectos_procesales_SV_CSJA</t>
        </is>
      </c>
      <c r="BC67" s="7" t="n">
        <v>2</v>
      </c>
      <c r="BD67" s="7" t="inlineStr">
        <is>
          <t>CONOCIMIENTO</t>
        </is>
      </c>
      <c r="BE67" s="7" t="inlineStr">
        <is>
          <t>NULA</t>
        </is>
      </c>
      <c r="BF67" s="7" t="inlineStr">
        <is>
          <t>CN</t>
        </is>
      </c>
    </row>
    <row r="68" ht="116.25" customHeight="1">
      <c r="A68" s="6" t="n">
        <v>67</v>
      </c>
      <c r="B68" s="6" t="inlineStr">
        <is>
          <t>03393-2017</t>
        </is>
      </c>
      <c r="C68" s="6" t="inlineStr">
        <is>
          <t>03393-2017</t>
        </is>
      </c>
      <c r="D68" s="6" t="inlineStr">
        <is>
          <t>Pre-2019</t>
        </is>
      </c>
      <c r="E68" s="6" t="n"/>
      <c r="F68" s="6" t="inlineStr">
        <is>
          <t>2SC</t>
        </is>
      </c>
      <c r="G68" s="6" t="inlineStr">
        <is>
          <t>SV N° 506-2019-2SC</t>
        </is>
      </c>
      <c r="H68" s="6" t="n"/>
      <c r="I68" s="6" t="inlineStr">
        <is>
          <t>23/08/2019</t>
        </is>
      </c>
      <c r="J68" s="6" t="inlineStr">
        <is>
          <t>2019</t>
        </is>
      </c>
      <c r="K68" s="6" t="n"/>
      <c r="L68" s="6" t="n"/>
      <c r="M68" s="6" t="inlineStr">
        <is>
          <t>Nula</t>
        </is>
      </c>
      <c r="N68" s="6" t="n">
        <v>1</v>
      </c>
      <c r="O68" s="6" t="n">
        <v>2</v>
      </c>
      <c r="P68" s="8" t="inlineStr">
        <is>
          <t>DECLARADO — “…lación: La parte apelante sostiene, que su representada no ha sido válidamente emplazada tal como aparece de las cedulas de notificación y se ha emitido sentencia sin haberle permitido ejercer su derecho de defensa. Indica que el error en la notificación ha sido induc…”</t>
        </is>
      </c>
      <c r="Q68" s="9" t="inlineStr">
        <is>
          <t>DERIVADO — “…PAR y al Procurador a cargo de los asuntos judiciales de la Municipalidad Provincial de Arequipa, en su aspecto formal, por impedírseles haber ejercido su derecho de defensa, que constituye una garantía mínima a que tiene derecho todo justiciable, protegido por el artículo 139° de la Constitución, se colige que se ha incurrido en causal de nulidad insubsanable; por tanto, debe ser declarado…”</t>
        </is>
      </c>
      <c r="R68" s="7" t="n"/>
      <c r="S68" s="7" t="n"/>
      <c r="T68" s="7" t="n"/>
      <c r="U68" s="7" t="n"/>
      <c r="V68" s="7" t="n"/>
      <c r="W68" s="7" t="n"/>
      <c r="X68" s="7" t="n"/>
      <c r="Y68" s="7" t="n"/>
      <c r="Z68" s="7" t="n"/>
      <c r="AA68" s="7" t="n"/>
      <c r="AB68" s="7" t="n"/>
      <c r="AC68" s="7" t="n"/>
      <c r="AD68" s="7" t="n"/>
      <c r="AE68" s="7" t="n"/>
      <c r="AF68" s="7" t="n"/>
      <c r="AG68" s="7" t="n"/>
      <c r="AH68" s="7" t="n"/>
      <c r="AI68" s="7" t="n"/>
      <c r="AJ68" s="7" t="n"/>
      <c r="AK68" s="7" t="n"/>
      <c r="AL68" s="7" t="n"/>
      <c r="AM68" s="7" t="inlineStr">
        <is>
          <t>Sí</t>
        </is>
      </c>
      <c r="AN68" s="7" t="n"/>
      <c r="AO68" s="7" t="inlineStr">
        <is>
          <t>D01: la cita transcribe el agravio del apelante. Sustituir por el considerando en que el Colegiado hace suya la constatación.</t>
        </is>
      </c>
      <c r="AP68" s="7" t="n"/>
      <c r="AQ68" s="7" t="n"/>
      <c r="AR68" s="7" t="n"/>
      <c r="AS68" s="7" t="n"/>
      <c r="AT68" s="7" t="n"/>
      <c r="AU68" s="7" t="n"/>
      <c r="AV68" s="7" t="n"/>
      <c r="AW68" s="7" t="n"/>
      <c r="AX68" s="7" t="n"/>
      <c r="AY68" s="7" t="n"/>
      <c r="AZ68" s="7" t="n"/>
      <c r="BA68" s="7" t="n"/>
      <c r="BB68" s="7" t="inlineStr">
        <is>
          <t>Comparativa_defectos_2018_vs_2024 + Defectos_procesales_SV_CSJA</t>
        </is>
      </c>
      <c r="BC68" s="7" t="n">
        <v>2</v>
      </c>
      <c r="BD68" s="7" t="inlineStr">
        <is>
          <t>CONOCIMIENTO</t>
        </is>
      </c>
      <c r="BE68" s="7" t="inlineStr">
        <is>
          <t>NULA</t>
        </is>
      </c>
      <c r="BF68" s="7" t="inlineStr">
        <is>
          <t>CN</t>
        </is>
      </c>
    </row>
    <row r="69" ht="74.25" customHeight="1">
      <c r="A69" s="6" t="n">
        <v>68</v>
      </c>
      <c r="B69" s="6" t="inlineStr">
        <is>
          <t>03566-2011</t>
        </is>
      </c>
      <c r="C69" s="6" t="inlineStr">
        <is>
          <t>03566-2011</t>
        </is>
      </c>
      <c r="D69" s="6" t="inlineStr">
        <is>
          <t>Pre-2019</t>
        </is>
      </c>
      <c r="E69" s="6" t="n"/>
      <c r="F69" s="6" t="inlineStr">
        <is>
          <t>3SC</t>
        </is>
      </c>
      <c r="G69" s="6" t="inlineStr">
        <is>
          <t>SV N° 560-2018-3SC</t>
        </is>
      </c>
      <c r="H69" s="6" t="n"/>
      <c r="I69" s="6" t="inlineStr">
        <is>
          <t>28/12/2018</t>
        </is>
      </c>
      <c r="J69" s="6" t="inlineStr">
        <is>
          <t>2018</t>
        </is>
      </c>
      <c r="K69" s="6" t="n"/>
      <c r="L69" s="6" t="n"/>
      <c r="M69" s="6" t="inlineStr">
        <is>
          <t>Nula</t>
        </is>
      </c>
      <c r="N69" s="6" t="n">
        <v>1</v>
      </c>
      <c r="O69" s="6" t="n">
        <v>1</v>
      </c>
      <c r="P69" s="7" t="n"/>
      <c r="Q69" s="7" t="n"/>
      <c r="R69" s="7" t="n"/>
      <c r="S69" s="7" t="n"/>
      <c r="T69" s="7" t="n"/>
      <c r="U69" s="7" t="n"/>
      <c r="V69" s="7" t="n"/>
      <c r="W69" s="7" t="n"/>
      <c r="X69" s="7" t="n"/>
      <c r="Y69" s="7" t="n"/>
      <c r="Z69" s="7" t="n"/>
      <c r="AA69" s="8" t="inlineStr">
        <is>
          <t>DECLARADO — “…Que, no se ha valorado los medios probatorios ofrecidos en forma conjunta. Que, respecto de la Sentencia de Vista número 528-2017-3SC, esta ha concluido que el bien objeto de litis es el mismo…”</t>
        </is>
      </c>
      <c r="AB69" s="7" t="n"/>
      <c r="AC69" s="7" t="n"/>
      <c r="AD69" s="7" t="n"/>
      <c r="AE69" s="7" t="n"/>
      <c r="AF69" s="7" t="n"/>
      <c r="AG69" s="7" t="n"/>
      <c r="AH69" s="7" t="n"/>
      <c r="AI69" s="7" t="n"/>
      <c r="AJ69" s="7" t="n"/>
      <c r="AK69" s="7" t="n"/>
      <c r="AL69" s="7" t="n"/>
      <c r="AM69" s="7" t="n"/>
      <c r="AN69" s="7" t="n"/>
      <c r="AO69" s="7" t="n"/>
      <c r="AP69" s="7" t="inlineStr">
        <is>
          <t>Migración D11→D12</t>
        </is>
      </c>
      <c r="AQ69" s="7" t="n"/>
      <c r="AR69" s="7" t="n"/>
      <c r="AS69" s="7" t="n"/>
      <c r="AT69" s="7" t="n"/>
      <c r="AU69" s="7" t="n"/>
      <c r="AV69" s="7" t="n"/>
      <c r="AW69" s="7" t="n"/>
      <c r="AX69" s="7" t="n"/>
      <c r="AY69" s="7" t="n"/>
      <c r="AZ69" s="7" t="n"/>
      <c r="BA69" s="7" t="n"/>
      <c r="BB69" s="7" t="inlineStr">
        <is>
          <t>Comparativa_defectos_2018_vs_2024 + Defectos_procesales_SV_CSJA</t>
        </is>
      </c>
      <c r="BC69" s="7" t="n">
        <v>2</v>
      </c>
      <c r="BD69" s="7" t="inlineStr">
        <is>
          <t>CONOCIMIENTO</t>
        </is>
      </c>
      <c r="BE69" s="7" t="inlineStr">
        <is>
          <t>NULA</t>
        </is>
      </c>
      <c r="BF69" s="7" t="inlineStr">
        <is>
          <t>CN</t>
        </is>
      </c>
    </row>
    <row r="70" ht="32.25" customHeight="1">
      <c r="A70" s="6" t="n">
        <v>69</v>
      </c>
      <c r="B70" s="6" t="inlineStr">
        <is>
          <t>03672-2013</t>
        </is>
      </c>
      <c r="C70" s="6" t="inlineStr">
        <is>
          <t>03672-2013</t>
        </is>
      </c>
      <c r="D70" s="6" t="inlineStr">
        <is>
          <t>Pre-2019</t>
        </is>
      </c>
      <c r="E70" s="6" t="n"/>
      <c r="F70" s="6" t="inlineStr">
        <is>
          <t>2SC</t>
        </is>
      </c>
      <c r="G70" s="6" t="inlineStr">
        <is>
          <t>SV N° 010-2019-2SC</t>
        </is>
      </c>
      <c r="H70" s="6" t="n"/>
      <c r="I70" s="6" t="inlineStr">
        <is>
          <t>15/01/2019</t>
        </is>
      </c>
      <c r="J70" s="6" t="inlineStr">
        <is>
          <t>2019</t>
        </is>
      </c>
      <c r="K70" s="6" t="n"/>
      <c r="L70" s="6" t="n"/>
      <c r="M70" s="6" t="inlineStr">
        <is>
          <t>Nula</t>
        </is>
      </c>
      <c r="N70" s="6" t="n">
        <v>0</v>
      </c>
      <c r="O70" s="6" t="n">
        <v>0</v>
      </c>
      <c r="P70" s="7" t="n"/>
      <c r="Q70" s="7" t="n"/>
      <c r="R70" s="7" t="n"/>
      <c r="S70" s="7" t="n"/>
      <c r="T70" s="7" t="n"/>
      <c r="U70" s="7" t="n"/>
      <c r="V70" s="7" t="n"/>
      <c r="W70" s="7" t="n"/>
      <c r="X70" s="7" t="n"/>
      <c r="Y70" s="7" t="n"/>
      <c r="Z70" s="7" t="n"/>
      <c r="AA70" s="7" t="n"/>
      <c r="AB70" s="7" t="n"/>
      <c r="AC70" s="7" t="n"/>
      <c r="AD70" s="7" t="n"/>
      <c r="AE70" s="7" t="n"/>
      <c r="AF70" s="7" t="n"/>
      <c r="AG70" s="7" t="n"/>
      <c r="AH70" s="7" t="n"/>
      <c r="AI70" s="7" t="n"/>
      <c r="AJ70" s="7" t="n"/>
      <c r="AK70" s="7" t="n"/>
      <c r="AL70" s="7" t="n"/>
      <c r="AM70" s="7" t="inlineStr">
        <is>
          <t>Sí</t>
        </is>
      </c>
      <c r="AN70" s="7" t="n"/>
      <c r="AO70" s="7" t="inlineStr">
        <is>
          <t>La única cita registrada enuncia la nulidad insubsanable y la pluralidad de instancias, sin identificar el defecto. Reexaminar el documento para asignar causal.</t>
        </is>
      </c>
      <c r="AP70" s="7" t="inlineStr">
        <is>
          <t>Baja D20→—</t>
        </is>
      </c>
      <c r="AQ70" s="7" t="n"/>
      <c r="AR70" s="7" t="n"/>
      <c r="AS70" s="7" t="n"/>
      <c r="AT70" s="7" t="n"/>
      <c r="AU70" s="7" t="n"/>
      <c r="AV70" s="7" t="n"/>
      <c r="AW70" s="7" t="n"/>
      <c r="AX70" s="7" t="n"/>
      <c r="AY70" s="7" t="n"/>
      <c r="AZ70" s="7" t="n"/>
      <c r="BA70" s="7" t="n"/>
      <c r="BB70" s="7" t="inlineStr">
        <is>
          <t>Comparativa_defectos_2018_vs_2024 + Defectos_procesales_SV_CSJA</t>
        </is>
      </c>
      <c r="BC70" s="7" t="n">
        <v>2</v>
      </c>
      <c r="BD70" s="7" t="inlineStr">
        <is>
          <t>CONOCIMIENTO</t>
        </is>
      </c>
      <c r="BE70" s="7" t="inlineStr">
        <is>
          <t>NULA</t>
        </is>
      </c>
      <c r="BF70" s="7" t="inlineStr">
        <is>
          <t>CN</t>
        </is>
      </c>
    </row>
    <row r="71" ht="126.75" customHeight="1">
      <c r="A71" s="6" t="n">
        <v>70</v>
      </c>
      <c r="B71" s="6" t="inlineStr">
        <is>
          <t>03701-2023</t>
        </is>
      </c>
      <c r="C71" s="6" t="inlineStr">
        <is>
          <t>03701-2023</t>
        </is>
      </c>
      <c r="D71" s="6" t="inlineStr">
        <is>
          <t>2024</t>
        </is>
      </c>
      <c r="E71" s="6" t="n"/>
      <c r="F71" s="6" t="inlineStr">
        <is>
          <t>3SC</t>
        </is>
      </c>
      <c r="G71" s="6" t="inlineStr">
        <is>
          <t>SV N° 301-2025-3SC</t>
        </is>
      </c>
      <c r="H71" s="6" t="n"/>
      <c r="I71" s="6" t="inlineStr">
        <is>
          <t>14/07/2025</t>
        </is>
      </c>
      <c r="J71" s="6" t="inlineStr">
        <is>
          <t>2025</t>
        </is>
      </c>
      <c r="K71" s="6" t="n"/>
      <c r="L71" s="6" t="n"/>
      <c r="M71" s="6" t="inlineStr">
        <is>
          <t>Nula</t>
        </is>
      </c>
      <c r="N71" s="6" t="n">
        <v>2</v>
      </c>
      <c r="O71" s="6" t="n">
        <v>2</v>
      </c>
      <c r="P71" s="7" t="n"/>
      <c r="Q71" s="7" t="n"/>
      <c r="R71" s="7" t="n"/>
      <c r="S71" s="7" t="n"/>
      <c r="T71" s="7" t="n"/>
      <c r="U71" s="7" t="n"/>
      <c r="V71" s="7" t="n"/>
      <c r="W71" s="7" t="n"/>
      <c r="X71" s="7" t="n"/>
      <c r="Y71" s="7" t="n"/>
      <c r="Z71" s="7" t="n"/>
      <c r="AA71" s="8" t="inlineStr">
        <is>
          <t>DECLARADO — “…algunos de ellos pueden conducirnos a sustentar alguna discrepancia entre la voluntad real y la declarada; sin embargo, no están referidos y no conducen cuando menos vía inferencia o deducción, a demostrar la existencia del acuerdo o concierto simulatorio entre Francisco Manuel Huberto Llerena Butrón transfiere vía compraventa, a favor de Hermelinda Mariño Quintanilla y Pablo H…”</t>
        </is>
      </c>
      <c r="AB71" s="7" t="n"/>
      <c r="AC71" s="7" t="n"/>
      <c r="AD71" s="7" t="n"/>
      <c r="AE71" s="7" t="n"/>
      <c r="AF71" s="7" t="n"/>
      <c r="AG71" s="7" t="n"/>
      <c r="AH71" s="7" t="n"/>
      <c r="AI71" s="7" t="n"/>
      <c r="AJ71" s="7" t="n"/>
      <c r="AK71" s="7" t="n"/>
      <c r="AL71" s="8" t="inlineStr">
        <is>
          <t>DECLARADO — “…se ha resuelto sin tener en cuenta el mérito de lo actuado como exige el inciso 3 del artículo 122° del Código Procesal Civil, incurriéndose en nulidad que debe ser declarada por esta instancia superior. Fundamentos por los cuales: DECLAR…”</t>
        </is>
      </c>
      <c r="AM71" s="7" t="n"/>
      <c r="AN71" s="7" t="n"/>
      <c r="AO71" s="7" t="n"/>
      <c r="AP71" s="7" t="inlineStr">
        <is>
          <t>Migración D14→D23</t>
        </is>
      </c>
      <c r="AQ71" s="7" t="n"/>
      <c r="AR71" s="7" t="n"/>
      <c r="AS71" s="7" t="n"/>
      <c r="AT71" s="7" t="n"/>
      <c r="AU71" s="7" t="n"/>
      <c r="AV71" s="7" t="n"/>
      <c r="AW71" s="7" t="n"/>
      <c r="AX71" s="7" t="n"/>
      <c r="AY71" s="7" t="n"/>
      <c r="AZ71" s="7" t="n"/>
      <c r="BA71" s="7" t="n"/>
      <c r="BB71" s="7" t="inlineStr">
        <is>
          <t>Comparativa_defectos_2018_vs_2024 + Defectos_procesales_SV_CSJA</t>
        </is>
      </c>
      <c r="BC71" s="7" t="n">
        <v>2</v>
      </c>
      <c r="BD71" s="7" t="inlineStr">
        <is>
          <t>CONOCIMIENTO</t>
        </is>
      </c>
      <c r="BE71" s="7" t="inlineStr">
        <is>
          <t>NULA</t>
        </is>
      </c>
      <c r="BF71" s="7" t="inlineStr">
        <is>
          <t>CN</t>
        </is>
      </c>
    </row>
    <row r="72" ht="63.75" customHeight="1">
      <c r="A72" s="6" t="n">
        <v>71</v>
      </c>
      <c r="B72" s="6" t="inlineStr">
        <is>
          <t>03731-2015</t>
        </is>
      </c>
      <c r="C72" s="6" t="inlineStr">
        <is>
          <t>03731-2015-0-0401-JR-CI-06</t>
        </is>
      </c>
      <c r="D72" s="6" t="inlineStr">
        <is>
          <t>Matriz sumarísimos — anteriores a 2019</t>
        </is>
      </c>
      <c r="E72" s="6" t="inlineStr">
        <is>
          <t>Desalojo por precario</t>
        </is>
      </c>
      <c r="F72" s="6" t="inlineStr">
        <is>
          <t>1SC</t>
        </is>
      </c>
      <c r="G72" s="6" t="inlineStr">
        <is>
          <t>SV 581-2018-1SC</t>
        </is>
      </c>
      <c r="H72" s="6" t="inlineStr">
        <is>
          <t>Res. 28 (tres-1SC)</t>
        </is>
      </c>
      <c r="I72" s="6" t="inlineStr">
        <is>
          <t>03/12/2018</t>
        </is>
      </c>
      <c r="J72" s="6" t="inlineStr">
        <is>
          <t>2018</t>
        </is>
      </c>
      <c r="K72" s="6" t="inlineStr">
        <is>
          <t>Patricia Valdivia Franco</t>
        </is>
      </c>
      <c r="L72" s="6" t="n"/>
      <c r="M72" s="6" t="inlineStr">
        <is>
          <t>NULA (reenvío)</t>
        </is>
      </c>
      <c r="N72" s="6" t="n">
        <v>1</v>
      </c>
      <c r="O72" s="6" t="n">
        <v>1</v>
      </c>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8" t="inlineStr">
        <is>
          <t>DECLARADO — «si bien la sentencia emitida por el Juzgado de origen se encuentra arreglada a derecho, es esta nueva situación que nos obliga a declarar la nulidad y que el juez expida nueva resolución»</t>
        </is>
      </c>
      <c r="AL72" s="7" t="n"/>
      <c r="AM72" s="7" t="n"/>
      <c r="AN72" s="7" t="n"/>
      <c r="AO72" s="7" t="n"/>
      <c r="AP72" s="7" t="inlineStr">
        <is>
          <t>Migración D20→D22 · Baja D19→—</t>
        </is>
      </c>
      <c r="AQ72" s="7" t="n"/>
      <c r="AR72" s="7" t="n"/>
      <c r="AS72" s="7" t="n"/>
      <c r="AT72" s="7" t="n"/>
      <c r="AU72" s="7" t="n"/>
      <c r="AV72" s="7" t="n"/>
      <c r="AW72" s="7" t="n"/>
      <c r="AX72" s="7" t="n"/>
      <c r="AY72" s="7" t="n"/>
      <c r="AZ72" s="7" t="inlineStr">
        <is>
          <t>Nulidad por hecho sobreviniente: nulidad del título de propiedad de la demandante declarada en el Exp. 2183-2014, pendiente de casación. Debe evaluarse la suspensión (art. 320 CPC).</t>
        </is>
      </c>
      <c r="BA72" s="7" t="n"/>
      <c r="BB72" s="7" t="inlineStr">
        <is>
          <t>Matriz_defectos_procesales_1ra_SV</t>
        </is>
      </c>
      <c r="BC72" s="7" t="n">
        <v>1</v>
      </c>
      <c r="BD72" s="7" t="inlineStr">
        <is>
          <t>SUMARISIMO</t>
        </is>
      </c>
      <c r="BE72" s="7" t="inlineStr">
        <is>
          <t>NULA</t>
        </is>
      </c>
      <c r="BF72" s="7" t="inlineStr">
        <is>
          <t>SN</t>
        </is>
      </c>
    </row>
    <row r="73" ht="42.75" customHeight="1">
      <c r="A73" s="12" t="n">
        <v>72</v>
      </c>
      <c r="B73" s="12" t="inlineStr">
        <is>
          <t>03754-2015</t>
        </is>
      </c>
      <c r="C73" s="12" t="inlineStr">
        <is>
          <t>03754-2015-0-0401-JR-CI-??</t>
        </is>
      </c>
      <c r="D73" s="12" t="inlineStr">
        <is>
          <t>Matriz sumarísimos — anteriores a 2019</t>
        </is>
      </c>
      <c r="E73" s="12" t="inlineStr">
        <is>
          <t>(no determinable)</t>
        </is>
      </c>
      <c r="F73" s="12" t="n"/>
      <c r="G73" s="12" t="inlineStr">
        <is>
          <t>SIN DOCUMENTO PROPIO</t>
        </is>
      </c>
      <c r="H73" s="12" t="n"/>
      <c r="I73" s="12" t="n"/>
      <c r="J73" s="12" t="n"/>
      <c r="K73" s="12" t="n"/>
      <c r="L73" s="12" t="n"/>
      <c r="M73" s="12" t="inlineStr">
        <is>
          <t>SIN DOCUMENTO</t>
        </is>
      </c>
      <c r="N73" s="12" t="n">
        <v>0</v>
      </c>
      <c r="O73" s="12" t="n">
        <v>0</v>
      </c>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inlineStr">
        <is>
          <t>—</t>
        </is>
      </c>
      <c r="AN73" s="13" t="n"/>
      <c r="AO73" s="13" t="n"/>
      <c r="AP73" s="13" t="inlineStr">
        <is>
          <t>Baja D01–D20→—</t>
        </is>
      </c>
      <c r="AQ73" s="13" t="n"/>
      <c r="AR73" s="13" t="n"/>
      <c r="AS73" s="13" t="n"/>
      <c r="AT73" s="13" t="n"/>
      <c r="AU73" s="13" t="n"/>
      <c r="AV73" s="13" t="n"/>
      <c r="AW73" s="13" t="n"/>
      <c r="AX73" s="13" t="n"/>
      <c r="AY73" s="13" t="n"/>
      <c r="AZ73" s="13" t="inlineStr">
        <is>
          <t>ALERTA DE CORPUS: el archivo '3754 2015 SV 2021.doc' del documento unificado contiene íntegramente el texto de la SV 660-2018-2SC del Exp. 00115-2012 (md5 idéntico). No hay SV propia de este expediente en el corpus; debe reemplazarse la fuente.</t>
        </is>
      </c>
      <c r="BA73" s="13" t="n"/>
      <c r="BB73" s="13" t="inlineStr">
        <is>
          <t>Matriz_defectos_procesales_1ra_SV</t>
        </is>
      </c>
      <c r="BC73" s="13" t="n">
        <v>1</v>
      </c>
      <c r="BD73" s="7" t="inlineStr">
        <is>
          <t>SUMARISIMO</t>
        </is>
      </c>
      <c r="BE73" s="7" t="inlineStr">
        <is>
          <t>OTRO</t>
        </is>
      </c>
      <c r="BF73" s="7" t="inlineStr">
        <is>
          <t>SO</t>
        </is>
      </c>
    </row>
    <row r="74" ht="105.75" customHeight="1">
      <c r="A74" s="6" t="n">
        <v>73</v>
      </c>
      <c r="B74" s="6" t="inlineStr">
        <is>
          <t>03770-2019</t>
        </is>
      </c>
      <c r="C74" s="6" t="inlineStr">
        <is>
          <t>03770-2019-0-0401-JR-CI-07</t>
        </is>
      </c>
      <c r="D74" s="6" t="inlineStr">
        <is>
          <t>Llamoja — SV de control (2021-2023)</t>
        </is>
      </c>
      <c r="E74" s="6" t="inlineStr">
        <is>
          <t>Tercería de propiedad</t>
        </is>
      </c>
      <c r="F74" s="6" t="inlineStr">
        <is>
          <t>1SC</t>
        </is>
      </c>
      <c r="G74" s="6" t="n"/>
      <c r="H74" s="6" t="inlineStr">
        <is>
          <t>64</t>
        </is>
      </c>
      <c r="I74" s="6" t="inlineStr">
        <is>
          <t>dos mil veinticuatro, diciembre dieciséis</t>
        </is>
      </c>
      <c r="J74" s="6" t="inlineStr">
        <is>
          <t>2024</t>
        </is>
      </c>
      <c r="K74" s="6" t="n"/>
      <c r="L74" s="6" t="inlineStr">
        <is>
          <t>Madariaga Condori</t>
        </is>
      </c>
      <c r="M74" s="6" t="inlineStr">
        <is>
          <t>NULA</t>
        </is>
      </c>
      <c r="N74" s="6" t="n">
        <v>2</v>
      </c>
      <c r="O74" s="6" t="n">
        <v>2</v>
      </c>
      <c r="P74" s="7" t="n"/>
      <c r="Q74" s="7" t="n"/>
      <c r="R74" s="7" t="n"/>
      <c r="S74" s="7" t="n"/>
      <c r="T74" s="7" t="n"/>
      <c r="U74" s="7" t="n"/>
      <c r="V74" s="8" t="inlineStr">
        <is>
          <t>DECLARADO — (evidencia en las columnas «Cita textual 1–3» de esta misma fila)</t>
        </is>
      </c>
      <c r="W74" s="7" t="n"/>
      <c r="X74" s="7" t="n"/>
      <c r="Y74" s="7" t="n"/>
      <c r="Z74" s="7" t="n"/>
      <c r="AA74" s="7" t="n"/>
      <c r="AB74" s="7" t="n"/>
      <c r="AC74" s="7" t="n"/>
      <c r="AD74" s="7" t="n"/>
      <c r="AE74" s="7" t="n"/>
      <c r="AF74" s="7" t="n"/>
      <c r="AG74" s="7" t="n"/>
      <c r="AH74" s="7" t="n"/>
      <c r="AI74" s="7" t="n"/>
      <c r="AJ74" s="7" t="n"/>
      <c r="AK74" s="8" t="inlineStr">
        <is>
          <t>DECLARADO — (evidencia en las columnas «Cita textual 1–3» de esta misma fila)</t>
        </is>
      </c>
      <c r="AL74" s="7" t="n"/>
      <c r="AM74" s="7" t="n"/>
      <c r="AN74" s="7" t="n"/>
      <c r="AO74" s="7" t="n"/>
      <c r="AP74" s="7" t="inlineStr">
        <is>
          <t>Migración D19→D22</t>
        </is>
      </c>
      <c r="AQ74" s="7" t="inlineStr">
        <is>
          <t>— Sin vicio de motivación como causal</t>
        </is>
      </c>
      <c r="AR74" s="7" t="n"/>
      <c r="AS74" s="7" t="inlineStr">
        <is>
          <t>No</t>
        </is>
      </c>
      <c r="AT74" s="7" t="inlineStr">
        <is>
          <t>«4.1.- Atendiendo a que, al resolverse la apelación concedida sin efecto suspensivo y con la calidad de diferida, se ha declarado la nulidad de la resolución número cuarenta y uno, en la que se prescindió de la pericia ofrecida por el codemandado Félix Churata Churata, corresponde como consecuencia de ello declarar nula la sentencia N.° 24-2024-7JC de fecha treinta y uno de enero de dos mil veinticuatro, pues con la nulidad de la resolución número cuarenta y uno se tiene que está pendiente la realización de la pericia; siendo así, carece de objeto emitir pronunciamiento sobre la apelación interpuesta contra la sentencia.»</t>
        </is>
      </c>
      <c r="AU74" s="7" t="inlineStr">
        <is>
          <t>Nulidad concatenada: anulada la Res. 41 que prescindió de la pericia</t>
        </is>
      </c>
      <c r="AV74" s="7" t="inlineStr">
        <is>
          <t>«pues con la nulidad de la resolución número cuarenta y uno se tiene que está pendiente la realización de la pericia; siendo así, carece de objeto emitir pronunciamiento sobre la apelación interpuesta contra la sentencia.»</t>
        </is>
      </c>
      <c r="AW74" s="7" t="inlineStr">
        <is>
          <t>Prueba admitida y no actuada: pericia pendiente</t>
        </is>
      </c>
      <c r="AX74" s="7" t="n"/>
      <c r="AY74" s="7" t="n"/>
      <c r="AZ74" s="7" t="inlineStr">
        <is>
          <t>Nulidad concatenada: anulada la Res. 41 (que prescindió de la pericia), la pericia queda pendiente; sentencia dictada sin ella.</t>
        </is>
      </c>
      <c r="BA74" s="7" t="inlineStr">
        <is>
          <t>3770 2019 SV.doc</t>
        </is>
      </c>
      <c r="BB74" s="7" t="inlineStr">
        <is>
          <t>Clasificacion_SV_ABR24_Llamoja_defectos</t>
        </is>
      </c>
      <c r="BC74" s="7" t="n">
        <v>1</v>
      </c>
      <c r="BD74" s="7" t="inlineStr">
        <is>
          <t>ABREVIADO</t>
        </is>
      </c>
      <c r="BE74" s="7" t="inlineStr">
        <is>
          <t>NULA</t>
        </is>
      </c>
      <c r="BF74" s="7" t="inlineStr">
        <is>
          <t>AN</t>
        </is>
      </c>
    </row>
    <row r="75" ht="74.25" customHeight="1">
      <c r="A75" s="6" t="n">
        <v>74</v>
      </c>
      <c r="B75" s="6" t="inlineStr">
        <is>
          <t>03819-2022</t>
        </is>
      </c>
      <c r="C75" s="6" t="inlineStr">
        <is>
          <t>03819-2022-0-0401-JR-CI-04</t>
        </is>
      </c>
      <c r="D75" s="6" t="inlineStr">
        <is>
          <t>Matriz sumarísimos — grupo 2024</t>
        </is>
      </c>
      <c r="E75" s="6" t="inlineStr">
        <is>
          <t>Desalojo por precario</t>
        </is>
      </c>
      <c r="F75" s="6" t="inlineStr">
        <is>
          <t>2SC</t>
        </is>
      </c>
      <c r="G75" s="6" t="inlineStr">
        <is>
          <t>SV 496-2024-2SC</t>
        </is>
      </c>
      <c r="H75" s="6" t="inlineStr">
        <is>
          <t>Res. 30 (tres-2SC)</t>
        </is>
      </c>
      <c r="I75" s="6" t="inlineStr">
        <is>
          <t>06/11/2024</t>
        </is>
      </c>
      <c r="J75" s="6" t="inlineStr">
        <is>
          <t>2024</t>
        </is>
      </c>
      <c r="K75" s="6" t="inlineStr">
        <is>
          <t>María Bellido Angulo</t>
        </is>
      </c>
      <c r="L75" s="6" t="n"/>
      <c r="M75" s="6" t="inlineStr">
        <is>
          <t>NULA (reenvío)</t>
        </is>
      </c>
      <c r="N75" s="6" t="n">
        <v>2</v>
      </c>
      <c r="O75" s="6" t="n">
        <v>2</v>
      </c>
      <c r="P75" s="7" t="n"/>
      <c r="Q75" s="7" t="n"/>
      <c r="R75" s="7" t="n"/>
      <c r="S75" s="7" t="n"/>
      <c r="T75" s="7" t="n"/>
      <c r="U75" s="7" t="n"/>
      <c r="V75" s="7" t="n"/>
      <c r="W75" s="7" t="n"/>
      <c r="X75" s="7" t="n"/>
      <c r="Y75" s="7" t="n"/>
      <c r="Z75" s="7" t="n"/>
      <c r="AA75" s="8" t="inlineStr">
        <is>
          <t>DECLARADO — «el Juzgado basó su decisión en una resolución emitida en el marco de este procedimiento administrativo inconcluso, lo cual resulta inadecuado»</t>
        </is>
      </c>
      <c r="AB75" s="7" t="n"/>
      <c r="AC75" s="7" t="n"/>
      <c r="AD75" s="7" t="n"/>
      <c r="AE75" s="7" t="n"/>
      <c r="AF75" s="7" t="n"/>
      <c r="AG75" s="7" t="n"/>
      <c r="AH75" s="7" t="n"/>
      <c r="AI75" s="7" t="n"/>
      <c r="AJ75" s="7" t="n"/>
      <c r="AK75" s="7" t="n"/>
      <c r="AL75" s="8" t="inlineStr">
        <is>
          <t>DECLARADO — «a través de la sentencia apelada no se ha dado una respuesta debidamente razonada al justiciable, evidenciándose una afectación a la debida argumentación y a la tutela jurisdiccional efectiva del recurrente»</t>
        </is>
      </c>
      <c r="AM75" s="7" t="n"/>
      <c r="AN75" s="7" t="n"/>
      <c r="AO75" s="7" t="n"/>
      <c r="AP75" s="7" t="inlineStr">
        <is>
          <t>Baja D11→— · Migración D13→D23 · Baja D20→—</t>
        </is>
      </c>
      <c r="AQ75" s="7" t="n"/>
      <c r="AR75" s="7" t="n"/>
      <c r="AS75" s="7" t="n"/>
      <c r="AT75" s="7" t="n"/>
      <c r="AU75" s="7" t="n"/>
      <c r="AV75" s="7" t="n"/>
      <c r="AW75" s="7" t="n"/>
      <c r="AX75" s="7" t="n"/>
      <c r="AY75" s="7" t="n"/>
      <c r="AZ75" s="7" t="inlineStr">
        <is>
          <t>Se declaró la falta de legitimidad para obrar activa con base en un acto administrativo no firme (reversión del predio a la Municipalidad).</t>
        </is>
      </c>
      <c r="BA75" s="7" t="n"/>
      <c r="BB75" s="7" t="inlineStr">
        <is>
          <t>Matriz_defectos_procesales_1ra_SV</t>
        </is>
      </c>
      <c r="BC75" s="7" t="n">
        <v>1</v>
      </c>
      <c r="BD75" s="7" t="inlineStr">
        <is>
          <t>SUMARISIMO</t>
        </is>
      </c>
      <c r="BE75" s="7" t="inlineStr">
        <is>
          <t>NULA</t>
        </is>
      </c>
      <c r="BF75" s="7" t="inlineStr">
        <is>
          <t>SN</t>
        </is>
      </c>
    </row>
    <row r="76" ht="84.75" customHeight="1">
      <c r="A76" s="6" t="n">
        <v>75</v>
      </c>
      <c r="B76" s="6" t="inlineStr">
        <is>
          <t>03996-2023</t>
        </is>
      </c>
      <c r="C76" s="6" t="inlineStr">
        <is>
          <t>03996-2023-0-0401-JR-CI-04</t>
        </is>
      </c>
      <c r="D76" s="6" t="inlineStr">
        <is>
          <t>Llamoja — SV de control (2021-2023)</t>
        </is>
      </c>
      <c r="E76" s="6" t="inlineStr">
        <is>
          <t>División y partición</t>
        </is>
      </c>
      <c r="F76" s="6" t="inlineStr">
        <is>
          <t>1SC</t>
        </is>
      </c>
      <c r="G76" s="6" t="n"/>
      <c r="H76" s="6" t="inlineStr">
        <is>
          <t>22</t>
        </is>
      </c>
      <c r="I76" s="6" t="inlineStr">
        <is>
          <t>dos mil veinticinco, enero treinta y uno</t>
        </is>
      </c>
      <c r="J76" s="6" t="inlineStr">
        <is>
          <t>2025</t>
        </is>
      </c>
      <c r="K76" s="6" t="n"/>
      <c r="L76" s="6" t="inlineStr">
        <is>
          <t>Fernández Dávila Mercado</t>
        </is>
      </c>
      <c r="M76" s="6" t="inlineStr">
        <is>
          <t>NULA</t>
        </is>
      </c>
      <c r="N76" s="6" t="n">
        <v>2</v>
      </c>
      <c r="O76" s="6" t="n">
        <v>2</v>
      </c>
      <c r="P76" s="7" t="n"/>
      <c r="Q76" s="7" t="n"/>
      <c r="R76" s="7" t="n"/>
      <c r="S76" s="7" t="n"/>
      <c r="T76" s="7" t="n"/>
      <c r="U76" s="8" t="inlineStr">
        <is>
          <t>DECLARADO — (evidencia en las columnas «Cita textual 1–3» de esta misma fila)</t>
        </is>
      </c>
      <c r="V76" s="7" t="n"/>
      <c r="W76" s="7" t="n"/>
      <c r="X76" s="8" t="inlineStr">
        <is>
          <t>DECLARADO — (evidencia en las columnas «Cita textual 1–3» de esta misma fila)</t>
        </is>
      </c>
      <c r="Y76" s="7" t="n"/>
      <c r="Z76" s="7" t="n"/>
      <c r="AA76" s="7" t="n"/>
      <c r="AB76" s="7" t="n"/>
      <c r="AC76" s="7" t="n"/>
      <c r="AD76" s="7" t="n"/>
      <c r="AE76" s="7" t="n"/>
      <c r="AF76" s="7" t="n"/>
      <c r="AG76" s="7" t="n"/>
      <c r="AH76" s="7" t="n"/>
      <c r="AI76" s="7" t="n"/>
      <c r="AJ76" s="7" t="n"/>
      <c r="AK76" s="7" t="n"/>
      <c r="AL76" s="7" t="n"/>
      <c r="AM76" s="7" t="n"/>
      <c r="AN76" s="7" t="n"/>
      <c r="AO76" s="7" t="inlineStr">
        <is>
          <t>D09: la Sala admite ella misma la prueba de oficio y reenvía para que el A quo la valore con contradictorio; verificar si califica de irregular el ejercicio del A quo o solo aplica el X Pleno.</t>
        </is>
      </c>
      <c r="AP76" s="7" t="n"/>
      <c r="AQ76" s="7" t="inlineStr">
        <is>
          <t>— Sin vicio de motivación como causal</t>
        </is>
      </c>
      <c r="AR76" s="7" t="n"/>
      <c r="AS76" s="7" t="inlineStr">
        <is>
          <t>No</t>
        </is>
      </c>
      <c r="AT76" s="7" t="inlineStr">
        <is>
          <t>«Con el objetivo de evitar limitar el derecho de apelación de las partes procesales, este colegiado considera correcto anular la sentencia materia de apelación y devolver los actuados al juzgado de origen, a efecto de que la A quo se pronuncie sobre el acta de Conciliación con Acuerdo Total N.° 251-2021, de ser el caso cumpla con señalar nuevos puntos de controversia, permita el derecho de contradicción de las partes procesales y en su oportunidad el derecho de apelación.»</t>
        </is>
      </c>
      <c r="AU76" s="7" t="inlineStr">
        <is>
          <t>Prueba de oficio admitida por la Sala; reenvío para valorarla con contradictorio</t>
        </is>
      </c>
      <c r="AV76" s="7" t="inlineStr">
        <is>
          <t>«La tercera regla del X Pleno Casatorio Civil, ha establecido que: “El juez de primera o segunda instancia, en el ejercicio y trámite de la prueba de oficio deberá cumplir de manera obligatoria con los siguientes límites: a) Excepcionalidad, b) pertinencia, c) fuentes de prueba, d) motivación, e) contradictorio, f) no suplir a las partes y g) en una sola oportunidad” (subrayado nuestro)»</t>
        </is>
      </c>
      <c r="AW76" s="7" t="inlineStr">
        <is>
          <t>Marco: límites de la prueba de oficio, X Pleno Casatorio (art. 194 CPC)</t>
        </is>
      </c>
      <c r="AX76" s="7" t="n"/>
      <c r="AY76" s="7" t="n"/>
      <c r="AZ76" s="7" t="inlineStr">
        <is>
          <t>La Sala admite de oficio el acta de conciliación 251-2021 (aparente pacto de indivisión) y anula para que el A quo la valore con contradictorio y fije nuevos puntos controvertidos (X Pleno).</t>
        </is>
      </c>
      <c r="BA76" s="7" t="inlineStr">
        <is>
          <t>3996 2023 2025 SV.doc</t>
        </is>
      </c>
      <c r="BB76" s="7" t="inlineStr">
        <is>
          <t>Clasificacion_SV_ABR24_Llamoja_defectos</t>
        </is>
      </c>
      <c r="BC76" s="7" t="n">
        <v>1</v>
      </c>
      <c r="BD76" s="7" t="inlineStr">
        <is>
          <t>ABREVIADO</t>
        </is>
      </c>
      <c r="BE76" s="7" t="inlineStr">
        <is>
          <t>NULA</t>
        </is>
      </c>
      <c r="BF76" s="7" t="inlineStr">
        <is>
          <t>AN</t>
        </is>
      </c>
    </row>
    <row r="77" ht="116.25" customHeight="1">
      <c r="A77" s="6" t="n">
        <v>76</v>
      </c>
      <c r="B77" s="6" t="inlineStr">
        <is>
          <t>04008-2010</t>
        </is>
      </c>
      <c r="C77" s="6" t="inlineStr">
        <is>
          <t>04008-2010</t>
        </is>
      </c>
      <c r="D77" s="6" t="inlineStr">
        <is>
          <t>Pre-2019</t>
        </is>
      </c>
      <c r="E77" s="6" t="n"/>
      <c r="F77" s="6" t="inlineStr">
        <is>
          <t>2SC</t>
        </is>
      </c>
      <c r="G77" s="6" t="inlineStr">
        <is>
          <t>SV N° 654-2019-2SC</t>
        </is>
      </c>
      <c r="H77" s="6" t="n"/>
      <c r="I77" s="6" t="inlineStr">
        <is>
          <t>27/09/2019</t>
        </is>
      </c>
      <c r="J77" s="6" t="inlineStr">
        <is>
          <t>2019</t>
        </is>
      </c>
      <c r="K77" s="6" t="n"/>
      <c r="L77" s="6" t="n"/>
      <c r="M77" s="6" t="inlineStr">
        <is>
          <t>Nula</t>
        </is>
      </c>
      <c r="N77" s="6" t="n">
        <v>2</v>
      </c>
      <c r="O77" s="6" t="n">
        <v>2</v>
      </c>
      <c r="P77" s="7" t="n"/>
      <c r="Q77" s="7" t="n"/>
      <c r="R77" s="7" t="n"/>
      <c r="S77" s="7" t="n"/>
      <c r="T77" s="7" t="n"/>
      <c r="U77" s="7" t="n"/>
      <c r="V77" s="7" t="n"/>
      <c r="W77" s="7" t="n"/>
      <c r="X77" s="8" t="inlineStr">
        <is>
          <t>DECLARADO — “…y Ruben Huaracha Narrea sobre reivindicación, ORDENARON que el juzgador ponga en conocimiento de las partes, el contenido del auto 18, en que se admiten medios probatorios de oficio, y en atención a ello, de surgir controversia sobre el título de dominio obtenido por los demandados, mediante usucapion, disponer de así considerarlo…”</t>
        </is>
      </c>
      <c r="Y77" s="8" t="inlineStr">
        <is>
          <t>DECLARADO — “…citada por las partes en el proceso. Con esta actuación probatoria el Juez cuidará de no reemplazar a las partes en su carga probatoria, y deberá asegurarles el derecho de contradicción de la prueba. La resolución que ordena las pruebas de oficio debe estar…”</t>
        </is>
      </c>
      <c r="Z77" s="7" t="n"/>
      <c r="AA77" s="7" t="n"/>
      <c r="AB77" s="7" t="n"/>
      <c r="AC77" s="7" t="n"/>
      <c r="AD77" s="7" t="n"/>
      <c r="AE77" s="7" t="n"/>
      <c r="AF77" s="7" t="n"/>
      <c r="AG77" s="7" t="n"/>
      <c r="AH77" s="7" t="n"/>
      <c r="AI77" s="7" t="n"/>
      <c r="AJ77" s="7" t="n"/>
      <c r="AK77" s="7" t="n"/>
      <c r="AL77" s="7" t="n"/>
      <c r="AM77" s="7" t="n"/>
      <c r="AN77" s="7" t="n"/>
      <c r="AO77" s="7" t="inlineStr">
        <is>
          <t>D10: la cita reproduce el texto del art. 194 CPC. Sustituir por el considerando aplicativo.</t>
        </is>
      </c>
      <c r="AP77" s="7" t="n"/>
      <c r="AQ77" s="7" t="n"/>
      <c r="AR77" s="7" t="n"/>
      <c r="AS77" s="7" t="n"/>
      <c r="AT77" s="7" t="n"/>
      <c r="AU77" s="7" t="n"/>
      <c r="AV77" s="7" t="n"/>
      <c r="AW77" s="7" t="n"/>
      <c r="AX77" s="7" t="n"/>
      <c r="AY77" s="7" t="n"/>
      <c r="AZ77" s="7" t="n"/>
      <c r="BA77" s="7" t="n"/>
      <c r="BB77" s="7" t="inlineStr">
        <is>
          <t>Comparativa_defectos_2018_vs_2024 + Defectos_procesales_SV_CSJA</t>
        </is>
      </c>
      <c r="BC77" s="7" t="n">
        <v>2</v>
      </c>
      <c r="BD77" s="7" t="inlineStr">
        <is>
          <t>CONOCIMIENTO</t>
        </is>
      </c>
      <c r="BE77" s="7" t="inlineStr">
        <is>
          <t>NULA</t>
        </is>
      </c>
      <c r="BF77" s="7" t="inlineStr">
        <is>
          <t>CN</t>
        </is>
      </c>
    </row>
    <row r="78" ht="53.25" customHeight="1">
      <c r="A78" s="6" t="n">
        <v>77</v>
      </c>
      <c r="B78" s="6" t="inlineStr">
        <is>
          <t>04033-2016</t>
        </is>
      </c>
      <c r="C78" s="6" t="inlineStr">
        <is>
          <t>04033-2016-0-0401-JR-CI-10</t>
        </is>
      </c>
      <c r="D78" s="6" t="inlineStr">
        <is>
          <t>Matriz sumarísimos — anteriores a 2019</t>
        </is>
      </c>
      <c r="E78" s="6" t="inlineStr">
        <is>
          <t>Desalojo por precario y cancelación de anticresis</t>
        </is>
      </c>
      <c r="F78" s="6" t="inlineStr">
        <is>
          <t>1SC</t>
        </is>
      </c>
      <c r="G78" s="6" t="inlineStr">
        <is>
          <t>SV 500-2018-1SC</t>
        </is>
      </c>
      <c r="H78" s="6" t="inlineStr">
        <is>
          <t>Res. 25 (cuatro-1SC)</t>
        </is>
      </c>
      <c r="I78" s="6" t="inlineStr">
        <is>
          <t>12/10/2018</t>
        </is>
      </c>
      <c r="J78" s="6" t="inlineStr">
        <is>
          <t>2018</t>
        </is>
      </c>
      <c r="K78" s="6" t="inlineStr">
        <is>
          <t>Zoraida Salas Flores</t>
        </is>
      </c>
      <c r="L78" s="6" t="n"/>
      <c r="M78" s="6" t="inlineStr">
        <is>
          <t>REVOCADA → FUNDADA</t>
        </is>
      </c>
      <c r="N78" s="6" t="n">
        <v>0</v>
      </c>
      <c r="O78" s="6" t="n">
        <v>1</v>
      </c>
      <c r="P78" s="7" t="n"/>
      <c r="Q78" s="7" t="n"/>
      <c r="R78" s="7" t="n"/>
      <c r="S78" s="7" t="n"/>
      <c r="T78" s="7" t="n"/>
      <c r="U78" s="7" t="n"/>
      <c r="V78" s="7" t="n"/>
      <c r="W78" s="7" t="n"/>
      <c r="X78" s="7" t="n"/>
      <c r="Y78" s="7" t="n"/>
      <c r="Z78" s="7" t="n"/>
      <c r="AA78" s="7" t="n"/>
      <c r="AB78" s="7" t="n"/>
      <c r="AC78" s="10" t="inlineStr">
        <is>
          <t>ALEGADO — «criterio con el cual debió declararse improcedente la valoración de medios probatorios sobre la existencia de una deuda distinta… corroborando una motivación aparente»</t>
        </is>
      </c>
      <c r="AD78" s="7" t="n"/>
      <c r="AE78" s="7" t="n"/>
      <c r="AF78" s="7" t="n"/>
      <c r="AG78" s="7" t="n"/>
      <c r="AH78" s="7" t="n"/>
      <c r="AI78" s="7" t="n"/>
      <c r="AJ78" s="7" t="n"/>
      <c r="AK78" s="7" t="n"/>
      <c r="AL78" s="7" t="n"/>
      <c r="AM78" s="7" t="n"/>
      <c r="AN78" s="7" t="n"/>
      <c r="AO78" s="7" t="n"/>
      <c r="AP78" s="7" t="n"/>
      <c r="AQ78" s="7" t="n"/>
      <c r="AR78" s="7" t="n"/>
      <c r="AS78" s="7" t="n"/>
      <c r="AT78" s="7" t="n"/>
      <c r="AU78" s="7" t="n"/>
      <c r="AV78" s="7" t="n"/>
      <c r="AW78" s="7" t="n"/>
      <c r="AX78" s="7" t="n"/>
      <c r="AY78" s="7" t="n"/>
      <c r="AZ78" s="7" t="inlineStr">
        <is>
          <t>La Sala no declara vicio: resuelve el fondo (validez del pago consignado, arts. 1220, 1256 CC) y revoca.</t>
        </is>
      </c>
      <c r="BA78" s="7" t="n"/>
      <c r="BB78" s="7" t="inlineStr">
        <is>
          <t>Matriz_defectos_procesales_1ra_SV</t>
        </is>
      </c>
      <c r="BC78" s="7" t="n">
        <v>1</v>
      </c>
      <c r="BD78" s="7" t="inlineStr">
        <is>
          <t>SUMARISIMO</t>
        </is>
      </c>
      <c r="BE78" s="7" t="inlineStr">
        <is>
          <t>REVOCADA</t>
        </is>
      </c>
      <c r="BF78" s="7" t="inlineStr">
        <is>
          <t>SR</t>
        </is>
      </c>
    </row>
    <row r="79" ht="126.75" customHeight="1">
      <c r="A79" s="6" t="n">
        <v>78</v>
      </c>
      <c r="B79" s="6" t="inlineStr">
        <is>
          <t>04034-2022</t>
        </is>
      </c>
      <c r="C79" s="6" t="inlineStr">
        <is>
          <t>04034-2022-0-0401-JR-CI-04</t>
        </is>
      </c>
      <c r="D79" s="6" t="inlineStr">
        <is>
          <t>Llamoja — SV de control (2021-2023)</t>
        </is>
      </c>
      <c r="E79" s="6" t="inlineStr">
        <is>
          <t>Nulidad de acto jurídico</t>
        </is>
      </c>
      <c r="F79" s="6" t="inlineStr">
        <is>
          <t>2SC</t>
        </is>
      </c>
      <c r="G79" s="6" t="inlineStr">
        <is>
          <t>277-2025-2SC</t>
        </is>
      </c>
      <c r="H79" s="6" t="inlineStr">
        <is>
          <t>21</t>
        </is>
      </c>
      <c r="I79" s="6" t="inlineStr">
        <is>
          <t>dos mil veinticinco, Junio veinticinco</t>
        </is>
      </c>
      <c r="J79" s="6" t="inlineStr">
        <is>
          <t>2025</t>
        </is>
      </c>
      <c r="K79" s="6" t="n"/>
      <c r="L79" s="6" t="inlineStr">
        <is>
          <t>de la Cuba Chirinos</t>
        </is>
      </c>
      <c r="M79" s="6" t="inlineStr">
        <is>
          <t>NULA</t>
        </is>
      </c>
      <c r="N79" s="6" t="n">
        <v>1</v>
      </c>
      <c r="O79" s="6" t="n">
        <v>1</v>
      </c>
      <c r="P79" s="7" t="n"/>
      <c r="Q79" s="7" t="n"/>
      <c r="R79" s="7" t="n"/>
      <c r="S79" s="7" t="n"/>
      <c r="T79" s="7" t="n"/>
      <c r="U79" s="7" t="n"/>
      <c r="V79" s="7" t="n"/>
      <c r="W79" s="7" t="n"/>
      <c r="X79" s="7" t="n"/>
      <c r="Y79" s="7" t="n"/>
      <c r="Z79" s="7" t="n"/>
      <c r="AA79" s="7" t="n"/>
      <c r="AB79" s="8" t="inlineStr">
        <is>
          <t>DECLARADO — (evidencia en las columnas «Cita textual 1–3» de esta misma fila)</t>
        </is>
      </c>
      <c r="AC79" s="7" t="n"/>
      <c r="AD79" s="7" t="n"/>
      <c r="AE79" s="7" t="n"/>
      <c r="AF79" s="7" t="n"/>
      <c r="AG79" s="7" t="n"/>
      <c r="AH79" s="7" t="n"/>
      <c r="AI79" s="7" t="n"/>
      <c r="AJ79" s="7" t="n"/>
      <c r="AK79" s="7" t="n"/>
      <c r="AL79" s="7" t="n"/>
      <c r="AM79" s="7" t="n"/>
      <c r="AN79" s="7" t="n"/>
      <c r="AO79" s="7" t="n"/>
      <c r="AP79" s="7" t="inlineStr">
        <is>
          <t>Baja D20→—</t>
        </is>
      </c>
      <c r="AQ79" s="7" t="inlineStr">
        <is>
          <t>d) Motivación insuficiente</t>
        </is>
      </c>
      <c r="AR79" s="7" t="n"/>
      <c r="AS79" s="7" t="inlineStr">
        <is>
          <t>No</t>
        </is>
      </c>
      <c r="AT79" s="7" t="inlineStr">
        <is>
          <t>«En consecuencia, se incurre en causa de nulidad de la recurrida al no analizar el precedente vinculante ni la causal contemplada en el inciso 8) del artículo 219º del código civil, es decir, “El acto jurídico es nulo: (…) En el caso del artículo V del Título Preliminar, salvo que la ley establezca sanción diversa”.»</t>
        </is>
      </c>
      <c r="AU79" s="7" t="inlineStr">
        <is>
          <t>d) Motivación insuficiente: omite precedente vinculante y art. 219.8 CC</t>
        </is>
      </c>
      <c r="AV79" s="7" t="inlineStr">
        <is>
          <t>«En ese sentido, el juzgado de primera instancia deberá emitir nuevo pronunciamiento conforme a los argumentos aquí señalados, sobre la calificación jurídica de la causal de nulidad que se indica en la presente sentencia, garantizando el principio de contradicción y defensa, a fin de no vulnerar ninguno derecho de las partes, todo ello con la finalidad de obtener un pronunciamiento integral que logre dilucidar, bajo un razonamiento lógico y jurídico, la solución al conflicto de intereses que ha sometido a sede jurisdiccional el demandante, lo que no obsta ni restringe que también se deban analizar con ese mismo vigor y detalle, las pruebas presentadas por las partes demandadas.»</t>
        </is>
      </c>
      <c r="AW79" s="7" t="inlineStr">
        <is>
          <t>Alcance del reenvío: nueva calificación con contradictorio</t>
        </is>
      </c>
      <c r="AX79" s="7" t="n"/>
      <c r="AY79" s="7" t="n"/>
      <c r="AZ79" s="7" t="inlineStr">
        <is>
          <t>Omite analizar precedente vinculante y la causal del art. 219.8 CC; ordena nuevo pronunciamiento con contradictorio sobre la calificación.</t>
        </is>
      </c>
      <c r="BA79" s="7" t="inlineStr">
        <is>
          <t>4034 2022 SV 2025.doc</t>
        </is>
      </c>
      <c r="BB79" s="7" t="inlineStr">
        <is>
          <t>Clasificacion_SV_ABR24_Llamoja_defectos</t>
        </is>
      </c>
      <c r="BC79" s="7" t="n">
        <v>1</v>
      </c>
      <c r="BD79" s="7" t="inlineStr">
        <is>
          <t>ABREVIADO</t>
        </is>
      </c>
      <c r="BE79" s="7" t="inlineStr">
        <is>
          <t>NULA</t>
        </is>
      </c>
      <c r="BF79" s="7" t="inlineStr">
        <is>
          <t>AN</t>
        </is>
      </c>
    </row>
    <row r="80" ht="116.25" customHeight="1">
      <c r="A80" s="6" t="n">
        <v>79</v>
      </c>
      <c r="B80" s="6" t="inlineStr">
        <is>
          <t>04040-2015</t>
        </is>
      </c>
      <c r="C80" s="6" t="inlineStr">
        <is>
          <t>04040-2015</t>
        </is>
      </c>
      <c r="D80" s="6" t="inlineStr">
        <is>
          <t>Pre-2019</t>
        </is>
      </c>
      <c r="E80" s="6" t="n"/>
      <c r="F80" s="6" t="inlineStr">
        <is>
          <t>2SC</t>
        </is>
      </c>
      <c r="G80" s="6" t="inlineStr">
        <is>
          <t>SV N° 488-2019-2SC</t>
        </is>
      </c>
      <c r="H80" s="6" t="n"/>
      <c r="I80" s="6" t="inlineStr">
        <is>
          <t>21/08/2019</t>
        </is>
      </c>
      <c r="J80" s="6" t="inlineStr">
        <is>
          <t>2019</t>
        </is>
      </c>
      <c r="K80" s="6" t="n"/>
      <c r="L80" s="6" t="n"/>
      <c r="M80" s="6" t="inlineStr">
        <is>
          <t>Nula</t>
        </is>
      </c>
      <c r="N80" s="6" t="n">
        <v>1</v>
      </c>
      <c r="O80" s="6" t="n">
        <v>1</v>
      </c>
      <c r="P80" s="7" t="n"/>
      <c r="Q80" s="7" t="n"/>
      <c r="R80" s="7" t="n"/>
      <c r="S80" s="7" t="n"/>
      <c r="T80" s="7" t="n"/>
      <c r="U80" s="7" t="n"/>
      <c r="V80" s="7" t="n"/>
      <c r="W80" s="7" t="n"/>
      <c r="X80" s="7" t="n"/>
      <c r="Y80" s="7" t="n"/>
      <c r="Z80" s="7" t="n"/>
      <c r="AA80" s="7" t="n"/>
      <c r="AB80" s="8" t="inlineStr">
        <is>
          <t>DECLARADO — “…siderando quinto de la sentencia impugnada, se advierte que no se ha expresado suficientemente las razones, sustentadas en elementos técnicos de prueba, que respalde la convicción del A quo, respecto a que el bien sub litis, cuya reivindicación se pretende, no forme parte del predio inscrito en la partida 01092586; ello en tanto que, de la escritura…”</t>
        </is>
      </c>
      <c r="AC80" s="7" t="n"/>
      <c r="AD80" s="7" t="n"/>
      <c r="AE80" s="7" t="n"/>
      <c r="AF80" s="7" t="n"/>
      <c r="AG80" s="7" t="n"/>
      <c r="AH80" s="7" t="n"/>
      <c r="AI80" s="7" t="n"/>
      <c r="AJ80" s="7" t="n"/>
      <c r="AK80" s="7" t="n"/>
      <c r="AL80" s="7" t="n"/>
      <c r="AM80" s="7" t="n"/>
      <c r="AN80" s="7" t="n"/>
      <c r="AO80" s="7" t="n"/>
      <c r="AP80" s="7" t="inlineStr">
        <is>
          <t>Baja D08→—</t>
        </is>
      </c>
      <c r="AQ80" s="7" t="n"/>
      <c r="AR80" s="7" t="n"/>
      <c r="AS80" s="7" t="n"/>
      <c r="AT80" s="7" t="n"/>
      <c r="AU80" s="7" t="n"/>
      <c r="AV80" s="7" t="n"/>
      <c r="AW80" s="7" t="n"/>
      <c r="AX80" s="7" t="n"/>
      <c r="AY80" s="7" t="n"/>
      <c r="AZ80" s="7" t="n"/>
      <c r="BA80" s="7" t="n"/>
      <c r="BB80" s="7" t="inlineStr">
        <is>
          <t>Comparativa_defectos_2018_vs_2024 + Defectos_procesales_SV_CSJA</t>
        </is>
      </c>
      <c r="BC80" s="7" t="n">
        <v>2</v>
      </c>
      <c r="BD80" s="7" t="inlineStr">
        <is>
          <t>CONOCIMIENTO</t>
        </is>
      </c>
      <c r="BE80" s="7" t="inlineStr">
        <is>
          <t>NULA</t>
        </is>
      </c>
      <c r="BF80" s="7" t="inlineStr">
        <is>
          <t>CN</t>
        </is>
      </c>
    </row>
    <row r="81" ht="74.25" customHeight="1">
      <c r="A81" s="6" t="n">
        <v>80</v>
      </c>
      <c r="B81" s="6" t="inlineStr">
        <is>
          <t>04049-2015</t>
        </is>
      </c>
      <c r="C81" s="6" t="inlineStr">
        <is>
          <t>04049-2015-0-0401-JR-CI-05</t>
        </is>
      </c>
      <c r="D81" s="6" t="inlineStr">
        <is>
          <t>Matriz sumarísimos — anteriores a 2019</t>
        </is>
      </c>
      <c r="E81" s="6" t="inlineStr">
        <is>
          <t>Interdicto de recobrar</t>
        </is>
      </c>
      <c r="F81" s="6" t="inlineStr">
        <is>
          <t>2SC</t>
        </is>
      </c>
      <c r="G81" s="6" t="inlineStr">
        <is>
          <t>SV 21-2019-2SC</t>
        </is>
      </c>
      <c r="H81" s="6" t="inlineStr">
        <is>
          <t>Res. 36 (once-2SC)</t>
        </is>
      </c>
      <c r="I81" s="6" t="inlineStr">
        <is>
          <t>21/01/2019</t>
        </is>
      </c>
      <c r="J81" s="6" t="inlineStr">
        <is>
          <t>2019</t>
        </is>
      </c>
      <c r="K81" s="6" t="inlineStr">
        <is>
          <t>Yuri Filamir Corrales Cuba</t>
        </is>
      </c>
      <c r="L81" s="6" t="n"/>
      <c r="M81" s="6" t="inlineStr">
        <is>
          <t>REVOCADA → INFUNDADA</t>
        </is>
      </c>
      <c r="N81" s="6" t="n">
        <v>0</v>
      </c>
      <c r="O81" s="6" t="n">
        <v>1</v>
      </c>
      <c r="P81" s="7" t="n"/>
      <c r="Q81" s="7" t="n"/>
      <c r="R81" s="7" t="n"/>
      <c r="S81" s="7" t="n"/>
      <c r="T81" s="7" t="n"/>
      <c r="U81" s="7" t="n"/>
      <c r="V81" s="7" t="n"/>
      <c r="W81" s="7" t="n"/>
      <c r="X81" s="7" t="n"/>
      <c r="Y81" s="7" t="n"/>
      <c r="Z81" s="7" t="n"/>
      <c r="AA81" s="9" t="inlineStr">
        <is>
          <t>ADVERTIDO — «el A quo, en efecto, ha sustentado la recurrida en el título posesorio derivado del derecho de propiedad del demandante… sin embargo… el interdicto de recobrar procede sólo frente al desapoderamiento del bien»</t>
        </is>
      </c>
      <c r="AB81" s="7" t="n"/>
      <c r="AC81" s="7" t="n"/>
      <c r="AD81" s="7" t="n"/>
      <c r="AE81" s="7" t="n"/>
      <c r="AF81" s="7" t="n"/>
      <c r="AG81" s="7" t="n"/>
      <c r="AH81" s="7" t="n"/>
      <c r="AI81" s="7" t="n"/>
      <c r="AJ81" s="7" t="n"/>
      <c r="AK81" s="7" t="n"/>
      <c r="AL81" s="7" t="n"/>
      <c r="AM81" s="7" t="n"/>
      <c r="AN81" s="7" t="n"/>
      <c r="AO81" s="7" t="n"/>
      <c r="AP81" s="7" t="n"/>
      <c r="AQ81" s="7" t="n"/>
      <c r="AR81" s="7" t="n"/>
      <c r="AS81" s="7" t="n"/>
      <c r="AT81" s="7" t="n"/>
      <c r="AU81" s="7" t="n"/>
      <c r="AV81" s="7" t="n"/>
      <c r="AW81" s="7" t="n"/>
      <c r="AX81" s="7" t="n"/>
      <c r="AY81" s="7" t="n"/>
      <c r="AZ81" s="7" t="inlineStr">
        <is>
          <t>Error de enfoque probatorio: se juzgó la propiedad y no la posesión fáctica al momento del despojo. La Sala corrige en instancia (RA 002-2014-CE-PJ) sin anular.</t>
        </is>
      </c>
      <c r="BA81" s="7" t="n"/>
      <c r="BB81" s="7" t="inlineStr">
        <is>
          <t>Matriz_defectos_procesales_1ra_SV</t>
        </is>
      </c>
      <c r="BC81" s="7" t="n">
        <v>1</v>
      </c>
      <c r="BD81" s="7" t="inlineStr">
        <is>
          <t>SUMARISIMO</t>
        </is>
      </c>
      <c r="BE81" s="7" t="inlineStr">
        <is>
          <t>REVOCADA</t>
        </is>
      </c>
      <c r="BF81" s="7" t="inlineStr">
        <is>
          <t>SR</t>
        </is>
      </c>
    </row>
    <row r="82" ht="63.75" customHeight="1">
      <c r="A82" s="6" t="n">
        <v>81</v>
      </c>
      <c r="B82" s="6" t="inlineStr">
        <is>
          <t>04109-2011</t>
        </is>
      </c>
      <c r="C82" s="6" t="inlineStr">
        <is>
          <t>04109-2011-0-0401-JR-CI-04</t>
        </is>
      </c>
      <c r="D82" s="6" t="inlineStr">
        <is>
          <t>Matriz sumarísimos — anteriores a 2019</t>
        </is>
      </c>
      <c r="E82" s="6" t="inlineStr">
        <is>
          <t>Desalojo por ocupación precaria</t>
        </is>
      </c>
      <c r="F82" s="6" t="inlineStr">
        <is>
          <t>2SC</t>
        </is>
      </c>
      <c r="G82" s="6" t="inlineStr">
        <is>
          <t>SV 094-2019-2SC</t>
        </is>
      </c>
      <c r="H82" s="6" t="inlineStr">
        <is>
          <t>Res. 88 (cuatro-2SC)</t>
        </is>
      </c>
      <c r="I82" s="6" t="inlineStr">
        <is>
          <t>08/04/2019</t>
        </is>
      </c>
      <c r="J82" s="6" t="inlineStr">
        <is>
          <t>2019</t>
        </is>
      </c>
      <c r="K82" s="6" t="inlineStr">
        <is>
          <t>Justo Quispe Apaza</t>
        </is>
      </c>
      <c r="L82" s="6" t="n"/>
      <c r="M82" s="6" t="inlineStr">
        <is>
          <t>REVOCADA → FUNDADA</t>
        </is>
      </c>
      <c r="N82" s="6" t="n">
        <v>0</v>
      </c>
      <c r="O82" s="6" t="n">
        <v>2</v>
      </c>
      <c r="P82" s="7" t="n"/>
      <c r="Q82" s="10" t="inlineStr">
        <is>
          <t>ALEGADO — «pese a estar recusado el Juez emite o completa la sentencia, lo que determina evidentemente la nulidad del proceso por vulneración del debido proceso, específicamente a la imparcialidad judicial»</t>
        </is>
      </c>
      <c r="R82" s="7" t="n"/>
      <c r="S82" s="7" t="n"/>
      <c r="T82" s="7" t="n"/>
      <c r="U82" s="7" t="n"/>
      <c r="V82" s="7" t="n"/>
      <c r="W82" s="7" t="n"/>
      <c r="X82" s="7" t="n"/>
      <c r="Y82" s="7" t="n"/>
      <c r="Z82" s="7" t="n"/>
      <c r="AA82" s="7" t="n"/>
      <c r="AB82" s="10" t="inlineStr">
        <is>
          <t>ALEGADO — «no existe valoración probatoria de los hechos propuestos (falta de motivación), sino básicamente discute el cumplimiento de requisitos establecidos en una casación»</t>
        </is>
      </c>
      <c r="AC82" s="7" t="n"/>
      <c r="AD82" s="7" t="n"/>
      <c r="AE82" s="7" t="n"/>
      <c r="AF82" s="7" t="n"/>
      <c r="AG82" s="7" t="n"/>
      <c r="AH82" s="7" t="n"/>
      <c r="AI82" s="7" t="n"/>
      <c r="AJ82" s="7" t="n"/>
      <c r="AK82" s="7" t="n"/>
      <c r="AL82" s="7" t="n"/>
      <c r="AM82" s="7" t="n"/>
      <c r="AN82" s="7" t="n"/>
      <c r="AO82" s="7" t="n"/>
      <c r="AP82" s="7" t="n"/>
      <c r="AQ82" s="7" t="n"/>
      <c r="AR82" s="7" t="n"/>
      <c r="AS82" s="7" t="n"/>
      <c r="AT82" s="7" t="n"/>
      <c r="AU82" s="7" t="n"/>
      <c r="AV82" s="7" t="n"/>
      <c r="AW82" s="7" t="n"/>
      <c r="AX82" s="7" t="n"/>
      <c r="AY82" s="7" t="n"/>
      <c r="AZ82" s="7" t="inlineStr">
        <is>
          <t>La Sala no se pronuncia expresamente sobre la recusación ni sobre los vicios de motivación alegados; revoca por el fondo.</t>
        </is>
      </c>
      <c r="BA82" s="7" t="n"/>
      <c r="BB82" s="7" t="inlineStr">
        <is>
          <t>Matriz_defectos_procesales_1ra_SV</t>
        </is>
      </c>
      <c r="BC82" s="7" t="n">
        <v>1</v>
      </c>
      <c r="BD82" s="7" t="inlineStr">
        <is>
          <t>SUMARISIMO</t>
        </is>
      </c>
      <c r="BE82" s="7" t="inlineStr">
        <is>
          <t>REVOCADA</t>
        </is>
      </c>
      <c r="BF82" s="7" t="inlineStr">
        <is>
          <t>SR</t>
        </is>
      </c>
    </row>
    <row r="83" ht="116.25" customHeight="1">
      <c r="A83" s="6" t="n">
        <v>82</v>
      </c>
      <c r="B83" s="6" t="inlineStr">
        <is>
          <t>04126-2021</t>
        </is>
      </c>
      <c r="C83" s="6" t="inlineStr">
        <is>
          <t>04126-2021</t>
        </is>
      </c>
      <c r="D83" s="6" t="inlineStr">
        <is>
          <t>2024</t>
        </is>
      </c>
      <c r="E83" s="6" t="n"/>
      <c r="F83" s="6" t="inlineStr">
        <is>
          <t>1SC</t>
        </is>
      </c>
      <c r="G83" s="6" t="inlineStr">
        <is>
          <t>SV N° 32-2024-1SC</t>
        </is>
      </c>
      <c r="H83" s="6" t="n"/>
      <c r="I83" s="6" t="inlineStr">
        <is>
          <t>21/01/2024</t>
        </is>
      </c>
      <c r="J83" s="6" t="inlineStr">
        <is>
          <t>2024</t>
        </is>
      </c>
      <c r="K83" s="6" t="n"/>
      <c r="L83" s="6" t="n"/>
      <c r="M83" s="6" t="inlineStr">
        <is>
          <t>Nula</t>
        </is>
      </c>
      <c r="N83" s="6" t="n">
        <v>2</v>
      </c>
      <c r="O83" s="6" t="n">
        <v>2</v>
      </c>
      <c r="P83" s="7" t="n"/>
      <c r="Q83" s="7" t="n"/>
      <c r="R83" s="7" t="n"/>
      <c r="S83" s="7" t="n"/>
      <c r="T83" s="7" t="n"/>
      <c r="U83" s="7" t="n"/>
      <c r="V83" s="7" t="n"/>
      <c r="W83" s="7" t="n"/>
      <c r="X83" s="7" t="n"/>
      <c r="Y83" s="7" t="n"/>
      <c r="Z83" s="7" t="n"/>
      <c r="AA83" s="7" t="n"/>
      <c r="AB83" s="7" t="n"/>
      <c r="AC83" s="7" t="n"/>
      <c r="AD83" s="7" t="n"/>
      <c r="AE83" s="8" t="inlineStr">
        <is>
          <t>DECLARADO — “…teriores, vamos que el A quo se pronunció erróneamente respecto al primer punto controvertido; pues, fundamento su decisión en analizar la figura jurídica de la "vocación hereditaria" (entendemos de la primigenia sucesión) y de la figura de la "representación sucesoria"; situaciones totalmente ajenas a este proceso, que trata meram…”</t>
        </is>
      </c>
      <c r="AF83" s="7" t="n"/>
      <c r="AG83" s="7" t="n"/>
      <c r="AH83" s="7" t="n"/>
      <c r="AI83" s="7" t="n"/>
      <c r="AJ83" s="7" t="n"/>
      <c r="AK83" s="7" t="n"/>
      <c r="AL83" s="8" t="inlineStr">
        <is>
          <t>DECLARADO — “…olece de nulidad, tal cual lo prevén los artículos 121 y 122 del Código Procesal Civil en sus incisos tercero y cuarto; al no pronunciarse motivada y correctamente sobre la pretensión incoada. PARTE RESOLUTIVA Fundamentos por los cuales: DECLARAMOS NU…”</t>
        </is>
      </c>
      <c r="AM83" s="7" t="n"/>
      <c r="AN83" s="7" t="n"/>
      <c r="AO83" s="7" t="n"/>
      <c r="AP83" s="7" t="inlineStr">
        <is>
          <t>Migración D06→D16 · Migración D15→D23</t>
        </is>
      </c>
      <c r="AQ83" s="7" t="n"/>
      <c r="AR83" s="7" t="n"/>
      <c r="AS83" s="7" t="n"/>
      <c r="AT83" s="7" t="n"/>
      <c r="AU83" s="7" t="n"/>
      <c r="AV83" s="7" t="n"/>
      <c r="AW83" s="7" t="n"/>
      <c r="AX83" s="7" t="n"/>
      <c r="AY83" s="7" t="n"/>
      <c r="AZ83" s="7" t="n"/>
      <c r="BA83" s="7" t="n"/>
      <c r="BB83" s="7" t="inlineStr">
        <is>
          <t>Comparativa_defectos_2018_vs_2024 + Defectos_procesales_SV_CSJA</t>
        </is>
      </c>
      <c r="BC83" s="7" t="n">
        <v>2</v>
      </c>
      <c r="BD83" s="7" t="inlineStr">
        <is>
          <t>CONOCIMIENTO</t>
        </is>
      </c>
      <c r="BE83" s="7" t="inlineStr">
        <is>
          <t>NULA</t>
        </is>
      </c>
      <c r="BF83" s="7" t="inlineStr">
        <is>
          <t>CN</t>
        </is>
      </c>
    </row>
    <row r="84" ht="95.25" customHeight="1">
      <c r="A84" s="6" t="n">
        <v>83</v>
      </c>
      <c r="B84" s="6" t="inlineStr">
        <is>
          <t>04138-2022</t>
        </is>
      </c>
      <c r="C84" s="6" t="inlineStr">
        <is>
          <t>04138-2022-0-0401-JR-CI-02</t>
        </is>
      </c>
      <c r="D84" s="6" t="inlineStr">
        <is>
          <t>Matriz sumarísimos — grupo 2024</t>
        </is>
      </c>
      <c r="E84" s="6" t="inlineStr">
        <is>
          <t>Desalojo por ocupación precaria y pago de alquileres</t>
        </is>
      </c>
      <c r="F84" s="6" t="inlineStr">
        <is>
          <t>2SC</t>
        </is>
      </c>
      <c r="G84" s="6" t="inlineStr">
        <is>
          <t>SV 282-2025-2SC</t>
        </is>
      </c>
      <c r="H84" s="6" t="inlineStr">
        <is>
          <t>Res. 19 (cuatro-2SC)</t>
        </is>
      </c>
      <c r="I84" s="6" t="inlineStr">
        <is>
          <t>20/06/2025</t>
        </is>
      </c>
      <c r="J84" s="6" t="inlineStr">
        <is>
          <t>2025</t>
        </is>
      </c>
      <c r="K84" s="6" t="inlineStr">
        <is>
          <t>Edgard Pineda Gamarra</t>
        </is>
      </c>
      <c r="L84" s="6" t="n"/>
      <c r="M84" s="6" t="inlineStr">
        <is>
          <t>NULA (reenvío)</t>
        </is>
      </c>
      <c r="N84" s="6" t="n">
        <v>1</v>
      </c>
      <c r="O84" s="6" t="n">
        <v>1</v>
      </c>
      <c r="P84" s="7" t="n"/>
      <c r="Q84" s="7" t="n"/>
      <c r="R84" s="7" t="n"/>
      <c r="S84" s="7" t="n"/>
      <c r="T84" s="7" t="n"/>
      <c r="U84" s="7" t="n"/>
      <c r="V84" s="7" t="n"/>
      <c r="W84" s="7" t="n"/>
      <c r="X84" s="7" t="n"/>
      <c r="Y84" s="7" t="n"/>
      <c r="Z84" s="7" t="n"/>
      <c r="AA84" s="8" t="inlineStr">
        <is>
          <t>DECLARADO — «las cartas notariales de folios treinta y ocho y cuarenta, únicamente han sido cursadas a la subarrendataria Emma Pascuala Olmedo Cardeña; a pesar de que… la empresa debía comunicar al arrendatario su decisión mediante carta notarial… situación que no ha sido advertida por el A quo»</t>
        </is>
      </c>
      <c r="AB84" s="7" t="n"/>
      <c r="AC84" s="7" t="n"/>
      <c r="AD84" s="7" t="n"/>
      <c r="AE84" s="7" t="n"/>
      <c r="AF84" s="7" t="n"/>
      <c r="AG84" s="7" t="n"/>
      <c r="AH84" s="7" t="n"/>
      <c r="AI84" s="7" t="n"/>
      <c r="AJ84" s="7" t="n"/>
      <c r="AK84" s="7" t="n"/>
      <c r="AL84" s="7" t="n"/>
      <c r="AM84" s="7" t="n"/>
      <c r="AN84" s="7" t="n"/>
      <c r="AO84" s="7" t="n"/>
      <c r="AP84" s="7" t="inlineStr">
        <is>
          <t>Baja D11→— · Baja D13→—</t>
        </is>
      </c>
      <c r="AQ84" s="7" t="n"/>
      <c r="AR84" s="7" t="n"/>
      <c r="AS84" s="7" t="n"/>
      <c r="AT84" s="7" t="n"/>
      <c r="AU84" s="7" t="n"/>
      <c r="AV84" s="7" t="n"/>
      <c r="AW84" s="7" t="n"/>
      <c r="AX84" s="7" t="n"/>
      <c r="AY84" s="7" t="n"/>
      <c r="AZ84" s="7" t="inlineStr">
        <is>
          <t>Cláusula resolutoria expresa comunicada a persona distinta del arrendatario; falta de valoración conjunta (art. 197 CPC).</t>
        </is>
      </c>
      <c r="BA84" s="7" t="n"/>
      <c r="BB84" s="7" t="inlineStr">
        <is>
          <t>Matriz_defectos_procesales_1ra_SV</t>
        </is>
      </c>
      <c r="BC84" s="7" t="n">
        <v>1</v>
      </c>
      <c r="BD84" s="7" t="inlineStr">
        <is>
          <t>SUMARISIMO</t>
        </is>
      </c>
      <c r="BE84" s="7" t="inlineStr">
        <is>
          <t>NULA</t>
        </is>
      </c>
      <c r="BF84" s="7" t="inlineStr">
        <is>
          <t>SN</t>
        </is>
      </c>
    </row>
    <row r="85" ht="178.5" customHeight="1">
      <c r="A85" s="6" t="n">
        <v>84</v>
      </c>
      <c r="B85" s="6" t="inlineStr">
        <is>
          <t>04154-2022</t>
        </is>
      </c>
      <c r="C85" s="6" t="inlineStr">
        <is>
          <t>04154-2022-0-0401-JR-CI-05</t>
        </is>
      </c>
      <c r="D85" s="6" t="inlineStr">
        <is>
          <t>Llamoja — SV de control (2021-2023)</t>
        </is>
      </c>
      <c r="E85" s="6" t="inlineStr">
        <is>
          <t>Retracto</t>
        </is>
      </c>
      <c r="F85" s="6" t="inlineStr">
        <is>
          <t>2SC</t>
        </is>
      </c>
      <c r="G85" s="6" t="inlineStr">
        <is>
          <t>368-2024-2SC</t>
        </is>
      </c>
      <c r="H85" s="6" t="inlineStr">
        <is>
          <t>20</t>
        </is>
      </c>
      <c r="I85" s="6" t="inlineStr">
        <is>
          <t>dos mil veinticuatro, Setiembre cinco</t>
        </is>
      </c>
      <c r="J85" s="6" t="inlineStr">
        <is>
          <t>2024</t>
        </is>
      </c>
      <c r="K85" s="6" t="n"/>
      <c r="L85" s="6" t="inlineStr">
        <is>
          <t>Paredes Bedregal</t>
        </is>
      </c>
      <c r="M85" s="6" t="inlineStr">
        <is>
          <t>NULA</t>
        </is>
      </c>
      <c r="N85" s="6" t="n">
        <v>2</v>
      </c>
      <c r="O85" s="6" t="n">
        <v>2</v>
      </c>
      <c r="P85" s="7" t="n"/>
      <c r="Q85" s="7" t="n"/>
      <c r="R85" s="7" t="n"/>
      <c r="S85" s="7" t="n"/>
      <c r="T85" s="7" t="n"/>
      <c r="U85" s="7" t="n"/>
      <c r="V85" s="7" t="n"/>
      <c r="W85" s="7" t="n"/>
      <c r="X85" s="7" t="n"/>
      <c r="Y85" s="7" t="n"/>
      <c r="Z85" s="7" t="n"/>
      <c r="AA85" s="7" t="n"/>
      <c r="AB85" s="8" t="inlineStr">
        <is>
          <t>DECLARADO — (evidencia en las columnas «Cita textual 1–3» de esta misma fila)</t>
        </is>
      </c>
      <c r="AC85" s="8" t="inlineStr">
        <is>
          <t>DECLARADO — (evidencia en las columnas «Cita textual 1–3» de esta misma fila)</t>
        </is>
      </c>
      <c r="AD85" s="7" t="n"/>
      <c r="AE85" s="7" t="n"/>
      <c r="AF85" s="7" t="n"/>
      <c r="AG85" s="7" t="n"/>
      <c r="AH85" s="7" t="n"/>
      <c r="AI85" s="7" t="n"/>
      <c r="AJ85" s="7" t="n"/>
      <c r="AK85" s="7" t="n"/>
      <c r="AL85" s="7" t="n"/>
      <c r="AM85" s="7" t="inlineStr">
        <is>
          <t>Sí</t>
        </is>
      </c>
      <c r="AN85" s="7" t="n"/>
      <c r="AO85" s="7" t="n"/>
      <c r="AP85" s="7" t="n"/>
      <c r="AQ85" s="7" t="inlineStr">
        <is>
          <t>a) Inexistencia / motivación aparente</t>
        </is>
      </c>
      <c r="AR85" s="7" t="inlineStr">
        <is>
          <t>d) Motivación insuficiente</t>
        </is>
      </c>
      <c r="AS85" s="7" t="inlineStr">
        <is>
          <t>Sí</t>
        </is>
      </c>
      <c r="AT85" s="7" t="inlineStr">
        <is>
          <t>«Igualmente, si bien es cierto en la resolución sólo serán expresadas las valoraciones esenciales y determinantes que sustentan la decisión, ello no es óbice para que se dejen de contestar los argumentos de la parte demandada, quien ha alegado expresamente la no existencia de copropiedad indivisa; todo lo cual evidencia que la recurrida no ha sido emitida con el debido estudio de autos, por lo que se puede concluir que ésta ha sido emitida sin una debida motivación sin dar cuenta de razones suficientes que sustenten la decisión, a la luz de lo que se está dilucidando.»</t>
        </is>
      </c>
      <c r="AU85" s="7" t="inlineStr">
        <is>
          <t>d) Motivación insuficiente (sin debido estudio de autos)</t>
        </is>
      </c>
      <c r="AV85" s="7" t="inlineStr">
        <is>
          <t>«Si bien, como ha establecido este Tribunal, no se trata de dar respuestas a cada una de las alegaciones planteadas, la insuficiencia, vista aquí en términos generales, sólo resultará relevante desde una perspectiva constitucional si es que la ausencia de argumentos o la “insuficiencia” de fundamentos resulta manifiesta a la luz de lo que en sustancia se está decidiendo […]”; siendo que para el caso de autos se configura una motivación insuficiente y aparente.»</t>
        </is>
      </c>
      <c r="AW85" s="7" t="inlineStr">
        <is>
          <t>a) + d): etiqueta expresa 'insuficiente y aparente'</t>
        </is>
      </c>
      <c r="AX85" s="7" t="inlineStr">
        <is>
          <t>«En ese entendido, es claro que este Colegiado considera que la nulidad es el último remedio que debe imponerse respecto a la revisión de una decisión judicial, bajo dicha premisa si bien comprende que es posible complementar una decisión judicial que es materia de impugnación, ya sea para confirmar o revocar la misma, sin embargo, ello no es posible particularmente en este caso, debido a que el error en la motivación de la recurrida, vulnera las garantías constitucionales contempladas en los numerales 3) y 5) del artículo 139 de la Constitución Política del Perú de la parte demandada; consecuentemente, en salvaguarda del derecho a la instancia plural de las partes y el derecho de defensa contenidos en los numerales 6) y 14) del artículo 139 de la Constitución, corresponde declarar la nulidad de la recurrida, en mérito al primer párrafo del artículo 171 y artículo 176 in fine del Código Adjetivo (de aplicación supletoria al caso), a fin de que la A quo emita nuevo pronunciamiento de acuerdo a ley y conforme a los antecedentes del proceso.»</t>
        </is>
      </c>
      <c r="AY85" s="7" t="inlineStr">
        <is>
          <t>Efecto: nulidad, vicio insubsanable</t>
        </is>
      </c>
      <c r="AZ85" s="7" t="inlineStr">
        <is>
          <t>Etiqueta expresa: 'motivación insuficiente y aparente'. SV 368-2024-2SC (se conservó por menor año; existe SV 555-2025-2SC posterior).</t>
        </is>
      </c>
      <c r="BA85" s="7" t="inlineStr">
        <is>
          <t>4154 2022 SV 2024.doc</t>
        </is>
      </c>
      <c r="BB85" s="7" t="inlineStr">
        <is>
          <t>Clasificacion_SV_ABR24_Llamoja_defectos</t>
        </is>
      </c>
      <c r="BC85" s="7" t="n">
        <v>1</v>
      </c>
      <c r="BD85" s="7" t="inlineStr">
        <is>
          <t>ABREVIADO</t>
        </is>
      </c>
      <c r="BE85" s="7" t="inlineStr">
        <is>
          <t>NULA</t>
        </is>
      </c>
      <c r="BF85" s="7" t="inlineStr">
        <is>
          <t>AN</t>
        </is>
      </c>
    </row>
    <row r="86" ht="116.25" customHeight="1">
      <c r="A86" s="6" t="n">
        <v>85</v>
      </c>
      <c r="B86" s="6" t="inlineStr">
        <is>
          <t>04275-2015</t>
        </is>
      </c>
      <c r="C86" s="6" t="inlineStr">
        <is>
          <t>04275-2015</t>
        </is>
      </c>
      <c r="D86" s="6" t="inlineStr">
        <is>
          <t>Pre-2019</t>
        </is>
      </c>
      <c r="E86" s="6" t="n"/>
      <c r="F86" s="6" t="inlineStr">
        <is>
          <t>2SC</t>
        </is>
      </c>
      <c r="G86" s="6" t="inlineStr">
        <is>
          <t>SV N° 383-2019-2SC</t>
        </is>
      </c>
      <c r="H86" s="6" t="n"/>
      <c r="I86" s="6" t="inlineStr">
        <is>
          <t>23/07/2019</t>
        </is>
      </c>
      <c r="J86" s="6" t="inlineStr">
        <is>
          <t>2019</t>
        </is>
      </c>
      <c r="K86" s="6" t="n"/>
      <c r="L86" s="6" t="n"/>
      <c r="M86" s="6" t="inlineStr">
        <is>
          <t>Nula</t>
        </is>
      </c>
      <c r="N86" s="6" t="n">
        <v>2</v>
      </c>
      <c r="O86" s="6" t="n">
        <v>2</v>
      </c>
      <c r="P86" s="7" t="n"/>
      <c r="Q86" s="7" t="n"/>
      <c r="R86" s="7" t="n"/>
      <c r="S86" s="7" t="n"/>
      <c r="T86" s="7" t="n"/>
      <c r="U86" s="7" t="n"/>
      <c r="V86" s="7" t="n"/>
      <c r="W86" s="7" t="n"/>
      <c r="X86" s="7" t="n"/>
      <c r="Y86" s="7" t="n"/>
      <c r="Z86" s="7" t="n"/>
      <c r="AA86" s="8" t="inlineStr">
        <is>
          <t>DECLARADO — “…ho objetivos y constatables, pues contiene una decisión que no se sustenta en la valoración o conjunta y razonada de los medios probatorios aportados al proceso, sino en apreciaciones subjetivas, carentes de fundamentación fáctica y jurídica, que impiden que se establezca la verdad jurídica objetiva en el caso concreto; por tanto, se trata de una resolución…”</t>
        </is>
      </c>
      <c r="AB86" s="7" t="n"/>
      <c r="AC86" s="7" t="n"/>
      <c r="AD86" s="7" t="n"/>
      <c r="AE86" s="7" t="n"/>
      <c r="AF86" s="7" t="n"/>
      <c r="AG86" s="7" t="n"/>
      <c r="AH86" s="7" t="n"/>
      <c r="AI86" s="7" t="n"/>
      <c r="AJ86" s="8" t="inlineStr">
        <is>
          <t>DECLARADO — “…al adolecer la sentencia materia de revisión de una indebida motivación, por no sustentarse en elementos fácticos y objetivos se desprende que no resulta acorde con lo actuado en el proceso, por lo que debe ser declarada nula. En conclusión, en mérito a lo expuesto prece…”</t>
        </is>
      </c>
      <c r="AK86" s="7" t="n"/>
      <c r="AL86" s="7" t="n"/>
      <c r="AM86" s="7" t="n"/>
      <c r="AN86" s="7" t="n"/>
      <c r="AO86" s="7" t="n"/>
      <c r="AP86" s="7" t="inlineStr">
        <is>
          <t>Baja D11→— · Migración D15→D21</t>
        </is>
      </c>
      <c r="AQ86" s="7" t="n"/>
      <c r="AR86" s="7" t="n"/>
      <c r="AS86" s="7" t="n"/>
      <c r="AT86" s="7" t="n"/>
      <c r="AU86" s="7" t="n"/>
      <c r="AV86" s="7" t="n"/>
      <c r="AW86" s="7" t="n"/>
      <c r="AX86" s="7" t="n"/>
      <c r="AY86" s="7" t="n"/>
      <c r="AZ86" s="7" t="n"/>
      <c r="BA86" s="7" t="n"/>
      <c r="BB86" s="7" t="inlineStr">
        <is>
          <t>Comparativa_defectos_2018_vs_2024 + Defectos_procesales_SV_CSJA</t>
        </is>
      </c>
      <c r="BC86" s="7" t="n">
        <v>2</v>
      </c>
      <c r="BD86" s="7" t="inlineStr">
        <is>
          <t>CONOCIMIENTO</t>
        </is>
      </c>
      <c r="BE86" s="7" t="inlineStr">
        <is>
          <t>NULA</t>
        </is>
      </c>
      <c r="BF86" s="7" t="inlineStr">
        <is>
          <t>CN</t>
        </is>
      </c>
    </row>
    <row r="87" ht="105.75" customHeight="1">
      <c r="A87" s="6" t="n">
        <v>86</v>
      </c>
      <c r="B87" s="6" t="inlineStr">
        <is>
          <t>04280-2017</t>
        </is>
      </c>
      <c r="C87" s="6" t="inlineStr">
        <is>
          <t>04280-2017</t>
        </is>
      </c>
      <c r="D87" s="6" t="inlineStr">
        <is>
          <t>Pre-2019</t>
        </is>
      </c>
      <c r="E87" s="6" t="n"/>
      <c r="F87" s="6" t="inlineStr">
        <is>
          <t>3SC</t>
        </is>
      </c>
      <c r="G87" s="6" t="inlineStr">
        <is>
          <t>SV N° 157-2019-3SC</t>
        </is>
      </c>
      <c r="H87" s="6" t="n"/>
      <c r="I87" s="6" t="inlineStr">
        <is>
          <t>08/04/2019</t>
        </is>
      </c>
      <c r="J87" s="6" t="inlineStr">
        <is>
          <t>2019</t>
        </is>
      </c>
      <c r="K87" s="6" t="n"/>
      <c r="L87" s="6" t="n"/>
      <c r="M87" s="6" t="inlineStr">
        <is>
          <t>Revocada</t>
        </is>
      </c>
      <c r="N87" s="6" t="n">
        <v>0</v>
      </c>
      <c r="O87" s="6" t="n">
        <v>2</v>
      </c>
      <c r="P87" s="7" t="n"/>
      <c r="Q87" s="7" t="n"/>
      <c r="R87" s="7" t="n"/>
      <c r="S87" s="7" t="n"/>
      <c r="T87" s="7" t="n"/>
      <c r="U87" s="9" t="inlineStr">
        <is>
          <t>ADVERTIDO — “…puntos controvertidos surgen de lo afirmado por una parte y negado por la otra, el juez debió cumplir con señalar como punto controvertido el “Determinar si el contrato de transferencia de dominio del demandante se encuentra caducado o no vigente, así como determinar si la Resolución Gerencial número 323-2016-MPA/GDU/SGAHC, ha sido impugnada y no establece…”</t>
        </is>
      </c>
      <c r="V87" s="7" t="n"/>
      <c r="W87" s="7" t="n"/>
      <c r="X87" s="7" t="n"/>
      <c r="Y87" s="7" t="n"/>
      <c r="Z87" s="7" t="n"/>
      <c r="AA87" s="7" t="n"/>
      <c r="AB87" s="9" t="inlineStr">
        <is>
          <t>ADVERTIDO — “…tencia recurrida, la cuestión a resolver por la Sala Superior, está centrada en determinar si la recurrida adolece de insuficiente motivación, y si los demandantes son propietarios o no del inmueble materia de reivindicación, calidad que los legitimaría para pretender la reivindicación. Segundo.- En cuanto a la motivación insuficiente denu…”</t>
        </is>
      </c>
      <c r="AC87" s="7" t="n"/>
      <c r="AD87" s="7" t="n"/>
      <c r="AE87" s="7" t="n"/>
      <c r="AF87" s="7" t="n"/>
      <c r="AG87" s="7" t="n"/>
      <c r="AH87" s="7" t="n"/>
      <c r="AI87" s="7" t="n"/>
      <c r="AJ87" s="7" t="n"/>
      <c r="AK87" s="7" t="n"/>
      <c r="AL87" s="7" t="n"/>
      <c r="AM87" s="7" t="n"/>
      <c r="AN87" s="7" t="n"/>
      <c r="AO87" s="7" t="inlineStr">
        <is>
          <t>D13: la cita delimita el objeto de la apelación («la cuestión a resolver está centrada en determinar si la recurrida adolece de insuficiente motivación»), no el hallazgo. Sustituir por el considerando conclusivo.</t>
        </is>
      </c>
      <c r="AP87" s="7" t="inlineStr">
        <is>
          <t>Reclasificación de estatus —→ADV</t>
        </is>
      </c>
      <c r="AQ87" s="7" t="n"/>
      <c r="AR87" s="7" t="n"/>
      <c r="AS87" s="7" t="n"/>
      <c r="AT87" s="7" t="n"/>
      <c r="AU87" s="7" t="n"/>
      <c r="AV87" s="7" t="n"/>
      <c r="AW87" s="7" t="n"/>
      <c r="AX87" s="7" t="n"/>
      <c r="AY87" s="7" t="n"/>
      <c r="AZ87" s="7" t="n"/>
      <c r="BA87" s="7" t="n"/>
      <c r="BB87" s="7" t="inlineStr">
        <is>
          <t>Comparativa_defectos_2018_vs_2024 + Defectos_procesales_SV_CSJA</t>
        </is>
      </c>
      <c r="BC87" s="7" t="n">
        <v>2</v>
      </c>
      <c r="BD87" s="7" t="inlineStr">
        <is>
          <t>CONOCIMIENTO</t>
        </is>
      </c>
      <c r="BE87" s="7" t="inlineStr">
        <is>
          <t>REVOCADA</t>
        </is>
      </c>
      <c r="BF87" s="7" t="inlineStr">
        <is>
          <t>CR</t>
        </is>
      </c>
    </row>
    <row r="88" ht="32.25" customHeight="1">
      <c r="A88" s="6" t="n">
        <v>87</v>
      </c>
      <c r="B88" s="6" t="inlineStr">
        <is>
          <t>04352-2014</t>
        </is>
      </c>
      <c r="C88" s="6" t="inlineStr">
        <is>
          <t>04352-2014</t>
        </is>
      </c>
      <c r="D88" s="6" t="inlineStr">
        <is>
          <t>Pre-2019</t>
        </is>
      </c>
      <c r="E88" s="6" t="n"/>
      <c r="F88" s="6" t="inlineStr">
        <is>
          <t>1SC</t>
        </is>
      </c>
      <c r="G88" s="6" t="inlineStr">
        <is>
          <t>SV N° 385-2018-1SC</t>
        </is>
      </c>
      <c r="H88" s="6" t="n"/>
      <c r="I88" s="6" t="inlineStr">
        <is>
          <t>01/08/2018</t>
        </is>
      </c>
      <c r="J88" s="6" t="inlineStr">
        <is>
          <t>2018</t>
        </is>
      </c>
      <c r="K88" s="6" t="n"/>
      <c r="L88" s="6" t="n"/>
      <c r="M88" s="6" t="inlineStr">
        <is>
          <t>Revocada</t>
        </is>
      </c>
      <c r="N88" s="6" t="n">
        <v>0</v>
      </c>
      <c r="O88" s="6" t="n">
        <v>0</v>
      </c>
      <c r="P88" s="7" t="n"/>
      <c r="Q88" s="7" t="n"/>
      <c r="R88" s="7" t="n"/>
      <c r="S88" s="7" t="n"/>
      <c r="T88" s="7" t="n"/>
      <c r="U88" s="7" t="n"/>
      <c r="V88" s="7" t="n"/>
      <c r="W88" s="7" t="n"/>
      <c r="X88" s="7" t="n"/>
      <c r="Y88" s="7" t="n"/>
      <c r="Z88" s="7" t="n"/>
      <c r="AA88" s="7" t="n"/>
      <c r="AB88" s="7" t="n"/>
      <c r="AC88" s="7" t="n"/>
      <c r="AD88" s="7" t="n"/>
      <c r="AE88" s="7" t="n"/>
      <c r="AF88" s="7" t="n"/>
      <c r="AG88" s="7" t="n"/>
      <c r="AH88" s="7" t="n"/>
      <c r="AI88" s="7" t="n"/>
      <c r="AJ88" s="7" t="n"/>
      <c r="AK88" s="7" t="n"/>
      <c r="AL88" s="7" t="n"/>
      <c r="AM88" s="7" t="n"/>
      <c r="AN88" s="7" t="n"/>
      <c r="AO88" s="7" t="n"/>
      <c r="AP88" s="7" t="n"/>
      <c r="AQ88" s="7" t="n"/>
      <c r="AR88" s="7" t="n"/>
      <c r="AS88" s="7" t="n"/>
      <c r="AT88" s="7" t="n"/>
      <c r="AU88" s="7" t="n"/>
      <c r="AV88" s="7" t="n"/>
      <c r="AW88" s="7" t="n"/>
      <c r="AX88" s="7" t="n"/>
      <c r="AY88" s="7" t="n"/>
      <c r="AZ88" s="7" t="n"/>
      <c r="BA88" s="7" t="n"/>
      <c r="BB88" s="7" t="inlineStr">
        <is>
          <t>Comparativa_defectos_2018_vs_2024 + Defectos_procesales_SV_CSJA</t>
        </is>
      </c>
      <c r="BC88" s="7" t="n">
        <v>2</v>
      </c>
      <c r="BD88" s="7" t="inlineStr">
        <is>
          <t>CONOCIMIENTO</t>
        </is>
      </c>
      <c r="BE88" s="7" t="inlineStr">
        <is>
          <t>REVOCADA</t>
        </is>
      </c>
      <c r="BF88" s="7" t="inlineStr">
        <is>
          <t>CR</t>
        </is>
      </c>
    </row>
    <row r="89" ht="63.75" customHeight="1">
      <c r="A89" s="6" t="n">
        <v>88</v>
      </c>
      <c r="B89" s="6" t="inlineStr">
        <is>
          <t>04370-2022</t>
        </is>
      </c>
      <c r="C89" s="6" t="inlineStr">
        <is>
          <t>04370-2022-0-0401-JR-CI-05</t>
        </is>
      </c>
      <c r="D89" s="6" t="inlineStr">
        <is>
          <t>Matriz sumarísimos — grupo 2024</t>
        </is>
      </c>
      <c r="E89" s="6" t="inlineStr">
        <is>
          <t>Ineficacia de acto jurídico</t>
        </is>
      </c>
      <c r="F89" s="6" t="inlineStr">
        <is>
          <t>3SC</t>
        </is>
      </c>
      <c r="G89" s="6" t="inlineStr">
        <is>
          <t>SV 306-2024-3SC</t>
        </is>
      </c>
      <c r="H89" s="6" t="inlineStr">
        <is>
          <t>Res. 24 (cinco)</t>
        </is>
      </c>
      <c r="I89" s="6" t="inlineStr">
        <is>
          <t>16/08/2024</t>
        </is>
      </c>
      <c r="J89" s="6" t="inlineStr">
        <is>
          <t>2024</t>
        </is>
      </c>
      <c r="K89" s="6" t="inlineStr">
        <is>
          <t>Ronald Valencia de Romaña</t>
        </is>
      </c>
      <c r="L89" s="6" t="n"/>
      <c r="M89" s="6" t="inlineStr">
        <is>
          <t>NULA E INSUBSISTENTE (reenvío)</t>
        </is>
      </c>
      <c r="N89" s="6" t="n">
        <v>1</v>
      </c>
      <c r="O89" s="6" t="n">
        <v>2</v>
      </c>
      <c r="P89" s="7" t="n"/>
      <c r="Q89" s="9" t="inlineStr">
        <is>
          <t>DERIVADO — «dejando en estado de indefensión al indicado esposo, atentando contra el derecho de defensa, el contradictorio y debido proceso»; «habiéndose infringido las reglas del derecho al debido proceso»</t>
        </is>
      </c>
      <c r="R89" s="8" t="inlineStr">
        <is>
          <t>DECLARADO — «disponer que el Juez a quo integre a la relación procesal a los herederos de quien fue Máximo Lucas Diaz Rojas»</t>
        </is>
      </c>
      <c r="S89" s="7" t="n"/>
      <c r="T89" s="7" t="n"/>
      <c r="U89" s="7" t="n"/>
      <c r="V89" s="7" t="n"/>
      <c r="W89" s="7" t="n"/>
      <c r="X89" s="7" t="n"/>
      <c r="Y89" s="7" t="n"/>
      <c r="Z89" s="7" t="n"/>
      <c r="AA89" s="7" t="n"/>
      <c r="AB89" s="7" t="n"/>
      <c r="AC89" s="7" t="n"/>
      <c r="AD89" s="7" t="n"/>
      <c r="AE89" s="7" t="n"/>
      <c r="AF89" s="7" t="n"/>
      <c r="AG89" s="7" t="n"/>
      <c r="AH89" s="7" t="n"/>
      <c r="AI89" s="7" t="n"/>
      <c r="AJ89" s="7" t="n"/>
      <c r="AK89" s="7" t="n"/>
      <c r="AL89" s="7" t="n"/>
      <c r="AM89" s="7" t="n"/>
      <c r="AN89" s="7" t="n"/>
      <c r="AO89" s="7" t="n"/>
      <c r="AP89" s="7" t="inlineStr">
        <is>
          <t>Baja D01→— · Baja D20→— · Reclasificación de estatus D02→D02 (derivado)</t>
        </is>
      </c>
      <c r="AQ89" s="7" t="n"/>
      <c r="AR89" s="7" t="n"/>
      <c r="AS89" s="7" t="n"/>
      <c r="AT89" s="7" t="n"/>
      <c r="AU89" s="7" t="n"/>
      <c r="AV89" s="7" t="n"/>
      <c r="AW89" s="7" t="n"/>
      <c r="AX89" s="7" t="n"/>
      <c r="AY89" s="7" t="n"/>
      <c r="AZ89" s="7" t="inlineStr">
        <is>
          <t>Litisconsorcio necesario pasivo (arts. 93, 95 y 96 CPC): no se integró a los herederos del cotransferente fallecido.</t>
        </is>
      </c>
      <c r="BA89" s="7" t="n"/>
      <c r="BB89" s="7" t="inlineStr">
        <is>
          <t>Matriz_defectos_procesales_1ra_SV</t>
        </is>
      </c>
      <c r="BC89" s="7" t="n">
        <v>1</v>
      </c>
      <c r="BD89" s="7" t="inlineStr">
        <is>
          <t>SUMARISIMO</t>
        </is>
      </c>
      <c r="BE89" s="7" t="inlineStr">
        <is>
          <t>NULA</t>
        </is>
      </c>
      <c r="BF89" s="7" t="inlineStr">
        <is>
          <t>SN</t>
        </is>
      </c>
    </row>
    <row r="90" ht="116.25" customHeight="1">
      <c r="A90" s="6" t="n">
        <v>89</v>
      </c>
      <c r="B90" s="6" t="inlineStr">
        <is>
          <t>04393-2023</t>
        </is>
      </c>
      <c r="C90" s="6" t="inlineStr">
        <is>
          <t>04393-2023-0-0401-JR-CI-07</t>
        </is>
      </c>
      <c r="D90" s="6" t="inlineStr">
        <is>
          <t>Llamoja — SV de control (2021-2023)</t>
        </is>
      </c>
      <c r="E90" s="6" t="inlineStr">
        <is>
          <t>Indemnización (Rímac)</t>
        </is>
      </c>
      <c r="F90" s="6" t="inlineStr">
        <is>
          <t>3SC</t>
        </is>
      </c>
      <c r="G90" s="6" t="inlineStr">
        <is>
          <t>258-2025-3SC</t>
        </is>
      </c>
      <c r="H90" s="6" t="inlineStr">
        <is>
          <t>25</t>
        </is>
      </c>
      <c r="I90" s="6" t="inlineStr">
        <is>
          <t>dos mil veinticinco, Junio veinte</t>
        </is>
      </c>
      <c r="J90" s="6" t="inlineStr">
        <is>
          <t>2025</t>
        </is>
      </c>
      <c r="K90" s="6" t="n"/>
      <c r="L90" s="6" t="inlineStr">
        <is>
          <t>Burga Cervantes</t>
        </is>
      </c>
      <c r="M90" s="6" t="inlineStr">
        <is>
          <t>REVOCA → FUNDADA EN PARTE</t>
        </is>
      </c>
      <c r="N90" s="6" t="n">
        <v>0</v>
      </c>
      <c r="O90" s="6" t="n">
        <v>0</v>
      </c>
      <c r="P90" s="7" t="n"/>
      <c r="Q90" s="7" t="n"/>
      <c r="R90" s="7" t="n"/>
      <c r="S90" s="7" t="n"/>
      <c r="T90" s="7" t="n"/>
      <c r="U90" s="7" t="n"/>
      <c r="V90" s="7" t="n"/>
      <c r="W90" s="7" t="n"/>
      <c r="X90" s="7" t="n"/>
      <c r="Y90" s="7" t="n"/>
      <c r="Z90" s="7" t="n"/>
      <c r="AA90" s="7" t="n"/>
      <c r="AB90" s="7" t="n"/>
      <c r="AC90" s="7" t="n"/>
      <c r="AD90" s="7" t="n"/>
      <c r="AE90" s="7" t="n"/>
      <c r="AF90" s="7" t="n"/>
      <c r="AG90" s="7" t="n"/>
      <c r="AH90" s="7" t="n"/>
      <c r="AI90" s="7" t="n"/>
      <c r="AJ90" s="7" t="n"/>
      <c r="AK90" s="7" t="n"/>
      <c r="AL90" s="7" t="n"/>
      <c r="AM90" s="7" t="n"/>
      <c r="AN90" s="7" t="n"/>
      <c r="AO90" s="7" t="n"/>
      <c r="AP90" s="7" t="n"/>
      <c r="AQ90" s="7" t="inlineStr">
        <is>
          <t>— Sin vicio de motivación como causal</t>
        </is>
      </c>
      <c r="AR90" s="7" t="n"/>
      <c r="AS90" s="7" t="inlineStr">
        <is>
          <t>No</t>
        </is>
      </c>
      <c r="AT90" s="7" t="inlineStr">
        <is>
          <t>«Fundamentos por los cuales, REVOCARON la Sentencia número ciento treinta y seis-dos mil veinticuatro de fecha nueve de octubre de dos mil veinticuatro, de fojas trescientos cinco y siguientes, que resuelve declarar infundada la demanda de indemnización de daños y perjuicios, interpuesta por Máximo Arivilca Bedoya en contra de RIMAC SEGUROS Y REASEGUROS.»</t>
        </is>
      </c>
      <c r="AU90" s="7" t="inlineStr">
        <is>
          <t>Error de juicio: revoca y reforma</t>
        </is>
      </c>
      <c r="AV90" s="7" t="inlineStr">
        <is>
          <t>«Se dispone la conclusión y archivo del presente proceso (…); en consecuencia, REFORMÁNDOLA Declararon: 1) Fundada en parte la demanda de indemnización por responsabilidad civil contractual interpuesta por Máximo Arivilca Bedoya, en contra de RIMAC SEGUROS Y REASEGUROS; en consecuencia se Ordena que la demandada pague al demandante la suma de S/ 20 000.00 (Veinte mil con 00/100 soles) por concepto de indemnización de daño moral; pago que se efectuara en el término de diez días de consentida o ejecutoriada a presente, bajo apercibimiento de iniciarse ejecución forzada; más los intereses leales que serán calculado en ejecución de sentencia.»</t>
        </is>
      </c>
      <c r="AW90" s="7" t="inlineStr">
        <is>
          <t>Fallo reformado (fundada en parte)</t>
        </is>
      </c>
      <c r="AX90" s="7" t="n"/>
      <c r="AY90" s="7" t="n"/>
      <c r="AZ90" s="7" t="inlineStr">
        <is>
          <t>Error de juicio; sin anulación.</t>
        </is>
      </c>
      <c r="BA90" s="7" t="inlineStr">
        <is>
          <t>4393 2023 SV.doc</t>
        </is>
      </c>
      <c r="BB90" s="7" t="inlineStr">
        <is>
          <t>Clasificacion_SV_ABR24_Llamoja_defectos</t>
        </is>
      </c>
      <c r="BC90" s="7" t="n">
        <v>1</v>
      </c>
      <c r="BD90" s="7" t="inlineStr">
        <is>
          <t>ABREVIADO</t>
        </is>
      </c>
      <c r="BE90" s="7" t="inlineStr">
        <is>
          <t>REVOCADA</t>
        </is>
      </c>
      <c r="BF90" s="7" t="inlineStr">
        <is>
          <t>AR</t>
        </is>
      </c>
    </row>
    <row r="91" ht="53.25" customHeight="1">
      <c r="A91" s="6" t="n">
        <v>90</v>
      </c>
      <c r="B91" s="6" t="inlineStr">
        <is>
          <t>04414-2023</t>
        </is>
      </c>
      <c r="C91" s="6" t="inlineStr">
        <is>
          <t>04414-2023-0-0401-JR-CI-08</t>
        </is>
      </c>
      <c r="D91" s="6" t="inlineStr">
        <is>
          <t>Matriz sumarísimos — grupo 2024</t>
        </is>
      </c>
      <c r="E91" s="6" t="inlineStr">
        <is>
          <t>Otorgamiento de escritura pública</t>
        </is>
      </c>
      <c r="F91" s="6" t="inlineStr">
        <is>
          <t>2SC</t>
        </is>
      </c>
      <c r="G91" s="6" t="inlineStr">
        <is>
          <t>SV 508-2025-2SC</t>
        </is>
      </c>
      <c r="H91" s="6" t="inlineStr">
        <is>
          <t>Res. 29 (nueve-2SC)</t>
        </is>
      </c>
      <c r="I91" s="6" t="inlineStr">
        <is>
          <t>17/10/2025</t>
        </is>
      </c>
      <c r="J91" s="6" t="inlineStr">
        <is>
          <t>2025</t>
        </is>
      </c>
      <c r="K91" s="6" t="inlineStr">
        <is>
          <t>Omar del Carpio Medina</t>
        </is>
      </c>
      <c r="L91" s="6" t="n"/>
      <c r="M91" s="6" t="inlineStr">
        <is>
          <t>NULA (reenvío)</t>
        </is>
      </c>
      <c r="N91" s="6" t="n">
        <v>1</v>
      </c>
      <c r="O91" s="6" t="n">
        <v>1</v>
      </c>
      <c r="P91" s="7" t="n"/>
      <c r="Q91" s="7" t="n"/>
      <c r="R91" s="7" t="n"/>
      <c r="S91" s="7" t="n"/>
      <c r="T91" s="7" t="n"/>
      <c r="U91" s="7" t="n"/>
      <c r="V91" s="7" t="n"/>
      <c r="W91" s="7" t="n"/>
      <c r="X91" s="7" t="n"/>
      <c r="Y91" s="7" t="n"/>
      <c r="Z91" s="7" t="n"/>
      <c r="AA91" s="7" t="n"/>
      <c r="AB91" s="7" t="n"/>
      <c r="AC91" s="7" t="n"/>
      <c r="AD91" s="7" t="n"/>
      <c r="AE91" s="7" t="n"/>
      <c r="AF91" s="7" t="n"/>
      <c r="AG91" s="7" t="n"/>
      <c r="AH91" s="7" t="n"/>
      <c r="AI91" s="7" t="n"/>
      <c r="AJ91" s="7" t="n"/>
      <c r="AK91" s="8" t="inlineStr">
        <is>
          <t>DECLARADO — «nulo todo lo actuado, debiendo retrotraerse el proceso hasta la notificación con la demanda y actuados pertinentes a José Antonio García Nieto»</t>
        </is>
      </c>
      <c r="AL91" s="7" t="n"/>
      <c r="AM91" s="7" t="n"/>
      <c r="AN91" s="7" t="n"/>
      <c r="AO91" s="7" t="n"/>
      <c r="AP91" s="7" t="inlineStr">
        <is>
          <t>Migración D01→D22 · Baja D02→— · Baja D20→—</t>
        </is>
      </c>
      <c r="AQ91" s="7" t="n"/>
      <c r="AR91" s="7" t="n"/>
      <c r="AS91" s="7" t="n"/>
      <c r="AT91" s="7" t="n"/>
      <c r="AU91" s="7" t="n"/>
      <c r="AV91" s="7" t="n"/>
      <c r="AW91" s="7" t="n"/>
      <c r="AX91" s="7" t="n"/>
      <c r="AY91" s="7" t="n"/>
      <c r="AZ91" s="7" t="inlineStr">
        <is>
          <t>Nulidad refleja del auto de saneamiento anulado por el Auto de Vista precedente; la SV queda sin objeto respecto de los agravios de fondo.</t>
        </is>
      </c>
      <c r="BA91" s="7" t="n"/>
      <c r="BB91" s="7" t="inlineStr">
        <is>
          <t>Matriz_defectos_procesales_1ra_SV</t>
        </is>
      </c>
      <c r="BC91" s="7" t="n">
        <v>1</v>
      </c>
      <c r="BD91" s="7" t="inlineStr">
        <is>
          <t>SUMARISIMO</t>
        </is>
      </c>
      <c r="BE91" s="7" t="inlineStr">
        <is>
          <t>NULA</t>
        </is>
      </c>
      <c r="BF91" s="7" t="inlineStr">
        <is>
          <t>SN</t>
        </is>
      </c>
    </row>
    <row r="92" ht="95.25" customHeight="1">
      <c r="A92" s="6" t="n">
        <v>91</v>
      </c>
      <c r="B92" s="6" t="inlineStr">
        <is>
          <t>04420-2015</t>
        </is>
      </c>
      <c r="C92" s="6" t="inlineStr">
        <is>
          <t>04420-2015</t>
        </is>
      </c>
      <c r="D92" s="6" t="inlineStr">
        <is>
          <t>Pre-2019</t>
        </is>
      </c>
      <c r="E92" s="6" t="n"/>
      <c r="F92" s="6" t="inlineStr">
        <is>
          <t>2SC</t>
        </is>
      </c>
      <c r="G92" s="6" t="inlineStr">
        <is>
          <t>SV N° 515-2018-2SC</t>
        </is>
      </c>
      <c r="H92" s="6" t="n"/>
      <c r="I92" s="6" t="inlineStr">
        <is>
          <t>27/09/2018</t>
        </is>
      </c>
      <c r="J92" s="6" t="inlineStr">
        <is>
          <t>2018</t>
        </is>
      </c>
      <c r="K92" s="6" t="n"/>
      <c r="L92" s="6" t="n"/>
      <c r="M92" s="6" t="inlineStr">
        <is>
          <t>Nula</t>
        </is>
      </c>
      <c r="N92" s="6" t="n">
        <v>1</v>
      </c>
      <c r="O92" s="6" t="n">
        <v>1</v>
      </c>
      <c r="P92" s="7" t="n"/>
      <c r="Q92" s="7" t="n"/>
      <c r="R92" s="7" t="n"/>
      <c r="S92" s="7" t="n"/>
      <c r="T92" s="7" t="n"/>
      <c r="U92" s="7" t="n"/>
      <c r="V92" s="7" t="n"/>
      <c r="W92" s="7" t="n"/>
      <c r="X92" s="7" t="n"/>
      <c r="Y92" s="7" t="n"/>
      <c r="Z92" s="7" t="n"/>
      <c r="AA92" s="7" t="n"/>
      <c r="AB92" s="7" t="n"/>
      <c r="AC92" s="7" t="n"/>
      <c r="AD92" s="7" t="n"/>
      <c r="AE92" s="8" t="inlineStr">
        <is>
          <t>DECLARADO — “…al haberse emitido pronunciamiento incongruente con el petitorio de la demanda, genera la nulidad de la impugnada en el extremo que indebidamente se pronuncia por la nulidad de un acto jurídico -no peticionado-, debiendo declararse así de conformidad con el artículo 139° inciso 5 de la Constitució…”</t>
        </is>
      </c>
      <c r="AF92" s="7" t="n"/>
      <c r="AG92" s="7" t="n"/>
      <c r="AH92" s="7" t="n"/>
      <c r="AI92" s="7" t="n"/>
      <c r="AJ92" s="7" t="n"/>
      <c r="AK92" s="7" t="n"/>
      <c r="AL92" s="7" t="n"/>
      <c r="AM92" s="7" t="n"/>
      <c r="AN92" s="7" t="n"/>
      <c r="AO92" s="7" t="n"/>
      <c r="AP92" s="7" t="n"/>
      <c r="AQ92" s="7" t="n"/>
      <c r="AR92" s="7" t="n"/>
      <c r="AS92" s="7" t="n"/>
      <c r="AT92" s="7" t="n"/>
      <c r="AU92" s="7" t="n"/>
      <c r="AV92" s="7" t="n"/>
      <c r="AW92" s="7" t="n"/>
      <c r="AX92" s="7" t="n"/>
      <c r="AY92" s="7" t="n"/>
      <c r="AZ92" s="7" t="n"/>
      <c r="BA92" s="7" t="n"/>
      <c r="BB92" s="7" t="inlineStr">
        <is>
          <t>Comparativa_defectos_2018_vs_2024 + Defectos_procesales_SV_CSJA</t>
        </is>
      </c>
      <c r="BC92" s="7" t="n">
        <v>2</v>
      </c>
      <c r="BD92" s="7" t="inlineStr">
        <is>
          <t>CONOCIMIENTO</t>
        </is>
      </c>
      <c r="BE92" s="7" t="inlineStr">
        <is>
          <t>NULA</t>
        </is>
      </c>
      <c r="BF92" s="7" t="inlineStr">
        <is>
          <t>CN</t>
        </is>
      </c>
    </row>
    <row r="93" ht="63.75" customHeight="1">
      <c r="A93" s="6" t="n">
        <v>92</v>
      </c>
      <c r="B93" s="6" t="inlineStr">
        <is>
          <t>04428-2022</t>
        </is>
      </c>
      <c r="C93" s="6" t="inlineStr">
        <is>
          <t>04428-2022-0-0401-JR-CI-03</t>
        </is>
      </c>
      <c r="D93" s="6" t="inlineStr">
        <is>
          <t>Matriz sumarísimos — grupo 2024</t>
        </is>
      </c>
      <c r="E93" s="6" t="inlineStr">
        <is>
          <t>Otorgamiento de escritura pública</t>
        </is>
      </c>
      <c r="F93" s="6" t="inlineStr">
        <is>
          <t>1SC</t>
        </is>
      </c>
      <c r="G93" s="6" t="inlineStr">
        <is>
          <t>SV 508-2024-1SC</t>
        </is>
      </c>
      <c r="H93" s="6" t="inlineStr">
        <is>
          <t>Res. 34 (doce-1SC)</t>
        </is>
      </c>
      <c r="I93" s="6" t="inlineStr">
        <is>
          <t>22/10/2024</t>
        </is>
      </c>
      <c r="J93" s="6" t="inlineStr">
        <is>
          <t>2024</t>
        </is>
      </c>
      <c r="K93" s="6" t="inlineStr">
        <is>
          <t>Zoilo Alcides Chávez Mamani</t>
        </is>
      </c>
      <c r="L93" s="6" t="n"/>
      <c r="M93" s="6" t="inlineStr">
        <is>
          <t>REVOCADA → FUNDADA (con voto en discordia)</t>
        </is>
      </c>
      <c r="N93" s="6" t="n">
        <v>0</v>
      </c>
      <c r="O93" s="6" t="n">
        <v>1</v>
      </c>
      <c r="P93" s="7" t="n"/>
      <c r="Q93" s="7" t="n"/>
      <c r="R93" s="7" t="n"/>
      <c r="S93" s="7" t="n"/>
      <c r="T93" s="7" t="n"/>
      <c r="U93" s="7" t="n"/>
      <c r="V93" s="7" t="n"/>
      <c r="W93" s="7" t="n"/>
      <c r="X93" s="7" t="n"/>
      <c r="Y93" s="7" t="n"/>
      <c r="Z93" s="7" t="n"/>
      <c r="AA93" s="9" t="inlineStr">
        <is>
          <t>ADVERTIDO — «La demandada, por su parte ha manifestado que sus causantes le dijeron que no les habían cancelado el precio, afirmación que carece de medio probatorio, pero ha sido validada por el juez»</t>
        </is>
      </c>
      <c r="AB93" s="7" t="n"/>
      <c r="AC93" s="7" t="n"/>
      <c r="AD93" s="7" t="n"/>
      <c r="AE93" s="7" t="n"/>
      <c r="AF93" s="7" t="n"/>
      <c r="AG93" s="7" t="n"/>
      <c r="AH93" s="7" t="n"/>
      <c r="AI93" s="7" t="n"/>
      <c r="AJ93" s="7" t="n"/>
      <c r="AK93" s="7" t="n"/>
      <c r="AL93" s="7" t="n"/>
      <c r="AM93" s="7" t="n"/>
      <c r="AN93" s="7" t="n"/>
      <c r="AO93" s="7" t="n"/>
      <c r="AP93" s="7" t="n"/>
      <c r="AQ93" s="7" t="n"/>
      <c r="AR93" s="7" t="n"/>
      <c r="AS93" s="7" t="n"/>
      <c r="AT93" s="7" t="n"/>
      <c r="AU93" s="7" t="n"/>
      <c r="AV93" s="7" t="n"/>
      <c r="AW93" s="7" t="n"/>
      <c r="AX93" s="7" t="n"/>
      <c r="AY93" s="7" t="n"/>
      <c r="AZ93" s="7" t="inlineStr">
        <is>
          <t>Distribución defectuosa de la carga probatoria (art. 196 CPC) y confusión entre fe notarial del pago y pago mismo. Voto en discordia (Madariaga Condori) por confirmar.</t>
        </is>
      </c>
      <c r="BA93" s="7" t="n"/>
      <c r="BB93" s="7" t="inlineStr">
        <is>
          <t>Matriz_defectos_procesales_1ra_SV</t>
        </is>
      </c>
      <c r="BC93" s="7" t="n">
        <v>1</v>
      </c>
      <c r="BD93" s="7" t="inlineStr">
        <is>
          <t>SUMARISIMO</t>
        </is>
      </c>
      <c r="BE93" s="7" t="inlineStr">
        <is>
          <t>REVOCADA</t>
        </is>
      </c>
      <c r="BF93" s="7" t="inlineStr">
        <is>
          <t>SR</t>
        </is>
      </c>
    </row>
    <row r="94" ht="53.25" customHeight="1">
      <c r="A94" s="6" t="n">
        <v>93</v>
      </c>
      <c r="B94" s="6" t="inlineStr">
        <is>
          <t>04492-2023</t>
        </is>
      </c>
      <c r="C94" s="6" t="inlineStr">
        <is>
          <t>04492-2023-0-0401-JR-CI-06</t>
        </is>
      </c>
      <c r="D94" s="6" t="inlineStr">
        <is>
          <t>Llamoja — SV de control (2021-2023)</t>
        </is>
      </c>
      <c r="E94" s="6" t="inlineStr">
        <is>
          <t>Indemnización (ONP)</t>
        </is>
      </c>
      <c r="F94" s="6" t="inlineStr">
        <is>
          <t>2SC</t>
        </is>
      </c>
      <c r="G94" s="6" t="inlineStr">
        <is>
          <t>219-2025-2SC</t>
        </is>
      </c>
      <c r="H94" s="6" t="inlineStr">
        <is>
          <t>16</t>
        </is>
      </c>
      <c r="I94" s="6" t="inlineStr">
        <is>
          <t>dos mil veinticinco, Mayo quince</t>
        </is>
      </c>
      <c r="J94" s="6" t="inlineStr">
        <is>
          <t>2025</t>
        </is>
      </c>
      <c r="K94" s="6" t="n"/>
      <c r="L94" s="6" t="inlineStr">
        <is>
          <t>de la Cuba Chirinos</t>
        </is>
      </c>
      <c r="M94" s="6" t="inlineStr">
        <is>
          <t>NULA</t>
        </is>
      </c>
      <c r="N94" s="6" t="n">
        <v>2</v>
      </c>
      <c r="O94" s="6" t="n">
        <v>2</v>
      </c>
      <c r="P94" s="7" t="n"/>
      <c r="Q94" s="7" t="n"/>
      <c r="R94" s="7" t="n"/>
      <c r="S94" s="7" t="n"/>
      <c r="T94" s="7" t="n"/>
      <c r="U94" s="7" t="n"/>
      <c r="V94" s="7" t="n"/>
      <c r="W94" s="7" t="n"/>
      <c r="X94" s="7" t="n"/>
      <c r="Y94" s="7" t="n"/>
      <c r="Z94" s="7" t="n"/>
      <c r="AA94" s="7" t="n"/>
      <c r="AB94" s="7" t="n"/>
      <c r="AC94" s="7" t="n"/>
      <c r="AD94" s="8" t="inlineStr">
        <is>
          <t>DECLARADO — (evidencia en las columnas «Cita textual 1–3» de esta misma fila)</t>
        </is>
      </c>
      <c r="AE94" s="8" t="inlineStr">
        <is>
          <t>DECLARADO — (evidencia en las columnas «Cita textual 1–3» de esta misma fila)</t>
        </is>
      </c>
      <c r="AF94" s="7" t="n"/>
      <c r="AG94" s="7" t="n"/>
      <c r="AH94" s="7" t="n"/>
      <c r="AI94" s="7" t="n"/>
      <c r="AJ94" s="7" t="n"/>
      <c r="AK94" s="7" t="n"/>
      <c r="AL94" s="7" t="n"/>
      <c r="AM94" s="7" t="inlineStr">
        <is>
          <t>Sí</t>
        </is>
      </c>
      <c r="AN94" s="7" t="n"/>
      <c r="AO94" s="7" t="n"/>
      <c r="AP94" s="7" t="n"/>
      <c r="AQ94" s="7" t="inlineStr">
        <is>
          <t>b) Falta de motivación interna</t>
        </is>
      </c>
      <c r="AR94" s="7" t="inlineStr">
        <is>
          <t>e) Motivación sustancialmente incongruente</t>
        </is>
      </c>
      <c r="AS94" s="7" t="inlineStr">
        <is>
          <t>Sí</t>
        </is>
      </c>
      <c r="AT94" s="7" t="inlineStr">
        <is>
          <t>«Lo anterior denota una incongruencia procesal de lo sustentado en la demanda como la normativa empleada en la sentencia apelada.»</t>
        </is>
      </c>
      <c r="AU94" s="7" t="inlineStr">
        <is>
          <t>e) Incongruencia procesal (norma aplicada vs. demanda)</t>
        </is>
      </c>
      <c r="AV94" s="7" t="inlineStr">
        <is>
          <t>«Por lo que, al no haber analizado la relación jurídica entre la parte demandante y la Oficina de Normalización Previsional y aplicado la normativa correcta, se han configurado vicios en la motivación de la sentencia apelada, que afectan a su razonamiento interno.»</t>
        </is>
      </c>
      <c r="AW94" s="7" t="inlineStr">
        <is>
          <t>b) Defecto interno de motivación</t>
        </is>
      </c>
      <c r="AX94" s="7" t="inlineStr">
        <is>
          <t>«En tal virtud, esta instancia superior no puede subsanar los referidos vicios de motivación, al tratarse de defectos graves e insubsanables.»</t>
        </is>
      </c>
      <c r="AY94" s="7" t="inlineStr">
        <is>
          <t>Efecto: vicio insubsanable, no subsanable en 2.ª instancia</t>
        </is>
      </c>
      <c r="AZ94" s="7" t="inlineStr">
        <is>
          <t>La Sala: 'vicios en la motivación... que afectan a su razonamiento interno'; normativa aplicada incongruente con la relación jurídica demandada.</t>
        </is>
      </c>
      <c r="BA94" s="7" t="inlineStr">
        <is>
          <t>4492 2023 SV 2025.doc</t>
        </is>
      </c>
      <c r="BB94" s="7" t="inlineStr">
        <is>
          <t>Clasificacion_SV_ABR24_Llamoja_defectos</t>
        </is>
      </c>
      <c r="BC94" s="7" t="n">
        <v>1</v>
      </c>
      <c r="BD94" s="7" t="inlineStr">
        <is>
          <t>ABREVIADO</t>
        </is>
      </c>
      <c r="BE94" s="7" t="inlineStr">
        <is>
          <t>NULA</t>
        </is>
      </c>
      <c r="BF94" s="7" t="inlineStr">
        <is>
          <t>AN</t>
        </is>
      </c>
    </row>
    <row r="95" ht="32.25" customHeight="1">
      <c r="A95" s="6" t="n">
        <v>94</v>
      </c>
      <c r="B95" s="6" t="inlineStr">
        <is>
          <t>04528-2010</t>
        </is>
      </c>
      <c r="C95" s="6" t="inlineStr">
        <is>
          <t>04528-2010</t>
        </is>
      </c>
      <c r="D95" s="6" t="inlineStr">
        <is>
          <t>Pre-2019</t>
        </is>
      </c>
      <c r="E95" s="6" t="n"/>
      <c r="F95" s="6" t="inlineStr">
        <is>
          <t>1SC</t>
        </is>
      </c>
      <c r="G95" s="6" t="inlineStr">
        <is>
          <t>SV N° 457-2018-1SC</t>
        </is>
      </c>
      <c r="H95" s="6" t="n"/>
      <c r="I95" s="6" t="inlineStr">
        <is>
          <t>12/09/2018</t>
        </is>
      </c>
      <c r="J95" s="6" t="inlineStr">
        <is>
          <t>2018</t>
        </is>
      </c>
      <c r="K95" s="6" t="n"/>
      <c r="L95" s="6" t="n"/>
      <c r="M95" s="6" t="inlineStr">
        <is>
          <t>Revocada</t>
        </is>
      </c>
      <c r="N95" s="6" t="n">
        <v>0</v>
      </c>
      <c r="O95" s="6" t="n">
        <v>0</v>
      </c>
      <c r="P95" s="7" t="n"/>
      <c r="Q95" s="7" t="n"/>
      <c r="R95" s="7" t="n"/>
      <c r="S95" s="7" t="n"/>
      <c r="T95" s="7" t="n"/>
      <c r="U95" s="7" t="n"/>
      <c r="V95" s="7" t="n"/>
      <c r="W95" s="7" t="n"/>
      <c r="X95" s="7" t="n"/>
      <c r="Y95" s="7" t="n"/>
      <c r="Z95" s="7" t="n"/>
      <c r="AA95" s="7" t="n"/>
      <c r="AB95" s="7" t="n"/>
      <c r="AC95" s="7" t="n"/>
      <c r="AD95" s="7" t="n"/>
      <c r="AE95" s="7" t="n"/>
      <c r="AF95" s="7" t="n"/>
      <c r="AG95" s="7" t="n"/>
      <c r="AH95" s="7" t="n"/>
      <c r="AI95" s="7" t="n"/>
      <c r="AJ95" s="7" t="n"/>
      <c r="AK95" s="7" t="n"/>
      <c r="AL95" s="7" t="n"/>
      <c r="AM95" s="7" t="n"/>
      <c r="AN95" s="7" t="n"/>
      <c r="AO95" s="7" t="n"/>
      <c r="AP95" s="7" t="n"/>
      <c r="AQ95" s="7" t="n"/>
      <c r="AR95" s="7" t="n"/>
      <c r="AS95" s="7" t="n"/>
      <c r="AT95" s="7" t="n"/>
      <c r="AU95" s="7" t="n"/>
      <c r="AV95" s="7" t="n"/>
      <c r="AW95" s="7" t="n"/>
      <c r="AX95" s="7" t="n"/>
      <c r="AY95" s="7" t="n"/>
      <c r="AZ95" s="7" t="n"/>
      <c r="BA95" s="7" t="n"/>
      <c r="BB95" s="7" t="inlineStr">
        <is>
          <t>Comparativa_defectos_2018_vs_2024 + Defectos_procesales_SV_CSJA</t>
        </is>
      </c>
      <c r="BC95" s="7" t="n">
        <v>2</v>
      </c>
      <c r="BD95" s="7" t="inlineStr">
        <is>
          <t>CONOCIMIENTO</t>
        </is>
      </c>
      <c r="BE95" s="7" t="inlineStr">
        <is>
          <t>REVOCADA</t>
        </is>
      </c>
      <c r="BF95" s="7" t="inlineStr">
        <is>
          <t>CR</t>
        </is>
      </c>
    </row>
    <row r="96" ht="63.75" customHeight="1">
      <c r="A96" s="6" t="n">
        <v>95</v>
      </c>
      <c r="B96" s="6" t="inlineStr">
        <is>
          <t>04543-2023</t>
        </is>
      </c>
      <c r="C96" s="6" t="inlineStr">
        <is>
          <t>04543-2023-0-0401-JR-CI-06</t>
        </is>
      </c>
      <c r="D96" s="6" t="inlineStr">
        <is>
          <t>Llamoja — SV de control (2021-2023)</t>
        </is>
      </c>
      <c r="E96" s="6" t="n"/>
      <c r="F96" s="6" t="inlineStr">
        <is>
          <t>1SC</t>
        </is>
      </c>
      <c r="G96" s="6" t="n"/>
      <c r="H96" s="6" t="inlineStr">
        <is>
          <t>30</t>
        </is>
      </c>
      <c r="I96" s="6" t="inlineStr">
        <is>
          <t>dos mil veinticinco, marzo tres</t>
        </is>
      </c>
      <c r="J96" s="6" t="inlineStr">
        <is>
          <t>2025</t>
        </is>
      </c>
      <c r="K96" s="6" t="n"/>
      <c r="L96" s="6" t="inlineStr">
        <is>
          <t>Cervantes López</t>
        </is>
      </c>
      <c r="M96" s="6" t="inlineStr">
        <is>
          <t>NULA</t>
        </is>
      </c>
      <c r="N96" s="6" t="n">
        <v>2</v>
      </c>
      <c r="O96" s="6" t="n">
        <v>2</v>
      </c>
      <c r="P96" s="7" t="n"/>
      <c r="Q96" s="7" t="n"/>
      <c r="R96" s="7" t="n"/>
      <c r="S96" s="7" t="n"/>
      <c r="T96" s="7" t="n"/>
      <c r="U96" s="7" t="n"/>
      <c r="V96" s="7" t="n"/>
      <c r="W96" s="7" t="n"/>
      <c r="X96" s="7" t="n"/>
      <c r="Y96" s="7" t="n"/>
      <c r="Z96" s="7" t="n"/>
      <c r="AA96" s="7" t="n"/>
      <c r="AB96" s="7" t="n"/>
      <c r="AC96" s="7" t="n"/>
      <c r="AD96" s="7" t="n"/>
      <c r="AE96" s="7" t="n"/>
      <c r="AF96" s="7" t="n"/>
      <c r="AG96" s="7" t="n"/>
      <c r="AH96" s="8" t="inlineStr">
        <is>
          <t>DECLARADO — (evidencia en las columnas «Cita textual 1–3» de esta misma fila)</t>
        </is>
      </c>
      <c r="AI96" s="7" t="n"/>
      <c r="AJ96" s="7" t="n"/>
      <c r="AK96" s="8" t="inlineStr">
        <is>
          <t>DECLARADO — «estando pendiente dicha actuación y atendiendo a los efectos que produce la apelada conforme lo previsto en el artículo 380 del Código Procesal Civil»</t>
        </is>
      </c>
      <c r="AL96" s="7" t="n"/>
      <c r="AM96" s="7" t="n"/>
      <c r="AN96" s="7" t="n"/>
      <c r="AO96" s="7" t="n"/>
      <c r="AP96" s="7" t="inlineStr">
        <is>
          <t>Baja D08→— · Alta —→D22</t>
        </is>
      </c>
      <c r="AQ96" s="7" t="inlineStr">
        <is>
          <t>— Sin vicio de motivación como causal</t>
        </is>
      </c>
      <c r="AR96" s="7" t="n"/>
      <c r="AS96" s="7" t="inlineStr">
        <is>
          <t>No</t>
        </is>
      </c>
      <c r="AT96" s="7" t="inlineStr">
        <is>
          <t>«En consecuencia, estando pendiente dicha actuación y atendiendo a los efectos que produce la apelada conforme lo previsto en el artículo 380 del Código Procesal Civil, el colegiado concluye que la recurrida adolece de causal de nulidad por no encontrarse aun la causa para resolver hasta que se proceda conforme lo señalado en el auto de vista indicado.»</t>
        </is>
      </c>
      <c r="AU96" s="7" t="inlineStr">
        <is>
          <t>Causa no expedita para sentenciar (art. 380 CPC)</t>
        </is>
      </c>
      <c r="AV96" s="7" t="inlineStr">
        <is>
          <t>«En tal sentido de conformidad con lo dispuesto en el artículo 171 concordante con el artículo 122 del Código Procesal Civil, debe declararse la nulidad de la recurrida y disponerse que en su oportunidad se expida nueva resolución.»</t>
        </is>
      </c>
      <c r="AW96" s="7" t="inlineStr">
        <is>
          <t>Efecto: nulidad (arts. 171 y 122 CPC) y nueva resolución</t>
        </is>
      </c>
      <c r="AX96" s="7" t="n"/>
      <c r="AY96" s="7" t="n"/>
      <c r="AZ96" s="7" t="inlineStr">
        <is>
          <t>Art. 380 CPC: auto de vista previo anuló la improcedencia de pruebas y ordenó nuevo pronunciamiento; la causa no estaba expedita para sentenciar. Se menciona falta de notificación al rebelde.</t>
        </is>
      </c>
      <c r="BA96" s="7" t="inlineStr">
        <is>
          <t>4543 2023 SV.doc</t>
        </is>
      </c>
      <c r="BB96" s="7" t="inlineStr">
        <is>
          <t>Clasificacion_SV_ABR24_Llamoja_defectos</t>
        </is>
      </c>
      <c r="BC96" s="7" t="n">
        <v>1</v>
      </c>
      <c r="BD96" s="7" t="inlineStr">
        <is>
          <t>ABREVIADO</t>
        </is>
      </c>
      <c r="BE96" s="7" t="inlineStr">
        <is>
          <t>NULA</t>
        </is>
      </c>
      <c r="BF96" s="7" t="inlineStr">
        <is>
          <t>AN</t>
        </is>
      </c>
    </row>
    <row r="97" ht="126.75" customHeight="1">
      <c r="A97" s="6" t="n">
        <v>96</v>
      </c>
      <c r="B97" s="6" t="inlineStr">
        <is>
          <t>04554-2022</t>
        </is>
      </c>
      <c r="C97" s="6" t="inlineStr">
        <is>
          <t>04554-2022-0-0401-JR-CI-05</t>
        </is>
      </c>
      <c r="D97" s="6" t="inlineStr">
        <is>
          <t>Llamoja — SV de control (2021-2023)</t>
        </is>
      </c>
      <c r="E97" s="6" t="inlineStr">
        <is>
          <t>Nulidad de acto jurídico (simulación)</t>
        </is>
      </c>
      <c r="F97" s="6" t="inlineStr">
        <is>
          <t>3SC</t>
        </is>
      </c>
      <c r="G97" s="6" t="inlineStr">
        <is>
          <t>413-2024-3SC</t>
        </is>
      </c>
      <c r="H97" s="6" t="inlineStr">
        <is>
          <t>30</t>
        </is>
      </c>
      <c r="I97" s="6" t="inlineStr">
        <is>
          <t>dos mil veinticuatro, Setiembre veintitrés</t>
        </is>
      </c>
      <c r="J97" s="6" t="inlineStr">
        <is>
          <t>2024</t>
        </is>
      </c>
      <c r="K97" s="6" t="n"/>
      <c r="L97" s="6" t="inlineStr">
        <is>
          <t>Marroquín Mogrovejo</t>
        </is>
      </c>
      <c r="M97" s="6" t="inlineStr">
        <is>
          <t>NULA</t>
        </is>
      </c>
      <c r="N97" s="6" t="n">
        <v>2</v>
      </c>
      <c r="O97" s="6" t="n">
        <v>2</v>
      </c>
      <c r="P97" s="7" t="n"/>
      <c r="Q97" s="7" t="n"/>
      <c r="R97" s="7" t="n"/>
      <c r="S97" s="7" t="n"/>
      <c r="T97" s="7" t="n"/>
      <c r="U97" s="7" t="n"/>
      <c r="V97" s="7" t="n"/>
      <c r="W97" s="7" t="n"/>
      <c r="X97" s="7" t="n"/>
      <c r="Y97" s="7" t="n"/>
      <c r="Z97" s="7" t="n"/>
      <c r="AA97" s="7" t="n"/>
      <c r="AB97" s="7" t="n"/>
      <c r="AC97" s="7" t="n"/>
      <c r="AD97" s="7" t="n"/>
      <c r="AE97" s="8" t="inlineStr">
        <is>
          <t>DECLARADO — (evidencia en las columnas «Cita textual 1–3» de esta misma fila)</t>
        </is>
      </c>
      <c r="AF97" s="7" t="n"/>
      <c r="AG97" s="7" t="n"/>
      <c r="AH97" s="7" t="n"/>
      <c r="AI97" s="7" t="n"/>
      <c r="AJ97" s="8" t="inlineStr">
        <is>
          <t>DECLARADO — (evidencia en las columnas «Cita textual 1–3» de esta misma fila)</t>
        </is>
      </c>
      <c r="AK97" s="7" t="n"/>
      <c r="AL97" s="7" t="n"/>
      <c r="AM97" s="7" t="n"/>
      <c r="AN97" s="7" t="n"/>
      <c r="AO97" s="7" t="n"/>
      <c r="AP97" s="7" t="inlineStr">
        <is>
          <t>Migración D20→D21</t>
        </is>
      </c>
      <c r="AQ97" s="7" t="inlineStr">
        <is>
          <t>c) Deficiencia de motivación externa</t>
        </is>
      </c>
      <c r="AR97" s="7" t="n"/>
      <c r="AS97" s="7" t="inlineStr">
        <is>
          <t>Parcial</t>
        </is>
      </c>
      <c r="AT97" s="7" t="inlineStr">
        <is>
          <t>«En conclusión, la decisión del Juez de emitir una sentencia inhibitoria es errada, al sostener que se pretende la nulidad por simulación relativa al amparo de la causal contemplada en el inciso 5 del artículo 219 del Código Civil que prevé la nulidad por simulación absoluta, y con ello, que lo pretendido sea jurídicamente imposible; por lo que, al no haberse resuelto en mérito a lo actuado como lo exige el inciso 3 del artículo 122° del Código Procesal Civil, se ha incurrido en nulidad que debe ser declarada por esta Sala Superior.»</t>
        </is>
      </c>
      <c r="AU97" s="7" t="inlineStr">
        <is>
          <t>c) Premisa jurídica errónea → inhibitoria errada (art. 122.3 CPC)</t>
        </is>
      </c>
      <c r="AV97" s="7" t="inlineStr">
        <is>
          <t>«Por otro lado, no pasa inadvertido que los demandantes no sustentaron jurídicamente la nulidad en el supuesto específico de simulación absoluta prevista en el inciso 5 del artículo 219 del Código Civil; no obstante ello, en aplicación de lo establecido en el Artículo VII del Título Preliminar del Código Procesal Civil por el que “El Juez debe aplicar el derecho que corresponda al proceso, aunque no haya sido invocado por las partes o lo haya sido erróneamente”, corresponde al juez del proceso, aplicar el derecho a los hechos invocados en la demanda de los que resulta inequívoco las alegaciones sobre la simulación relativa, que es, lo que en todo caso, debe ser objeto de pronunciamiento al estar impedido el Juez de la causa, de ir más allá del petitorio.»</t>
        </is>
      </c>
      <c r="AW97" s="7" t="inlineStr">
        <is>
          <t>Iura novit curia: corresponde al juez calificar los hechos invocados</t>
        </is>
      </c>
      <c r="AX97" s="7" t="n"/>
      <c r="AY97" s="7" t="n"/>
      <c r="AZ97" s="7" t="inlineStr">
        <is>
          <t>Premisa jurídica errónea (trata como simulación absoluta lo demandado como relativa) → inhibitoria errada. Cita 'justificación de las premisas'. Clasificación c) tentativa.</t>
        </is>
      </c>
      <c r="BA97" s="7" t="inlineStr">
        <is>
          <t>4554 2022 SVV.doc</t>
        </is>
      </c>
      <c r="BB97" s="7" t="inlineStr">
        <is>
          <t>Clasificacion_SV_ABR24_Llamoja_defectos</t>
        </is>
      </c>
      <c r="BC97" s="7" t="n">
        <v>1</v>
      </c>
      <c r="BD97" s="7" t="inlineStr">
        <is>
          <t>ABREVIADO</t>
        </is>
      </c>
      <c r="BE97" s="7" t="inlineStr">
        <is>
          <t>NULA</t>
        </is>
      </c>
      <c r="BF97" s="7" t="inlineStr">
        <is>
          <t>AN</t>
        </is>
      </c>
    </row>
    <row r="98" ht="74.25" customHeight="1">
      <c r="A98" s="6" t="n">
        <v>97</v>
      </c>
      <c r="B98" s="6" t="inlineStr">
        <is>
          <t>04585-2017</t>
        </is>
      </c>
      <c r="C98" s="6" t="inlineStr">
        <is>
          <t>04585-2017-0-0401-JR-CI-07</t>
        </is>
      </c>
      <c r="D98" s="6" t="inlineStr">
        <is>
          <t>Matriz sumarísimos — anteriores a 2019</t>
        </is>
      </c>
      <c r="E98" s="6" t="inlineStr">
        <is>
          <t>Desalojo por ocupación precaria</t>
        </is>
      </c>
      <c r="F98" s="6" t="inlineStr">
        <is>
          <t>3SC</t>
        </is>
      </c>
      <c r="G98" s="6" t="inlineStr">
        <is>
          <t>SV 383-2018-3SC</t>
        </is>
      </c>
      <c r="H98" s="6" t="inlineStr">
        <is>
          <t>Res. 9 (tres)</t>
        </is>
      </c>
      <c r="I98" s="6" t="inlineStr">
        <is>
          <t>31/07/2018</t>
        </is>
      </c>
      <c r="J98" s="6" t="inlineStr">
        <is>
          <t>2018</t>
        </is>
      </c>
      <c r="K98" s="6" t="inlineStr">
        <is>
          <t>Carlos Polanco Gutiérrez</t>
        </is>
      </c>
      <c r="L98" s="6" t="n"/>
      <c r="M98" s="6" t="inlineStr">
        <is>
          <t>REVOCADA → INFUNDADA</t>
        </is>
      </c>
      <c r="N98" s="6" t="n">
        <v>0</v>
      </c>
      <c r="O98" s="6" t="n">
        <v>1</v>
      </c>
      <c r="P98" s="7" t="n"/>
      <c r="Q98" s="7" t="n"/>
      <c r="R98" s="7" t="n"/>
      <c r="S98" s="7" t="n"/>
      <c r="T98" s="7" t="n"/>
      <c r="U98" s="7" t="n"/>
      <c r="V98" s="7" t="n"/>
      <c r="W98" s="7" t="n"/>
      <c r="X98" s="7" t="n"/>
      <c r="Y98" s="7" t="n"/>
      <c r="Z98" s="7" t="n"/>
      <c r="AA98" s="7" t="n"/>
      <c r="AB98" s="7" t="n"/>
      <c r="AC98" s="7" t="n"/>
      <c r="AD98" s="7" t="n"/>
      <c r="AE98" s="9" t="inlineStr">
        <is>
          <t>ADVERTIDO — «no obstante haberse declarado por el Juez de origen, (formalmente), improcedente la demanda, en los fundamentos de la sentencia apelada, ha expresado motivaciones referidas al fondo de la cuestión controvertida»</t>
        </is>
      </c>
      <c r="AF98" s="7" t="n"/>
      <c r="AG98" s="7" t="n"/>
      <c r="AH98" s="7" t="n"/>
      <c r="AI98" s="7" t="n"/>
      <c r="AJ98" s="7" t="n"/>
      <c r="AK98" s="7" t="n"/>
      <c r="AL98" s="7" t="n"/>
      <c r="AM98" s="7" t="n"/>
      <c r="AN98" s="7" t="n"/>
      <c r="AO98" s="7" t="n"/>
      <c r="AP98" s="7" t="n"/>
      <c r="AQ98" s="7" t="n"/>
      <c r="AR98" s="7" t="n"/>
      <c r="AS98" s="7" t="n"/>
      <c r="AT98" s="7" t="n"/>
      <c r="AU98" s="7" t="n"/>
      <c r="AV98" s="7" t="n"/>
      <c r="AW98" s="7" t="n"/>
      <c r="AX98" s="7" t="n"/>
      <c r="AY98" s="7" t="n"/>
      <c r="AZ98" s="7" t="inlineStr">
        <is>
          <t>Incongruencia interna entre parte considerativa (fondo) y resolutiva (inhibitoria); contraviene la regla 6 del IV Pleno Casatorio. Corregido en instancia.</t>
        </is>
      </c>
      <c r="BA98" s="7" t="n"/>
      <c r="BB98" s="7" t="inlineStr">
        <is>
          <t>Matriz_defectos_procesales_1ra_SV</t>
        </is>
      </c>
      <c r="BC98" s="7" t="n">
        <v>1</v>
      </c>
      <c r="BD98" s="7" t="inlineStr">
        <is>
          <t>SUMARISIMO</t>
        </is>
      </c>
      <c r="BE98" s="7" t="inlineStr">
        <is>
          <t>REVOCADA</t>
        </is>
      </c>
      <c r="BF98" s="7" t="inlineStr">
        <is>
          <t>SR</t>
        </is>
      </c>
    </row>
    <row r="99" ht="84.75" customHeight="1">
      <c r="A99" s="6" t="n">
        <v>98</v>
      </c>
      <c r="B99" s="6" t="inlineStr">
        <is>
          <t>04605-2022</t>
        </is>
      </c>
      <c r="C99" s="6" t="inlineStr">
        <is>
          <t>04605-2022</t>
        </is>
      </c>
      <c r="D99" s="6" t="inlineStr">
        <is>
          <t>2024</t>
        </is>
      </c>
      <c r="E99" s="6" t="n"/>
      <c r="F99" s="6" t="inlineStr">
        <is>
          <t>3SC</t>
        </is>
      </c>
      <c r="G99" s="6" t="inlineStr">
        <is>
          <t>SV N° 362-2025-3SC</t>
        </is>
      </c>
      <c r="H99" s="6" t="n"/>
      <c r="I99" s="6" t="inlineStr">
        <is>
          <t>16/09/2025</t>
        </is>
      </c>
      <c r="J99" s="6" t="inlineStr">
        <is>
          <t>2025</t>
        </is>
      </c>
      <c r="K99" s="6" t="n"/>
      <c r="L99" s="6" t="n"/>
      <c r="M99" s="6" t="inlineStr">
        <is>
          <t>Revocada</t>
        </is>
      </c>
      <c r="N99" s="6" t="n">
        <v>0</v>
      </c>
      <c r="O99" s="6" t="n">
        <v>1</v>
      </c>
      <c r="P99" s="7" t="n"/>
      <c r="Q99" s="7" t="n"/>
      <c r="R99" s="7" t="n"/>
      <c r="S99" s="7" t="n"/>
      <c r="T99" s="7" t="n"/>
      <c r="U99" s="7" t="n"/>
      <c r="V99" s="7" t="n"/>
      <c r="W99" s="7" t="n"/>
      <c r="X99" s="7" t="n"/>
      <c r="Y99" s="7" t="n"/>
      <c r="Z99" s="10" t="inlineStr">
        <is>
          <t>ALEGADO — “…el Juez yerra al omitir valorar la escritura pública número 4659 celebrada por los herederos declarados y demandados en este proceso Víctor Héctor Torres Valencia y Marlube Maritza Yane Torres Valencia, sobre donación de derechos y transacción extrajudicial; 2.4) El Juez yerra de der…”</t>
        </is>
      </c>
      <c r="AA99" s="7" t="n"/>
      <c r="AB99" s="7" t="n"/>
      <c r="AC99" s="7" t="n"/>
      <c r="AD99" s="7" t="n"/>
      <c r="AE99" s="7" t="n"/>
      <c r="AF99" s="7" t="n"/>
      <c r="AG99" s="7" t="n"/>
      <c r="AH99" s="7" t="n"/>
      <c r="AI99" s="7" t="n"/>
      <c r="AJ99" s="7" t="n"/>
      <c r="AK99" s="7" t="n"/>
      <c r="AL99" s="7" t="n"/>
      <c r="AM99" s="7" t="n"/>
      <c r="AN99" s="7" t="n"/>
      <c r="AO99" s="7" t="inlineStr">
        <is>
          <t>El texto registrado enumera agravios («El Juez yerra al omitir valorar…; 2.4) El Juez yerra…»). Verificar si la Sala hace suya la constatación antes de computarla como declarada.</t>
        </is>
      </c>
      <c r="AP99" s="7" t="inlineStr">
        <is>
          <t>Reclasificación de estatus D11→D11 (alegado)</t>
        </is>
      </c>
      <c r="AQ99" s="7" t="n"/>
      <c r="AR99" s="7" t="n"/>
      <c r="AS99" s="7" t="n"/>
      <c r="AT99" s="7" t="n"/>
      <c r="AU99" s="7" t="n"/>
      <c r="AV99" s="7" t="n"/>
      <c r="AW99" s="7" t="n"/>
      <c r="AX99" s="7" t="n"/>
      <c r="AY99" s="7" t="n"/>
      <c r="AZ99" s="7" t="n"/>
      <c r="BA99" s="7" t="n"/>
      <c r="BB99" s="7" t="inlineStr">
        <is>
          <t>Comparativa_defectos_2018_vs_2024 + Defectos_procesales_SV_CSJA</t>
        </is>
      </c>
      <c r="BC99" s="7" t="n">
        <v>2</v>
      </c>
      <c r="BD99" s="7" t="inlineStr">
        <is>
          <t>CONOCIMIENTO</t>
        </is>
      </c>
      <c r="BE99" s="7" t="inlineStr">
        <is>
          <t>REVOCADA</t>
        </is>
      </c>
      <c r="BF99" s="7" t="inlineStr">
        <is>
          <t>CR</t>
        </is>
      </c>
    </row>
    <row r="100" ht="116.25" customHeight="1">
      <c r="A100" s="6" t="n">
        <v>99</v>
      </c>
      <c r="B100" s="6" t="inlineStr">
        <is>
          <t>04667-2022</t>
        </is>
      </c>
      <c r="C100" s="6" t="inlineStr">
        <is>
          <t>04667-2022-0-0401-JR-CI-02</t>
        </is>
      </c>
      <c r="D100" s="6" t="inlineStr">
        <is>
          <t>Llamoja — SV de control (2021-2023)</t>
        </is>
      </c>
      <c r="E100" s="6" t="inlineStr">
        <is>
          <t>Impugnación de acuerdos</t>
        </is>
      </c>
      <c r="F100" s="6" t="inlineStr">
        <is>
          <t>1SC</t>
        </is>
      </c>
      <c r="G100" s="6" t="n"/>
      <c r="H100" s="6" t="inlineStr">
        <is>
          <t>18</t>
        </is>
      </c>
      <c r="I100" s="6" t="inlineStr">
        <is>
          <t>dos mil veinticinco, agosto once</t>
        </is>
      </c>
      <c r="J100" s="6" t="inlineStr">
        <is>
          <t>2025</t>
        </is>
      </c>
      <c r="K100" s="6" t="n"/>
      <c r="L100" s="6" t="inlineStr">
        <is>
          <t>Zamalloa Campero</t>
        </is>
      </c>
      <c r="M100" s="6" t="inlineStr">
        <is>
          <t>NULA E INSUBSISTENTE</t>
        </is>
      </c>
      <c r="N100" s="6" t="n">
        <v>0</v>
      </c>
      <c r="O100" s="6" t="n">
        <v>0</v>
      </c>
      <c r="P100" s="7" t="n"/>
      <c r="Q100" s="7" t="n"/>
      <c r="R100" s="7" t="n"/>
      <c r="S100" s="7" t="n"/>
      <c r="T100" s="7" t="n"/>
      <c r="U100" s="7" t="n"/>
      <c r="V100" s="7" t="n"/>
      <c r="W100" s="7" t="n"/>
      <c r="X100" s="7" t="n"/>
      <c r="Y100" s="7" t="n"/>
      <c r="Z100" s="7" t="n"/>
      <c r="AA100" s="7" t="n"/>
      <c r="AB100" s="7" t="n"/>
      <c r="AC100" s="7" t="n"/>
      <c r="AD100" s="7" t="n"/>
      <c r="AE100" s="7" t="n"/>
      <c r="AF100" s="7" t="n"/>
      <c r="AG100" s="7" t="n"/>
      <c r="AH100" s="7" t="n"/>
      <c r="AI100" s="7" t="n"/>
      <c r="AJ100" s="7" t="n"/>
      <c r="AK100" s="7" t="n"/>
      <c r="AL100" s="7" t="n"/>
      <c r="AM100" s="7" t="n"/>
      <c r="AN100" s="7" t="inlineStr">
        <is>
          <t>Sí</t>
        </is>
      </c>
      <c r="AO100" s="7" t="n"/>
      <c r="AP100" s="7" t="inlineStr">
        <is>
          <t>Baja D20→—</t>
        </is>
      </c>
      <c r="AQ100" s="7" t="inlineStr">
        <is>
          <t>— Sin vicio de motivación como causal</t>
        </is>
      </c>
      <c r="AR100" s="7" t="n"/>
      <c r="AS100" s="7" t="inlineStr">
        <is>
          <t>No</t>
        </is>
      </c>
      <c r="AT100" s="7" t="inlineStr">
        <is>
          <t>«En ese sentido, resulta notorio para este colegiado que la demandante se encontraba dentro del plazo de sesenta días para impugnar dichos acuerdos en tanto no tuvo acceso a las actas hasta el año dos mil veintidós, lo cual era un requisito.»</t>
        </is>
      </c>
      <c r="AU100" s="7" t="inlineStr">
        <is>
          <t>Error de juicio: cómputo del plazo del art. 92 CC</t>
        </is>
      </c>
      <c r="AV100" s="7" t="inlineStr">
        <is>
          <t>«Pese a ello, este colegiado advierte que, para impugnar un acuerdo -conforme lo dispuesto en el artículo 92 del Código Civil-, es necesario que la parte impugnante cuente con el acta que contiene dicho acuerdo, lo cual no se ha suscitado en el presente caso por cuanto a la carta notarial notificada en fecha siete de abril de dos mil veintiuno no se ha anexado ninguna de las actas materias de impugnación, siendo que la demandante afirma que recién tuvo acceso a las actas de las asambleas extraordinarias en fecha catorce de junio de dos mil veintidós, cuando se le notificó con la contestación de la demanda de amparo que interpuso en contra de la asociación demandada.»</t>
        </is>
      </c>
      <c r="AW100" s="7" t="inlineStr">
        <is>
          <t>Fundamento: sin acta no corre el plazo de impugnación</t>
        </is>
      </c>
      <c r="AX100" s="7" t="n"/>
      <c r="AY100" s="7" t="n"/>
      <c r="AZ100" s="7" t="inlineStr">
        <is>
          <t>Error de juicio (cómputo del plazo art. 92 CC) resuelto vía nulidad; sin vicio de motivación. Candidato a 'nulidad evitable' (tesis Huánuco).</t>
        </is>
      </c>
      <c r="BA100" s="7" t="inlineStr">
        <is>
          <t>4667 2022 SV.doc</t>
        </is>
      </c>
      <c r="BB100" s="7" t="inlineStr">
        <is>
          <t>Clasificacion_SV_ABR24_Llamoja_defectos</t>
        </is>
      </c>
      <c r="BC100" s="7" t="n">
        <v>1</v>
      </c>
      <c r="BD100" s="7" t="inlineStr">
        <is>
          <t>ABREVIADO</t>
        </is>
      </c>
      <c r="BE100" s="7" t="inlineStr">
        <is>
          <t>NULA</t>
        </is>
      </c>
      <c r="BF100" s="7" t="inlineStr">
        <is>
          <t>AN</t>
        </is>
      </c>
    </row>
    <row r="101" ht="105.75" customHeight="1">
      <c r="A101" s="6" t="n">
        <v>100</v>
      </c>
      <c r="B101" s="6" t="inlineStr">
        <is>
          <t>04711-2010</t>
        </is>
      </c>
      <c r="C101" s="6" t="inlineStr">
        <is>
          <t>04711-2010</t>
        </is>
      </c>
      <c r="D101" s="6" t="inlineStr">
        <is>
          <t>Pre-2019</t>
        </is>
      </c>
      <c r="E101" s="6" t="n"/>
      <c r="F101" s="6" t="inlineStr">
        <is>
          <t>2SC</t>
        </is>
      </c>
      <c r="G101" s="6" t="inlineStr">
        <is>
          <t>SV N° 544-2018-2SC</t>
        </is>
      </c>
      <c r="H101" s="6" t="n"/>
      <c r="I101" s="6" t="inlineStr">
        <is>
          <t>17/10/2018</t>
        </is>
      </c>
      <c r="J101" s="6" t="inlineStr">
        <is>
          <t>2018</t>
        </is>
      </c>
      <c r="K101" s="6" t="n"/>
      <c r="L101" s="6" t="n"/>
      <c r="M101" s="6" t="inlineStr">
        <is>
          <t>Nula</t>
        </is>
      </c>
      <c r="N101" s="6" t="n">
        <v>2</v>
      </c>
      <c r="O101" s="6" t="n">
        <v>2</v>
      </c>
      <c r="P101" s="7" t="n"/>
      <c r="Q101" s="7" t="n"/>
      <c r="R101" s="7" t="n"/>
      <c r="S101" s="7" t="n"/>
      <c r="T101" s="7" t="n"/>
      <c r="U101" s="7" t="n"/>
      <c r="V101" s="7" t="n"/>
      <c r="W101" s="7" t="n"/>
      <c r="X101" s="7" t="n"/>
      <c r="Y101" s="7" t="n"/>
      <c r="Z101" s="7" t="n"/>
      <c r="AA101" s="7" t="n"/>
      <c r="AB101" s="7" t="n"/>
      <c r="AC101" s="7" t="n"/>
      <c r="AD101" s="7" t="n"/>
      <c r="AE101" s="8" t="inlineStr">
        <is>
          <t>DECLARADO — “…etensión fue acumulada accesoriamente, lo que evidencia que la recurrida tampoco ha sido emitida de forma congruente con la demanda. En conclusión, en mérito a lo expuesto precedentemente se concluye que la sentencia adolece de una motivación defectuo…”</t>
        </is>
      </c>
      <c r="AF101" s="7" t="n"/>
      <c r="AG101" s="7" t="n"/>
      <c r="AH101" s="7" t="n"/>
      <c r="AI101" s="7" t="n"/>
      <c r="AJ101" s="7" t="n"/>
      <c r="AK101" s="7" t="n"/>
      <c r="AL101" s="8" t="inlineStr">
        <is>
          <t>DECLARADO — “…ón, en mérito a lo expuesto precedentemente se concluye que la sentencia adolece de una motivación defectuosa con lo que contraviene no sólo lo establecido en el inciso 6) del artículo 50 del Código Procesal Civil, sino también lo dispuesto en el inciso 5) del artículo 139 de nuestra Constitución Política, p…”</t>
        </is>
      </c>
      <c r="AM101" s="7" t="n"/>
      <c r="AN101" s="7" t="n"/>
      <c r="AO101" s="7" t="n"/>
      <c r="AP101" s="7" t="inlineStr">
        <is>
          <t>Migración D15→D23</t>
        </is>
      </c>
      <c r="AQ101" s="7" t="n"/>
      <c r="AR101" s="7" t="n"/>
      <c r="AS101" s="7" t="n"/>
      <c r="AT101" s="7" t="n"/>
      <c r="AU101" s="7" t="n"/>
      <c r="AV101" s="7" t="n"/>
      <c r="AW101" s="7" t="n"/>
      <c r="AX101" s="7" t="n"/>
      <c r="AY101" s="7" t="n"/>
      <c r="AZ101" s="7" t="n"/>
      <c r="BA101" s="7" t="n"/>
      <c r="BB101" s="7" t="inlineStr">
        <is>
          <t>Comparativa_defectos_2018_vs_2024 + Defectos_procesales_SV_CSJA</t>
        </is>
      </c>
      <c r="BC101" s="7" t="n">
        <v>2</v>
      </c>
      <c r="BD101" s="7" t="inlineStr">
        <is>
          <t>CONOCIMIENTO</t>
        </is>
      </c>
      <c r="BE101" s="7" t="inlineStr">
        <is>
          <t>NULA</t>
        </is>
      </c>
      <c r="BF101" s="7" t="inlineStr">
        <is>
          <t>CN</t>
        </is>
      </c>
    </row>
    <row r="102" ht="95.25" customHeight="1">
      <c r="A102" s="6" t="n">
        <v>101</v>
      </c>
      <c r="B102" s="6" t="inlineStr">
        <is>
          <t>04965-2023</t>
        </is>
      </c>
      <c r="C102" s="6" t="inlineStr">
        <is>
          <t>04965-2023-0-0401-JR-CI-09</t>
        </is>
      </c>
      <c r="D102" s="6" t="inlineStr">
        <is>
          <t>Llamoja — SV de control (2021-2023)</t>
        </is>
      </c>
      <c r="E102" s="6" t="inlineStr">
        <is>
          <t>Retracto</t>
        </is>
      </c>
      <c r="F102" s="6" t="inlineStr">
        <is>
          <t>2SC</t>
        </is>
      </c>
      <c r="G102" s="6" t="inlineStr">
        <is>
          <t>510-2025-2SC</t>
        </is>
      </c>
      <c r="H102" s="6" t="inlineStr">
        <is>
          <t>32</t>
        </is>
      </c>
      <c r="I102" s="6" t="inlineStr">
        <is>
          <t>dos mil veinticinco, Octubre veinte</t>
        </is>
      </c>
      <c r="J102" s="6" t="inlineStr">
        <is>
          <t>2025</t>
        </is>
      </c>
      <c r="K102" s="6" t="n"/>
      <c r="L102" s="6" t="inlineStr">
        <is>
          <t>de la Cuba Chirinos</t>
        </is>
      </c>
      <c r="M102" s="6" t="inlineStr">
        <is>
          <t>NULA</t>
        </is>
      </c>
      <c r="N102" s="6" t="n">
        <v>2</v>
      </c>
      <c r="O102" s="6" t="n">
        <v>2</v>
      </c>
      <c r="P102" s="7" t="n"/>
      <c r="Q102" s="7" t="n"/>
      <c r="R102" s="7" t="n"/>
      <c r="S102" s="7" t="n"/>
      <c r="T102" s="7" t="n"/>
      <c r="U102" s="7" t="n"/>
      <c r="V102" s="7" t="n"/>
      <c r="W102" s="7" t="n"/>
      <c r="X102" s="7" t="n"/>
      <c r="Y102" s="7" t="n"/>
      <c r="Z102" s="7" t="n"/>
      <c r="AA102" s="7" t="n"/>
      <c r="AB102" s="7" t="n"/>
      <c r="AC102" s="7" t="n"/>
      <c r="AD102" s="7" t="n"/>
      <c r="AE102" s="7" t="n"/>
      <c r="AF102" s="7" t="n"/>
      <c r="AG102" s="7" t="n"/>
      <c r="AH102" s="8" t="inlineStr">
        <is>
          <t>DECLARADO — (evidencia en las columnas «Cita textual 1–3» de esta misma fila)</t>
        </is>
      </c>
      <c r="AI102" s="7" t="n"/>
      <c r="AJ102" s="7" t="n"/>
      <c r="AK102" s="8" t="inlineStr">
        <is>
          <t>DECLARADO — (evidencia en las columnas «Cita textual 1–3» de esta misma fila)</t>
        </is>
      </c>
      <c r="AL102" s="7" t="n"/>
      <c r="AM102" s="7" t="n"/>
      <c r="AN102" s="7" t="n"/>
      <c r="AO102" s="7" t="n"/>
      <c r="AP102" s="7" t="inlineStr">
        <is>
          <t>Migración D18→D22 · Nota D18→—</t>
        </is>
      </c>
      <c r="AQ102" s="7" t="inlineStr">
        <is>
          <t>— Sin vicio de motivación como causal</t>
        </is>
      </c>
      <c r="AR102" s="7" t="n"/>
      <c r="AS102" s="7" t="inlineStr">
        <is>
          <t>No</t>
        </is>
      </c>
      <c r="AT102" s="7" t="inlineStr">
        <is>
          <t>«Entonces, corresponde declarar la nulidad de la sentencia apelada y de todos los actos procesales que se hubiere emitido posterior a la suspensión del proceso, de ser el caso, resultando de aplicación al caso de autos, lo dispuesto en los artículos 171° y 176° del código procesal civil.»</t>
        </is>
      </c>
      <c r="AU102" s="7" t="inlineStr">
        <is>
          <t>Violación de preclusión: sentencia dictada pese a la suspensión ordenada</t>
        </is>
      </c>
      <c r="AV102" s="7" t="inlineStr">
        <is>
          <t>«Como se advierte de autos, esta sala superior revocó la resolución N° 24-2024 de fecha veintiocho de noviembre de dos mil veinticuatro [ver fojas 471 y 472 del eje], en donde se declaró improcedente el pedido de suspensión del proceso solicitado por el recurrente, reformándola se ordenó suspender el presente proceso hasta que se emite un pronunciamiento judicial con calidad de cosa juzgada del proceso de nulidad de acto jurídico seguido en el expediente N° 01687-2024-0-0401-JR-CI-04 ante el cuarto juzgado civil.»</t>
        </is>
      </c>
      <c r="AW102" s="7" t="inlineStr">
        <is>
          <t>Antecedente: la Sala había ordenado suspender hasta cosa juzgada (exp. 01687-2024)</t>
        </is>
      </c>
      <c r="AX102" s="7" t="n"/>
      <c r="AY102" s="7" t="n"/>
      <c r="AZ102" s="7" t="inlineStr">
        <is>
          <t>Art. 380 CPC: la Sala había ordenado suspender el proceso hasta cosa juzgada en exp. 01687-2024; la sentencia se dictó pese a la suspensión.</t>
        </is>
      </c>
      <c r="BA102" s="7" t="inlineStr">
        <is>
          <t>4965 2023 SV.doc</t>
        </is>
      </c>
      <c r="BB102" s="7" t="inlineStr">
        <is>
          <t>Clasificacion_SV_ABR24_Llamoja_defectos</t>
        </is>
      </c>
      <c r="BC102" s="7" t="n">
        <v>1</v>
      </c>
      <c r="BD102" s="7" t="inlineStr">
        <is>
          <t>ABREVIADO</t>
        </is>
      </c>
      <c r="BE102" s="7" t="inlineStr">
        <is>
          <t>NULA</t>
        </is>
      </c>
      <c r="BF102" s="7" t="inlineStr">
        <is>
          <t>AN</t>
        </is>
      </c>
    </row>
    <row r="103" ht="105.75" customHeight="1">
      <c r="A103" s="6" t="n">
        <v>102</v>
      </c>
      <c r="B103" s="6" t="inlineStr">
        <is>
          <t>05012-2008</t>
        </is>
      </c>
      <c r="C103" s="6" t="inlineStr">
        <is>
          <t>05012-2008</t>
        </is>
      </c>
      <c r="D103" s="6" t="inlineStr">
        <is>
          <t>Pre-2019</t>
        </is>
      </c>
      <c r="E103" s="6" t="n"/>
      <c r="F103" s="6" t="inlineStr">
        <is>
          <t>2SC</t>
        </is>
      </c>
      <c r="G103" s="6" t="inlineStr">
        <is>
          <t>SV N° 026-2020-2SC</t>
        </is>
      </c>
      <c r="H103" s="6" t="n"/>
      <c r="I103" s="6" t="inlineStr">
        <is>
          <t>13/01/2020</t>
        </is>
      </c>
      <c r="J103" s="6" t="inlineStr">
        <is>
          <t>2020</t>
        </is>
      </c>
      <c r="K103" s="6" t="n"/>
      <c r="L103" s="6" t="n"/>
      <c r="M103" s="6" t="inlineStr">
        <is>
          <t>Nula</t>
        </is>
      </c>
      <c r="N103" s="6" t="n">
        <v>2</v>
      </c>
      <c r="O103" s="6" t="n">
        <v>2</v>
      </c>
      <c r="P103" s="7" t="n"/>
      <c r="Q103" s="7" t="n"/>
      <c r="R103" s="7" t="n"/>
      <c r="S103" s="7" t="n"/>
      <c r="T103" s="7" t="n"/>
      <c r="U103" s="7" t="n"/>
      <c r="V103" s="7" t="n"/>
      <c r="W103" s="7" t="n"/>
      <c r="X103" s="7" t="n"/>
      <c r="Y103" s="7" t="n"/>
      <c r="Z103" s="7" t="n"/>
      <c r="AA103" s="7" t="n"/>
      <c r="AB103" s="8" t="inlineStr">
        <is>
          <t>DECLARADO — “…escrito por el inciso tercero de dicho precepto legal, pues los fundamentos de hecho que sustentan su decisión jurisdiccional son incompletos y defectuosos, Fundamentos por los cuales, DECLARARON NULA la sentencia 109-2018, del doce de…”</t>
        </is>
      </c>
      <c r="AC103" s="7" t="n"/>
      <c r="AD103" s="7" t="n"/>
      <c r="AE103" s="7" t="n"/>
      <c r="AF103" s="7" t="n"/>
      <c r="AG103" s="7" t="n"/>
      <c r="AH103" s="7" t="n"/>
      <c r="AI103" s="7" t="n"/>
      <c r="AJ103" s="7" t="n"/>
      <c r="AK103" s="7" t="n"/>
      <c r="AL103" s="8" t="inlineStr">
        <is>
          <t>DECLARADO — “…afo del CPC, corresponde declarar la nulidad de la apelada, por afectación evidente en la motivación de la apelada, incumpliendo con lo prescrito por el inciso tercero de dicho precepto legal, pues los fundamentos de hecho que sustentan su decisión jurisdiccional son incompletos y defectuosos, Fundamentos por los…”</t>
        </is>
      </c>
      <c r="AM103" s="7" t="n"/>
      <c r="AN103" s="7" t="n"/>
      <c r="AO103" s="7" t="n"/>
      <c r="AP103" s="7" t="inlineStr">
        <is>
          <t>Migración D15→D23</t>
        </is>
      </c>
      <c r="AQ103" s="7" t="n"/>
      <c r="AR103" s="7" t="n"/>
      <c r="AS103" s="7" t="n"/>
      <c r="AT103" s="7" t="n"/>
      <c r="AU103" s="7" t="n"/>
      <c r="AV103" s="7" t="n"/>
      <c r="AW103" s="7" t="n"/>
      <c r="AX103" s="7" t="n"/>
      <c r="AY103" s="7" t="n"/>
      <c r="AZ103" s="7" t="n"/>
      <c r="BA103" s="7" t="n"/>
      <c r="BB103" s="7" t="inlineStr">
        <is>
          <t>Comparativa_defectos_2018_vs_2024 + Defectos_procesales_SV_CSJA</t>
        </is>
      </c>
      <c r="BC103" s="7" t="n">
        <v>2</v>
      </c>
      <c r="BD103" s="7" t="inlineStr">
        <is>
          <t>CONOCIMIENTO</t>
        </is>
      </c>
      <c r="BE103" s="7" t="inlineStr">
        <is>
          <t>NULA</t>
        </is>
      </c>
      <c r="BF103" s="7" t="inlineStr">
        <is>
          <t>CN</t>
        </is>
      </c>
    </row>
    <row r="104" ht="63.75" customHeight="1">
      <c r="A104" s="6" t="n">
        <v>103</v>
      </c>
      <c r="B104" s="6" t="inlineStr">
        <is>
          <t>05237-2021</t>
        </is>
      </c>
      <c r="C104" s="6" t="inlineStr">
        <is>
          <t>05237-2021-0-0401-JR-CI-08</t>
        </is>
      </c>
      <c r="D104" s="6" t="inlineStr">
        <is>
          <t>Llamoja — SV de control (2021-2023)</t>
        </is>
      </c>
      <c r="E104" s="6" t="inlineStr">
        <is>
          <t>Tercería preferente de pago</t>
        </is>
      </c>
      <c r="F104" s="6" t="inlineStr">
        <is>
          <t>2SC</t>
        </is>
      </c>
      <c r="G104" s="6" t="inlineStr">
        <is>
          <t>230-2025-2SC</t>
        </is>
      </c>
      <c r="H104" s="6" t="inlineStr">
        <is>
          <t>42</t>
        </is>
      </c>
      <c r="I104" s="6" t="inlineStr">
        <is>
          <t>dos mil veinticinco, Mayo diecinueve</t>
        </is>
      </c>
      <c r="J104" s="6" t="inlineStr">
        <is>
          <t>2025</t>
        </is>
      </c>
      <c r="K104" s="6" t="n"/>
      <c r="L104" s="6" t="inlineStr">
        <is>
          <t>de la Cuba Chirinos</t>
        </is>
      </c>
      <c r="M104" s="6" t="inlineStr">
        <is>
          <t>NULA</t>
        </is>
      </c>
      <c r="N104" s="6" t="n">
        <v>2</v>
      </c>
      <c r="O104" s="6" t="n">
        <v>2</v>
      </c>
      <c r="P104" s="7" t="n"/>
      <c r="Q104" s="7" t="n"/>
      <c r="R104" s="7" t="n"/>
      <c r="S104" s="7" t="n"/>
      <c r="T104" s="7" t="n"/>
      <c r="U104" s="7" t="n"/>
      <c r="V104" s="7" t="n"/>
      <c r="W104" s="7" t="n"/>
      <c r="X104" s="7" t="n"/>
      <c r="Y104" s="7" t="n"/>
      <c r="Z104" s="8" t="inlineStr">
        <is>
          <t>DECLARADO — (evidencia en las columnas «Cita textual 1–3» de esta misma fila)</t>
        </is>
      </c>
      <c r="AA104" s="7" t="n"/>
      <c r="AB104" s="8" t="inlineStr">
        <is>
          <t>DECLARADO — (evidencia en las columnas «Cita textual 1–3» de esta misma fila)</t>
        </is>
      </c>
      <c r="AC104" s="7" t="n"/>
      <c r="AD104" s="7" t="n"/>
      <c r="AE104" s="7" t="n"/>
      <c r="AF104" s="7" t="n"/>
      <c r="AG104" s="7" t="n"/>
      <c r="AH104" s="7" t="n"/>
      <c r="AI104" s="7" t="n"/>
      <c r="AJ104" s="7" t="n"/>
      <c r="AK104" s="7" t="n"/>
      <c r="AL104" s="7" t="n"/>
      <c r="AM104" s="7" t="n"/>
      <c r="AN104" s="7" t="n"/>
      <c r="AO104" s="7" t="n"/>
      <c r="AP104" s="7" t="n"/>
      <c r="AQ104" s="7" t="inlineStr">
        <is>
          <t>d) Motivación insuficiente</t>
        </is>
      </c>
      <c r="AR104" s="7" t="inlineStr">
        <is>
          <t>c) Deficiencia de motivación externa</t>
        </is>
      </c>
      <c r="AS104" s="7" t="inlineStr">
        <is>
          <t>Parcial</t>
        </is>
      </c>
      <c r="AT104" s="7" t="inlineStr">
        <is>
          <t>«En efecto, la conclusión “se establezca en ejecución en el proceso N° 02548-2017 el monto de la deuda a favor del demandante actualizado al 25 de octubre de 2021”, debe contar con respaldo jurídico y probatorio; y no ser solo una afirmación genérica, pues se vulnera el deber de motivación judicial.»</t>
        </is>
      </c>
      <c r="AU104" s="7" t="inlineStr">
        <is>
          <t>d) Motivación insuficiente: conclusión genérica sin respaldo</t>
        </is>
      </c>
      <c r="AV104" s="7" t="inlineStr">
        <is>
          <t>«Bajo esa línea de argumentos, existen una serie de omisiones que deben ser materia de pronunciamiento por el juez de primera instancia, como se ha dado a conocer, todo ello con la finalidad de obtener un pronunciamiento integral que logre dilucidar, bajo un razonamiento lógico y jurídico, la solución al conflicto de intereses que ha sometido a sede jurisdiccional el demandante.»</t>
        </is>
      </c>
      <c r="AW104" s="7" t="inlineStr">
        <is>
          <t>Omisión de valoración de prueba decisiva (Res. 109, exp. 03993-2012)</t>
        </is>
      </c>
      <c r="AX104" s="7" t="inlineStr">
        <is>
          <t>«Por estos motivos, habiendo estimado parcialmente los argumentos impugnativos, la sentencia impugnada debe ser anulada, al tratarse de una pretensión impugnativa de invalidez.»</t>
        </is>
      </c>
      <c r="AY104" s="7" t="inlineStr">
        <is>
          <t>Efecto: nulidad por pretensión impugnativa de invalidez</t>
        </is>
      </c>
      <c r="AZ104" s="7" t="inlineStr">
        <is>
          <t>Cita Llamoja (motivación externa) en doctrina; conclusión 'afirmación genérica' sin respaldo probatorio y omisiones sobre la Res. 109 del exp. 03993-2012.</t>
        </is>
      </c>
      <c r="BA104" s="7" t="inlineStr">
        <is>
          <t>5237 2021 SV 2025.doc</t>
        </is>
      </c>
      <c r="BB104" s="7" t="inlineStr">
        <is>
          <t>Clasificacion_SV_ABR24_Llamoja_defectos</t>
        </is>
      </c>
      <c r="BC104" s="7" t="n">
        <v>1</v>
      </c>
      <c r="BD104" s="7" t="inlineStr">
        <is>
          <t>ABREVIADO</t>
        </is>
      </c>
      <c r="BE104" s="7" t="inlineStr">
        <is>
          <t>NULA</t>
        </is>
      </c>
      <c r="BF104" s="7" t="inlineStr">
        <is>
          <t>AN</t>
        </is>
      </c>
    </row>
    <row r="105" ht="53.25" customHeight="1">
      <c r="A105" s="6" t="n">
        <v>104</v>
      </c>
      <c r="B105" s="6" t="inlineStr">
        <is>
          <t>05264-2021</t>
        </is>
      </c>
      <c r="C105" s="6" t="inlineStr">
        <is>
          <t>05264-2021-0-0401-JR-CI-09</t>
        </is>
      </c>
      <c r="D105" s="6" t="inlineStr">
        <is>
          <t>Llamoja — SV de control (2021-2023)</t>
        </is>
      </c>
      <c r="E105" s="6" t="inlineStr">
        <is>
          <t>Prescripción adquisitiva</t>
        </is>
      </c>
      <c r="F105" s="6" t="inlineStr">
        <is>
          <t>3SC</t>
        </is>
      </c>
      <c r="G105" s="6" t="inlineStr">
        <is>
          <t>342-2025-3SC</t>
        </is>
      </c>
      <c r="H105" s="6" t="inlineStr">
        <is>
          <t>36</t>
        </is>
      </c>
      <c r="I105" s="6" t="inlineStr">
        <is>
          <t>dos mil veinticinco, Agosto trece</t>
        </is>
      </c>
      <c r="J105" s="6" t="inlineStr">
        <is>
          <t>2025</t>
        </is>
      </c>
      <c r="K105" s="6" t="n"/>
      <c r="L105" s="6" t="inlineStr">
        <is>
          <t>Burga Cervantes</t>
        </is>
      </c>
      <c r="M105" s="6" t="inlineStr">
        <is>
          <t>REVOCA → IMPROCEDENTE</t>
        </is>
      </c>
      <c r="N105" s="6" t="n">
        <v>0</v>
      </c>
      <c r="O105" s="6" t="n">
        <v>0</v>
      </c>
      <c r="P105" s="7" t="n"/>
      <c r="Q105" s="7" t="n"/>
      <c r="R105" s="7" t="n"/>
      <c r="S105" s="7" t="n"/>
      <c r="T105" s="7" t="n"/>
      <c r="U105" s="7" t="n"/>
      <c r="V105" s="7" t="n"/>
      <c r="W105" s="7" t="n"/>
      <c r="X105" s="7" t="n"/>
      <c r="Y105" s="7" t="n"/>
      <c r="Z105" s="7" t="n"/>
      <c r="AA105" s="7" t="n"/>
      <c r="AB105" s="7" t="n"/>
      <c r="AC105" s="7" t="n"/>
      <c r="AD105" s="7" t="n"/>
      <c r="AE105" s="7" t="n"/>
      <c r="AF105" s="7" t="n"/>
      <c r="AG105" s="7" t="n"/>
      <c r="AH105" s="7" t="n"/>
      <c r="AI105" s="7" t="n"/>
      <c r="AJ105" s="7" t="n"/>
      <c r="AK105" s="7" t="n"/>
      <c r="AL105" s="7" t="n"/>
      <c r="AM105" s="7" t="n"/>
      <c r="AN105" s="7" t="n"/>
      <c r="AO105" s="7" t="n"/>
      <c r="AP105" s="7" t="n"/>
      <c r="AQ105" s="7" t="inlineStr">
        <is>
          <t>— Sin vicio de motivación como causal</t>
        </is>
      </c>
      <c r="AR105" s="7" t="n"/>
      <c r="AS105" s="7" t="inlineStr">
        <is>
          <t>No</t>
        </is>
      </c>
      <c r="AT105" s="7" t="inlineStr">
        <is>
          <t>«En consecuencia, la premisa consistente en considerar que el bien inmueble objeto de la pretensión es un bien inmueble de dominio privado estatal no ha sido desvirtuada, por tanto, corresponde desestimar tal fundamento de la apelación.»</t>
        </is>
      </c>
      <c r="AU105" s="7" t="inlineStr">
        <is>
          <t>Premisa de la apelada confirmada (bien de dominio privado estatal)</t>
        </is>
      </c>
      <c r="AV105" s="7" t="inlineStr">
        <is>
          <t>«en Liquidación, REFORMÁNDOLA, Declararon IMPROCEDENTE la demanda sobre prescripción adquisitiva de dominio interpuesta por Yrene Georgina Torres Wagner en contra de Luis Alberto Álvarez Mendigure, María del Rocío Ogusco Linares y el litisconsorte necesario pasivo Banco de Materiales S.A.C.»</t>
        </is>
      </c>
      <c r="AW105" s="7" t="inlineStr">
        <is>
          <t>Error de calificación: infundada → improcedente</t>
        </is>
      </c>
      <c r="AX105" s="7" t="n"/>
      <c r="AY105" s="7" t="n"/>
      <c r="AZ105" s="7" t="inlineStr">
        <is>
          <t>Bien de dominio privado estatal; error de calificación (infundada → improcedente).</t>
        </is>
      </c>
      <c r="BA105" s="7" t="inlineStr">
        <is>
          <t>5264 2021 SV 2025.doc</t>
        </is>
      </c>
      <c r="BB105" s="7" t="inlineStr">
        <is>
          <t>Clasificacion_SV_ABR24_Llamoja_defectos</t>
        </is>
      </c>
      <c r="BC105" s="7" t="n">
        <v>1</v>
      </c>
      <c r="BD105" s="7" t="inlineStr">
        <is>
          <t>ABREVIADO</t>
        </is>
      </c>
      <c r="BE105" s="7" t="inlineStr">
        <is>
          <t>REVOCADA</t>
        </is>
      </c>
      <c r="BF105" s="7" t="inlineStr">
        <is>
          <t>AR</t>
        </is>
      </c>
    </row>
    <row r="106" ht="105.75" customHeight="1">
      <c r="A106" s="6" t="n">
        <v>105</v>
      </c>
      <c r="B106" s="6" t="inlineStr">
        <is>
          <t>05276-2023</t>
        </is>
      </c>
      <c r="C106" s="6" t="inlineStr">
        <is>
          <t>05276-2023-0-0401-JR-CI-09</t>
        </is>
      </c>
      <c r="D106" s="6" t="inlineStr">
        <is>
          <t>Llamoja — SV de control (2021-2023)</t>
        </is>
      </c>
      <c r="E106" s="6" t="inlineStr">
        <is>
          <t>División y partición</t>
        </is>
      </c>
      <c r="F106" s="6" t="inlineStr">
        <is>
          <t>2SC</t>
        </is>
      </c>
      <c r="G106" s="6" t="inlineStr">
        <is>
          <t>283-2025-2SC</t>
        </is>
      </c>
      <c r="H106" s="6" t="inlineStr">
        <is>
          <t>23</t>
        </is>
      </c>
      <c r="I106" s="6" t="inlineStr">
        <is>
          <t>dos mil veinticinco, Junio veinticinco</t>
        </is>
      </c>
      <c r="J106" s="6" t="inlineStr">
        <is>
          <t>2025</t>
        </is>
      </c>
      <c r="K106" s="6" t="n"/>
      <c r="L106" s="6" t="inlineStr">
        <is>
          <t>Paredes Bedregal</t>
        </is>
      </c>
      <c r="M106" s="6" t="inlineStr">
        <is>
          <t>REVOCA extremo costas</t>
        </is>
      </c>
      <c r="N106" s="6" t="n">
        <v>0</v>
      </c>
      <c r="O106" s="6" t="n">
        <v>0</v>
      </c>
      <c r="P106" s="7" t="n"/>
      <c r="Q106" s="7" t="n"/>
      <c r="R106" s="7" t="n"/>
      <c r="S106" s="7" t="n"/>
      <c r="T106" s="7" t="n"/>
      <c r="U106" s="7" t="n"/>
      <c r="V106" s="7" t="n"/>
      <c r="W106" s="7" t="n"/>
      <c r="X106" s="7" t="n"/>
      <c r="Y106" s="7" t="n"/>
      <c r="Z106" s="7" t="n"/>
      <c r="AA106" s="7" t="n"/>
      <c r="AB106" s="7" t="n"/>
      <c r="AC106" s="7" t="n"/>
      <c r="AD106" s="7" t="n"/>
      <c r="AE106" s="7" t="n"/>
      <c r="AF106" s="7" t="n"/>
      <c r="AG106" s="7" t="n"/>
      <c r="AH106" s="7" t="n"/>
      <c r="AI106" s="7" t="n"/>
      <c r="AJ106" s="7" t="n"/>
      <c r="AK106" s="7" t="n"/>
      <c r="AL106" s="7" t="n"/>
      <c r="AM106" s="7" t="n"/>
      <c r="AN106" s="7" t="n"/>
      <c r="AO106" s="7" t="n"/>
      <c r="AP106" s="7" t="n"/>
      <c r="AQ106" s="7" t="inlineStr">
        <is>
          <t>— Sin vicio de motivación como causal</t>
        </is>
      </c>
      <c r="AR106" s="7" t="n"/>
      <c r="AS106" s="7" t="inlineStr">
        <is>
          <t>No</t>
        </is>
      </c>
      <c r="AT106" s="7" t="inlineStr">
        <is>
          <t>«Aunado a ello, se advierte que los demandados Percy Raúl Roncalla Ccala y Rosalvina Calsin Cuentas han sido declarados rebeldes en el caso de autos, y de la revisión de los antecedentes se aprecia que la demandada Mery Annie Roncalla Ccala no asistió a la audiencia preliminar, descartando así la posibilidad de conciliar; por lo tanto, se advierte que en el caso de autos no corresponde exonerar a la parte demandada del pago de costas y costos, más aún cuando se ha amparado la demanda íntegramente; debiendo de revocarse la sentencia en este extremo, conforme a lo establecido en el artículo 412 del Código Adjetivo.»</t>
        </is>
      </c>
      <c r="AU106" s="7" t="inlineStr">
        <is>
          <t>Error de juicio: revoca solo el extremo de costas (art. 412 CPC)</t>
        </is>
      </c>
      <c r="AV106" s="7" t="n"/>
      <c r="AW106" s="7" t="inlineStr">
        <is>
          <t>Fundamento fáctico: conducta procesal de los demandados</t>
        </is>
      </c>
      <c r="AX106" s="7" t="n"/>
      <c r="AY106" s="7" t="n"/>
      <c r="AZ106" s="7" t="inlineStr">
        <is>
          <t>Solo se revoca la exoneración de costas y costos (art. 412 CPC).</t>
        </is>
      </c>
      <c r="BA106" s="7" t="inlineStr">
        <is>
          <t>5276 2023 SV 2025.doc</t>
        </is>
      </c>
      <c r="BB106" s="7" t="inlineStr">
        <is>
          <t>Clasificacion_SV_ABR24_Llamoja_defectos</t>
        </is>
      </c>
      <c r="BC106" s="7" t="n">
        <v>1</v>
      </c>
      <c r="BD106" s="7" t="inlineStr">
        <is>
          <t>ABREVIADO</t>
        </is>
      </c>
      <c r="BE106" s="7" t="inlineStr">
        <is>
          <t>REVOCADA</t>
        </is>
      </c>
      <c r="BF106" s="7" t="inlineStr">
        <is>
          <t>AR</t>
        </is>
      </c>
    </row>
    <row r="107" ht="74.25" customHeight="1">
      <c r="A107" s="6" t="n">
        <v>106</v>
      </c>
      <c r="B107" s="6" t="inlineStr">
        <is>
          <t>05345-2022</t>
        </is>
      </c>
      <c r="C107" s="6" t="inlineStr">
        <is>
          <t>05345-2022-0-0401-JR-CI-04</t>
        </is>
      </c>
      <c r="D107" s="6" t="inlineStr">
        <is>
          <t>Matriz sumarísimos — grupo 2024</t>
        </is>
      </c>
      <c r="E107" s="6" t="inlineStr">
        <is>
          <t>Desalojo por ocupación precaria</t>
        </is>
      </c>
      <c r="F107" s="6" t="inlineStr">
        <is>
          <t>3SC</t>
        </is>
      </c>
      <c r="G107" s="6" t="inlineStr">
        <is>
          <t>SV 27-2025-3SC</t>
        </is>
      </c>
      <c r="H107" s="6" t="inlineStr">
        <is>
          <t>Res. 25 (cinco)</t>
        </is>
      </c>
      <c r="I107" s="6" t="inlineStr">
        <is>
          <t>28/01/2025</t>
        </is>
      </c>
      <c r="J107" s="6" t="inlineStr">
        <is>
          <t>2025</t>
        </is>
      </c>
      <c r="K107" s="6" t="inlineStr">
        <is>
          <t>María Bellido Angulo</t>
        </is>
      </c>
      <c r="L107" s="6" t="n"/>
      <c r="M107" s="6" t="inlineStr">
        <is>
          <t>NULA (reenvío)</t>
        </is>
      </c>
      <c r="N107" s="6" t="n">
        <v>2</v>
      </c>
      <c r="O107" s="6" t="n">
        <v>2</v>
      </c>
      <c r="P107" s="7" t="n"/>
      <c r="Q107" s="7" t="n"/>
      <c r="R107" s="7" t="n"/>
      <c r="S107" s="7" t="n"/>
      <c r="T107" s="7" t="n"/>
      <c r="U107" s="7" t="n"/>
      <c r="V107" s="7" t="n"/>
      <c r="W107" s="7" t="n"/>
      <c r="X107" s="7" t="n"/>
      <c r="Y107" s="7" t="n"/>
      <c r="Z107" s="7" t="n"/>
      <c r="AA107" s="7" t="n"/>
      <c r="AB107" s="7" t="n"/>
      <c r="AC107" s="7" t="n"/>
      <c r="AD107" s="7" t="n"/>
      <c r="AE107" s="7" t="n"/>
      <c r="AF107" s="7" t="n"/>
      <c r="AG107" s="7" t="n"/>
      <c r="AH107" s="8" t="inlineStr">
        <is>
          <t>DECLARADO — «esta Superior Sala ha revocado la Resolución número quince… que declara improcedente el pedido de suspensión judicial del proceso formulado por la demandada… y, reformándola, se ha declarado la suspensión judicial del proceso»</t>
        </is>
      </c>
      <c r="AI107" s="7" t="n"/>
      <c r="AJ107" s="7" t="n"/>
      <c r="AK107" s="8" t="inlineStr">
        <is>
          <t>DECLARADO — «el pronunciamiento que viene en grado se encuentra afectado de nulidad y así debe declararse a tenor de los artículos 171 y 176 del Código Procesal Civil»</t>
        </is>
      </c>
      <c r="AL107" s="7" t="n"/>
      <c r="AM107" s="7" t="n"/>
      <c r="AN107" s="7" t="n"/>
      <c r="AO107" s="7" t="n"/>
      <c r="AP107" s="7" t="inlineStr">
        <is>
          <t>Migración D20→D22</t>
        </is>
      </c>
      <c r="AQ107" s="7" t="n"/>
      <c r="AR107" s="7" t="n"/>
      <c r="AS107" s="7" t="n"/>
      <c r="AT107" s="7" t="n"/>
      <c r="AU107" s="7" t="n"/>
      <c r="AV107" s="7" t="n"/>
      <c r="AW107" s="7" t="n"/>
      <c r="AX107" s="7" t="n"/>
      <c r="AY107" s="7" t="n"/>
      <c r="AZ107" s="7" t="inlineStr">
        <is>
          <t>Nulidad refleja (art. 380 CPC): se sentenció pese a corresponder la suspensión del proceso por prejudicialidad con el proceso de retracto.</t>
        </is>
      </c>
      <c r="BA107" s="7" t="n"/>
      <c r="BB107" s="7" t="inlineStr">
        <is>
          <t>Matriz_defectos_procesales_1ra_SV</t>
        </is>
      </c>
      <c r="BC107" s="7" t="n">
        <v>1</v>
      </c>
      <c r="BD107" s="7" t="inlineStr">
        <is>
          <t>SUMARISIMO</t>
        </is>
      </c>
      <c r="BE107" s="7" t="inlineStr">
        <is>
          <t>NULA</t>
        </is>
      </c>
      <c r="BF107" s="7" t="inlineStr">
        <is>
          <t>SN</t>
        </is>
      </c>
    </row>
    <row r="108" ht="105.75" customHeight="1">
      <c r="A108" s="6" t="n">
        <v>107</v>
      </c>
      <c r="B108" s="6" t="inlineStr">
        <is>
          <t>05381-2009</t>
        </is>
      </c>
      <c r="C108" s="6" t="inlineStr">
        <is>
          <t>05381-2009</t>
        </is>
      </c>
      <c r="D108" s="6" t="inlineStr">
        <is>
          <t>Pre-2019</t>
        </is>
      </c>
      <c r="E108" s="6" t="n"/>
      <c r="F108" s="6" t="inlineStr">
        <is>
          <t>2SC</t>
        </is>
      </c>
      <c r="G108" s="6" t="inlineStr">
        <is>
          <t>SV N° 872-2019-2SC</t>
        </is>
      </c>
      <c r="H108" s="6" t="n"/>
      <c r="I108" s="6" t="inlineStr">
        <is>
          <t>19/11/2019</t>
        </is>
      </c>
      <c r="J108" s="6" t="inlineStr">
        <is>
          <t>2019</t>
        </is>
      </c>
      <c r="K108" s="6" t="n"/>
      <c r="L108" s="6" t="n"/>
      <c r="M108" s="6" t="inlineStr">
        <is>
          <t>Nula</t>
        </is>
      </c>
      <c r="N108" s="6" t="n">
        <v>1</v>
      </c>
      <c r="O108" s="6" t="n">
        <v>1</v>
      </c>
      <c r="P108" s="7" t="n"/>
      <c r="Q108" s="7" t="n"/>
      <c r="R108" s="7" t="n"/>
      <c r="S108" s="7" t="n"/>
      <c r="T108" s="7" t="n"/>
      <c r="U108" s="7" t="n"/>
      <c r="V108" s="7" t="n"/>
      <c r="W108" s="7" t="n"/>
      <c r="X108" s="7" t="n"/>
      <c r="Y108" s="7" t="n"/>
      <c r="Z108" s="7" t="n"/>
      <c r="AA108" s="7" t="n"/>
      <c r="AB108" s="7" t="n"/>
      <c r="AC108" s="7" t="n"/>
      <c r="AD108" s="7" t="n"/>
      <c r="AE108" s="7" t="n"/>
      <c r="AF108" s="7" t="n"/>
      <c r="AG108" s="7" t="n"/>
      <c r="AH108" s="7" t="n"/>
      <c r="AI108" s="7" t="n"/>
      <c r="AJ108" s="7" t="n"/>
      <c r="AK108" s="7" t="n"/>
      <c r="AL108" s="8" t="inlineStr">
        <is>
          <t>DECLARADO — “…nulidad, sin embargo, atendiendo a que se declarado por este colegiado al nulidad de la sentencia de primera instancia por vulnerar el derecho a la motivación de las resoluciones judiciales, sería inoficioso evaluar esta pretensión. Por los fundamentos antes esgrimidos: DECLARARON NULA la Sentencia N° 82-201…”</t>
        </is>
      </c>
      <c r="AM108" s="7" t="n"/>
      <c r="AN108" s="7" t="n"/>
      <c r="AO108" s="7" t="n"/>
      <c r="AP108" s="7" t="inlineStr">
        <is>
          <t>Baja D06→— · Migración D15→D23</t>
        </is>
      </c>
      <c r="AQ108" s="7" t="n"/>
      <c r="AR108" s="7" t="n"/>
      <c r="AS108" s="7" t="n"/>
      <c r="AT108" s="7" t="n"/>
      <c r="AU108" s="7" t="n"/>
      <c r="AV108" s="7" t="n"/>
      <c r="AW108" s="7" t="n"/>
      <c r="AX108" s="7" t="n"/>
      <c r="AY108" s="7" t="n"/>
      <c r="AZ108" s="7" t="n"/>
      <c r="BA108" s="7" t="n"/>
      <c r="BB108" s="7" t="inlineStr">
        <is>
          <t>Comparativa_defectos_2018_vs_2024 + Defectos_procesales_SV_CSJA</t>
        </is>
      </c>
      <c r="BC108" s="7" t="n">
        <v>2</v>
      </c>
      <c r="BD108" s="7" t="inlineStr">
        <is>
          <t>CONOCIMIENTO</t>
        </is>
      </c>
      <c r="BE108" s="7" t="inlineStr">
        <is>
          <t>NULA</t>
        </is>
      </c>
      <c r="BF108" s="7" t="inlineStr">
        <is>
          <t>CN</t>
        </is>
      </c>
    </row>
    <row r="109" ht="84.75" customHeight="1">
      <c r="A109" s="6" t="n">
        <v>108</v>
      </c>
      <c r="B109" s="6" t="inlineStr">
        <is>
          <t>05382-2016</t>
        </is>
      </c>
      <c r="C109" s="6" t="inlineStr">
        <is>
          <t>05382-2016-0-0401-JR-CI-02</t>
        </is>
      </c>
      <c r="D109" s="6" t="inlineStr">
        <is>
          <t>Matriz sumarísimos — anteriores a 2019</t>
        </is>
      </c>
      <c r="E109" s="6" t="inlineStr">
        <is>
          <t>Interdicto de retener</t>
        </is>
      </c>
      <c r="F109" s="6" t="inlineStr">
        <is>
          <t>2SC</t>
        </is>
      </c>
      <c r="G109" s="6" t="inlineStr">
        <is>
          <t>SV 321-2019-2SC</t>
        </is>
      </c>
      <c r="H109" s="6" t="inlineStr">
        <is>
          <t>Res. 40 (ocho-2SC)</t>
        </is>
      </c>
      <c r="I109" s="6" t="inlineStr">
        <is>
          <t>02/07/2019</t>
        </is>
      </c>
      <c r="J109" s="6" t="inlineStr">
        <is>
          <t>2019</t>
        </is>
      </c>
      <c r="K109" s="6" t="inlineStr">
        <is>
          <t>Edgard Pineda Gamarra</t>
        </is>
      </c>
      <c r="L109" s="6" t="n"/>
      <c r="M109" s="6" t="inlineStr">
        <is>
          <t>NULA (reenvío)</t>
        </is>
      </c>
      <c r="N109" s="6" t="n">
        <v>2</v>
      </c>
      <c r="O109" s="6" t="n">
        <v>3</v>
      </c>
      <c r="P109" s="7" t="n"/>
      <c r="Q109" s="7" t="n"/>
      <c r="R109" s="7" t="n"/>
      <c r="S109" s="7" t="n"/>
      <c r="T109" s="7" t="n"/>
      <c r="U109" s="7" t="n"/>
      <c r="V109" s="7" t="n"/>
      <c r="W109" s="8" t="inlineStr">
        <is>
          <t>DECLARADO — «el "Acta de Constatación Policial" de fecha 29 de abril del 2016, que obra a fojas 95, no ha sido admitido como medio probatorio durante el desarrollo del proceso… por tanto, no era procedente que sea valorado por el Juzgador como indebidamente se ha realizado»</t>
        </is>
      </c>
      <c r="X109" s="7" t="n"/>
      <c r="Y109" s="7" t="n"/>
      <c r="Z109" s="7" t="n"/>
      <c r="AA109" s="8" t="inlineStr">
        <is>
          <t>DECLARADO — «al haberse expedido la sentencia materia de grado, sin haber realizado un análisis conjunto y razonado de los medios probatorios admitidos en el proceso como lo dispone el artículo 197 del Código Procesal Civil»</t>
        </is>
      </c>
      <c r="AB109" s="11" t="inlineStr">
        <is>
          <t>VOTO MINORÍA — «la sentencia no se encuentra debidamente motivada en el extremo referido a determinar quién ha realizado los actos perturbatorios, siendo insuficiente concluir en el literal D) del considerando sexto»</t>
        </is>
      </c>
      <c r="AC109" s="7" t="n"/>
      <c r="AD109" s="7" t="n"/>
      <c r="AE109" s="7" t="n"/>
      <c r="AF109" s="7" t="n"/>
      <c r="AG109" s="7" t="n"/>
      <c r="AH109" s="7" t="n"/>
      <c r="AI109" s="7" t="n"/>
      <c r="AJ109" s="7" t="n"/>
      <c r="AK109" s="7" t="n"/>
      <c r="AL109" s="7" t="n"/>
      <c r="AM109" s="7" t="n"/>
      <c r="AN109" s="7" t="n"/>
      <c r="AO109" s="7" t="n"/>
      <c r="AP109" s="7" t="n"/>
      <c r="AQ109" s="7" t="n"/>
      <c r="AR109" s="7" t="n"/>
      <c r="AS109" s="7" t="n"/>
      <c r="AT109" s="7" t="n"/>
      <c r="AU109" s="7" t="n"/>
      <c r="AV109" s="7" t="n"/>
      <c r="AW109" s="7" t="n"/>
      <c r="AX109" s="7" t="n"/>
      <c r="AY109" s="7" t="n"/>
      <c r="AZ109" s="7" t="inlineStr">
        <is>
          <t>Se valoró un medio probatorio cuyo ofrecimiento el propio oferente dejó sin efecto (Res. N° 09). Nulidad de oficio por art. 176 in fine CPC.</t>
        </is>
      </c>
      <c r="BA109" s="7" t="n"/>
      <c r="BB109" s="7" t="inlineStr">
        <is>
          <t>Matriz_defectos_procesales_1ra_SV</t>
        </is>
      </c>
      <c r="BC109" s="7" t="n">
        <v>1</v>
      </c>
      <c r="BD109" s="7" t="inlineStr">
        <is>
          <t>SUMARISIMO</t>
        </is>
      </c>
      <c r="BE109" s="7" t="inlineStr">
        <is>
          <t>NULA</t>
        </is>
      </c>
      <c r="BF109" s="7" t="inlineStr">
        <is>
          <t>SN</t>
        </is>
      </c>
    </row>
    <row r="110" ht="84.75" customHeight="1">
      <c r="A110" s="6" t="n">
        <v>109</v>
      </c>
      <c r="B110" s="6" t="inlineStr">
        <is>
          <t>05487-2013</t>
        </is>
      </c>
      <c r="C110" s="6" t="inlineStr">
        <is>
          <t>05487-2013</t>
        </is>
      </c>
      <c r="D110" s="6" t="inlineStr">
        <is>
          <t>Pre-2019</t>
        </is>
      </c>
      <c r="E110" s="6" t="n"/>
      <c r="F110" s="6" t="inlineStr">
        <is>
          <t>2SC</t>
        </is>
      </c>
      <c r="G110" s="6" t="inlineStr">
        <is>
          <t>SV N° 644-2018-2SC</t>
        </is>
      </c>
      <c r="H110" s="6" t="n"/>
      <c r="I110" s="6" t="inlineStr">
        <is>
          <t>14/12/2018</t>
        </is>
      </c>
      <c r="J110" s="6" t="inlineStr">
        <is>
          <t>2018</t>
        </is>
      </c>
      <c r="K110" s="6" t="n"/>
      <c r="L110" s="6" t="n"/>
      <c r="M110" s="6" t="inlineStr">
        <is>
          <t>Nula</t>
        </is>
      </c>
      <c r="N110" s="6" t="n">
        <v>1</v>
      </c>
      <c r="O110" s="6" t="n">
        <v>1</v>
      </c>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7" t="n"/>
      <c r="AL110" s="8" t="inlineStr">
        <is>
          <t>DECLARADO — “…al no haberse emitido la sentencia con una debida motivación se colige que la recurrida adolece de nulidad insubsanable, conforme lo regula el artículo 176 del Código Procesal Civil y lo dispuesto en el inciso 5) del artículo 139 de nuestra Constitución Políti…”</t>
        </is>
      </c>
      <c r="AM110" s="7" t="inlineStr">
        <is>
          <t>Sí</t>
        </is>
      </c>
      <c r="AN110" s="7" t="n"/>
      <c r="AO110" s="7" t="n"/>
      <c r="AP110" s="7" t="inlineStr">
        <is>
          <t>Baja D11→— · Migración D15→D23 · Baja D20→—</t>
        </is>
      </c>
      <c r="AQ110" s="7" t="n"/>
      <c r="AR110" s="7" t="n"/>
      <c r="AS110" s="7" t="n"/>
      <c r="AT110" s="7" t="n"/>
      <c r="AU110" s="7" t="n"/>
      <c r="AV110" s="7" t="n"/>
      <c r="AW110" s="7" t="n"/>
      <c r="AX110" s="7" t="n"/>
      <c r="AY110" s="7" t="n"/>
      <c r="AZ110" s="7" t="n"/>
      <c r="BA110" s="7" t="n"/>
      <c r="BB110" s="7" t="inlineStr">
        <is>
          <t>Comparativa_defectos_2018_vs_2024 + Defectos_procesales_SV_CSJA</t>
        </is>
      </c>
      <c r="BC110" s="7" t="n">
        <v>2</v>
      </c>
      <c r="BD110" s="7" t="inlineStr">
        <is>
          <t>CONOCIMIENTO</t>
        </is>
      </c>
      <c r="BE110" s="7" t="inlineStr">
        <is>
          <t>NULA</t>
        </is>
      </c>
      <c r="BF110" s="7" t="inlineStr">
        <is>
          <t>CN</t>
        </is>
      </c>
    </row>
    <row r="111" ht="32.25" customHeight="1">
      <c r="A111" s="6" t="n">
        <v>110</v>
      </c>
      <c r="B111" s="6" t="inlineStr">
        <is>
          <t>05576-2021</t>
        </is>
      </c>
      <c r="C111" s="6" t="inlineStr">
        <is>
          <t>05576-2021</t>
        </is>
      </c>
      <c r="D111" s="6" t="inlineStr">
        <is>
          <t>2024</t>
        </is>
      </c>
      <c r="E111" s="6" t="n"/>
      <c r="F111" s="6" t="inlineStr">
        <is>
          <t>3SC</t>
        </is>
      </c>
      <c r="G111" s="6" t="inlineStr">
        <is>
          <t>SV N° 372-2025-3SC</t>
        </is>
      </c>
      <c r="H111" s="6" t="n"/>
      <c r="I111" s="6" t="inlineStr">
        <is>
          <t>16/09/2025</t>
        </is>
      </c>
      <c r="J111" s="6" t="inlineStr">
        <is>
          <t>2025</t>
        </is>
      </c>
      <c r="K111" s="6" t="n"/>
      <c r="L111" s="6" t="n"/>
      <c r="M111" s="6" t="inlineStr">
        <is>
          <t>Revocada</t>
        </is>
      </c>
      <c r="N111" s="6" t="n">
        <v>0</v>
      </c>
      <c r="O111" s="6" t="n">
        <v>0</v>
      </c>
      <c r="P111" s="7" t="n"/>
      <c r="Q111" s="7" t="n"/>
      <c r="R111" s="7" t="n"/>
      <c r="S111" s="7" t="n"/>
      <c r="T111" s="7" t="n"/>
      <c r="U111" s="7" t="n"/>
      <c r="V111" s="7" t="n"/>
      <c r="W111" s="7" t="n"/>
      <c r="X111" s="7" t="n"/>
      <c r="Y111" s="7" t="n"/>
      <c r="Z111" s="7" t="n"/>
      <c r="AA111" s="7" t="n"/>
      <c r="AB111" s="7" t="n"/>
      <c r="AC111" s="7" t="n"/>
      <c r="AD111" s="7" t="n"/>
      <c r="AE111" s="7" t="n"/>
      <c r="AF111" s="7" t="n"/>
      <c r="AG111" s="7" t="n"/>
      <c r="AH111" s="7" t="n"/>
      <c r="AI111" s="7" t="n"/>
      <c r="AJ111" s="7" t="n"/>
      <c r="AK111" s="7" t="n"/>
      <c r="AL111" s="7" t="n"/>
      <c r="AM111" s="7" t="n"/>
      <c r="AN111" s="7" t="n"/>
      <c r="AO111" s="7" t="n"/>
      <c r="AP111" s="7" t="n"/>
      <c r="AQ111" s="7" t="n"/>
      <c r="AR111" s="7" t="n"/>
      <c r="AS111" s="7" t="n"/>
      <c r="AT111" s="7" t="n"/>
      <c r="AU111" s="7" t="n"/>
      <c r="AV111" s="7" t="n"/>
      <c r="AW111" s="7" t="n"/>
      <c r="AX111" s="7" t="n"/>
      <c r="AY111" s="7" t="n"/>
      <c r="AZ111" s="7" t="n"/>
      <c r="BA111" s="7" t="n"/>
      <c r="BB111" s="7" t="inlineStr">
        <is>
          <t>Comparativa_defectos_2018_vs_2024 + Defectos_procesales_SV_CSJA</t>
        </is>
      </c>
      <c r="BC111" s="7" t="n">
        <v>2</v>
      </c>
      <c r="BD111" s="7" t="inlineStr">
        <is>
          <t>CONOCIMIENTO</t>
        </is>
      </c>
      <c r="BE111" s="7" t="inlineStr">
        <is>
          <t>REVOCADA</t>
        </is>
      </c>
      <c r="BF111" s="7" t="inlineStr">
        <is>
          <t>CR</t>
        </is>
      </c>
    </row>
    <row r="112" ht="210" customHeight="1">
      <c r="A112" s="6" t="n">
        <v>111</v>
      </c>
      <c r="B112" s="6" t="inlineStr">
        <is>
          <t>05814-2021</t>
        </is>
      </c>
      <c r="C112" s="6" t="inlineStr">
        <is>
          <t>05814-2021-0-0401-JR-CI-02</t>
        </is>
      </c>
      <c r="D112" s="6" t="inlineStr">
        <is>
          <t>Llamoja — SV de control (2021-2023)</t>
        </is>
      </c>
      <c r="E112" s="6" t="inlineStr">
        <is>
          <t>Indemnización (Scotiabank)</t>
        </is>
      </c>
      <c r="F112" s="6" t="inlineStr">
        <is>
          <t>3SC</t>
        </is>
      </c>
      <c r="G112" s="6" t="inlineStr">
        <is>
          <t>464-2024-3SC</t>
        </is>
      </c>
      <c r="H112" s="6" t="inlineStr">
        <is>
          <t>50</t>
        </is>
      </c>
      <c r="I112" s="6" t="inlineStr">
        <is>
          <t>dos mil veinticuatro, Noviembre diecinueve</t>
        </is>
      </c>
      <c r="J112" s="6" t="inlineStr">
        <is>
          <t>2024</t>
        </is>
      </c>
      <c r="K112" s="6" t="n"/>
      <c r="L112" s="6" t="inlineStr">
        <is>
          <t>Marroquín Mogrovejo</t>
        </is>
      </c>
      <c r="M112" s="6" t="inlineStr">
        <is>
          <t>NULA</t>
        </is>
      </c>
      <c r="N112" s="6" t="n">
        <v>1</v>
      </c>
      <c r="O112" s="6" t="n">
        <v>1</v>
      </c>
      <c r="P112" s="7" t="n"/>
      <c r="Q112" s="7" t="n"/>
      <c r="R112" s="7" t="n"/>
      <c r="S112" s="7" t="n"/>
      <c r="T112" s="7" t="n"/>
      <c r="U112" s="7" t="n"/>
      <c r="V112" s="7" t="n"/>
      <c r="W112" s="7" t="n"/>
      <c r="X112" s="7" t="n"/>
      <c r="Y112" s="7" t="n"/>
      <c r="Z112" s="7" t="n"/>
      <c r="AA112" s="7" t="n"/>
      <c r="AB112" s="7" t="n"/>
      <c r="AC112" s="7" t="n"/>
      <c r="AD112" s="7" t="n"/>
      <c r="AE112" s="8" t="inlineStr">
        <is>
          <t>DECLARADO — (evidencia en las columnas «Cita textual 1–3» de esta misma fila)</t>
        </is>
      </c>
      <c r="AF112" s="7" t="n"/>
      <c r="AG112" s="7" t="n"/>
      <c r="AH112" s="7" t="n"/>
      <c r="AI112" s="7" t="n"/>
      <c r="AJ112" s="7" t="n"/>
      <c r="AK112" s="7" t="n"/>
      <c r="AL112" s="7" t="n"/>
      <c r="AM112" s="7" t="n"/>
      <c r="AN112" s="7" t="n"/>
      <c r="AO112" s="7" t="n"/>
      <c r="AP112" s="7" t="inlineStr">
        <is>
          <t>Baja D20→—</t>
        </is>
      </c>
      <c r="AQ112" s="7" t="inlineStr">
        <is>
          <t>e) Motivación sustancialmente incongruente</t>
        </is>
      </c>
      <c r="AR112" s="7" t="n"/>
      <c r="AS112" s="7" t="inlineStr">
        <is>
          <t>No</t>
        </is>
      </c>
      <c r="AT112" s="7" t="inlineStr">
        <is>
          <t>«En este caso, el análisis sobre la existencia y concurrencia de la conducta antijurídica, determinará el derecho a ser indemnizado o no de la demandante, lo que necesariamente dará lugar a un juicio de fundabilidad o infundabilidad de la demanda, pero de ninguna manera a falta o carencia de legitimidad para obrar que da lugar a un juicio de procedibilidad en una sentencia interlocutoria como se ha decidido en la recurrida; por tanto, se ha incurrido en causal de nulidad.»</t>
        </is>
      </c>
      <c r="AU112" s="7" t="inlineStr">
        <is>
          <t>e) Incongruencia: inhibitoria errada (procedibilidad vs. fundabilidad)</t>
        </is>
      </c>
      <c r="AV112" s="7" t="inlineStr">
        <is>
          <t>«Por otro lado, no obstante el alcance y magnitud que tiene la transgresión calificada como conducta antijurídica en la demanda, vemos que el análisis realizado por el juez de primera instancia sobre dicho elemento, no se ha referido a todos los hechos alegados en la demanda, (en la que se sostuvo que la conducta antijurídica atribuida no solo se ha limitado a un incumplimiento de un aparente mandato de no ejecutar y pagar la carta fianza), sino y como se alegó en el punto 2.6 de la demanda, al hecho de que la demandada tenía conocimiento de la existencia de la medida cautelar por la que se prohibió a la Municipalidad Provincial de Huancané, (hecho que no se encuentra en debate ya que fue tenido como hecho no controvertido), proceda a ejecutar y requerir el pago de la carta fianza, porque se encontraba prohibido por un mandato emitido por un tribunal arbitral al que las partes libremente se sometieron; extremos sobre los que no se ha emitido pronunciamiento para determinar, si la conducta de la demandada de realizar el pago de la carta fianza ante un requerimiento que estaba prohibido, es o no antijurídico; incurriendo en causal de nulidad al no resolver con arreglo al mérito de lo actuado como lo exige el inciso 3 del artículo 122° del Código Procesal Civil.»</t>
        </is>
      </c>
      <c r="AW112" s="7" t="inlineStr">
        <is>
          <t>Omisión de pronunciamiento sobre hechos alegados (art. 122.3 CPC)</t>
        </is>
      </c>
      <c r="AX112" s="7" t="n"/>
      <c r="AY112" s="7" t="n"/>
      <c r="AZ112" s="7" t="inlineStr">
        <is>
          <t>Sentencia inhibitoria errada (improcedencia por falta de legitimidad cuando correspondía juicio de fundabilidad) + omisión de pronunciamiento sobre hechos de la demanda.</t>
        </is>
      </c>
      <c r="BA112" s="7" t="inlineStr">
        <is>
          <t>5814 2021 SV.doc</t>
        </is>
      </c>
      <c r="BB112" s="7" t="inlineStr">
        <is>
          <t>Clasificacion_SV_ABR24_Llamoja_defectos</t>
        </is>
      </c>
      <c r="BC112" s="7" t="n">
        <v>1</v>
      </c>
      <c r="BD112" s="7" t="inlineStr">
        <is>
          <t>ABREVIADO</t>
        </is>
      </c>
      <c r="BE112" s="7" t="inlineStr">
        <is>
          <t>NULA</t>
        </is>
      </c>
      <c r="BF112" s="7" t="inlineStr">
        <is>
          <t>AN</t>
        </is>
      </c>
    </row>
    <row r="113" ht="74.25" customHeight="1">
      <c r="A113" s="6" t="n">
        <v>112</v>
      </c>
      <c r="B113" s="6" t="inlineStr">
        <is>
          <t>05899-2021</t>
        </is>
      </c>
      <c r="C113" s="6" t="inlineStr">
        <is>
          <t>05899-2021-0-0401-JR-CI-07</t>
        </is>
      </c>
      <c r="D113" s="6" t="inlineStr">
        <is>
          <t>Llamoja — SV de control (2021-2023)</t>
        </is>
      </c>
      <c r="E113" s="6" t="inlineStr">
        <is>
          <t>Prescripción adquisitiva</t>
        </is>
      </c>
      <c r="F113" s="6" t="inlineStr">
        <is>
          <t>2SC</t>
        </is>
      </c>
      <c r="G113" s="6" t="inlineStr">
        <is>
          <t>041-2025-2SC</t>
        </is>
      </c>
      <c r="H113" s="6" t="inlineStr">
        <is>
          <t>24</t>
        </is>
      </c>
      <c r="I113" s="6" t="inlineStr">
        <is>
          <t>dos mil veinticinco, Enero dieciséis</t>
        </is>
      </c>
      <c r="J113" s="6" t="inlineStr">
        <is>
          <t>2025</t>
        </is>
      </c>
      <c r="K113" s="6" t="n"/>
      <c r="L113" s="6" t="inlineStr">
        <is>
          <t>Cervantes López</t>
        </is>
      </c>
      <c r="M113" s="6" t="inlineStr">
        <is>
          <t>NULA</t>
        </is>
      </c>
      <c r="N113" s="6" t="n">
        <v>2</v>
      </c>
      <c r="O113" s="6" t="n">
        <v>2</v>
      </c>
      <c r="P113" s="7" t="n"/>
      <c r="Q113" s="7" t="n"/>
      <c r="R113" s="7" t="n"/>
      <c r="S113" s="7" t="n"/>
      <c r="T113" s="7" t="n"/>
      <c r="U113" s="7" t="n"/>
      <c r="V113" s="7" t="n"/>
      <c r="W113" s="7" t="n"/>
      <c r="X113" s="7" t="n"/>
      <c r="Y113" s="7" t="n"/>
      <c r="Z113" s="8" t="inlineStr">
        <is>
          <t>DECLARADO — (evidencia en las columnas «Cita textual 1–3» de esta misma fila)</t>
        </is>
      </c>
      <c r="AA113" s="7" t="n"/>
      <c r="AB113" s="8" t="inlineStr">
        <is>
          <t>DECLARADO — (evidencia en las columnas «Cita textual 1–3» de esta misma fila)</t>
        </is>
      </c>
      <c r="AC113" s="7" t="n"/>
      <c r="AD113" s="7" t="n"/>
      <c r="AE113" s="7" t="n"/>
      <c r="AF113" s="7" t="n"/>
      <c r="AG113" s="7" t="n"/>
      <c r="AH113" s="7" t="n"/>
      <c r="AI113" s="7" t="n"/>
      <c r="AJ113" s="7" t="n"/>
      <c r="AK113" s="7" t="n"/>
      <c r="AL113" s="7" t="n"/>
      <c r="AM113" s="7" t="inlineStr">
        <is>
          <t>Sí</t>
        </is>
      </c>
      <c r="AN113" s="7" t="n"/>
      <c r="AO113" s="7" t="n"/>
      <c r="AP113" s="7" t="n"/>
      <c r="AQ113" s="7" t="inlineStr">
        <is>
          <t>d) Motivación insuficiente</t>
        </is>
      </c>
      <c r="AR113" s="7" t="n"/>
      <c r="AS113" s="7" t="inlineStr">
        <is>
          <t>Sí (sumilla)</t>
        </is>
      </c>
      <c r="AT113" s="7" t="inlineStr">
        <is>
          <t>«Sumilla: Se advierte que la recurrida incurre en defectos de motivación al no valorar debidamente los medios probatorios, ni el artículo 915° del Código Civil, por lo cual, corresponde declarar la nulidad de la recurrida, debido a que se incurre en causal de nulidad prevista y sancionada en el artículo 171° concordante con el artículo 122° del Código Procesal Civil, atendiendo a que los defectos advertidos no pueden ser superados en esta instancia.»</t>
        </is>
      </c>
      <c r="AU113" s="7" t="inlineStr">
        <is>
          <t>d) Defectos de motivación por no valorar prueba (sumilla)</t>
        </is>
      </c>
      <c r="AV113" s="7" t="inlineStr">
        <is>
          <t>«Finalmente, se advierte que el A quo no analiza la incidencia de dicha invitación a conciliar sobre la pretensión de prescripción adquisitiva incoada, ni se pronuncia sobre sobre el resto de requisitos constitutivos de la prescripción adquisitiva.»</t>
        </is>
      </c>
      <c r="AW113" s="7" t="inlineStr">
        <is>
          <t>Omisión de valoración y de los requisitos de la usucapión</t>
        </is>
      </c>
      <c r="AX113" s="7" t="inlineStr">
        <is>
          <t>«Dados los defectos de motivación advertidos, corresponde declarar la nulidad de la recurrida, debido a que se incurre en causal de nulidad prevista y sancionada en el artículo 171° concordante con el artículo 122° del Código Procesal Civil, atendiendo los defectos advertidos no pueden ser superados en esta instancia.»</t>
        </is>
      </c>
      <c r="AY113" s="7" t="inlineStr">
        <is>
          <t>Efecto: nulidad insubsanable (arts. 171 y 122 CPC)</t>
        </is>
      </c>
      <c r="AZ113" s="7" t="inlineStr">
        <is>
          <t>Sumilla: 'defectos de motivación al no valorar debidamente los medios probatorios, ni el artículo 915 CC'; no analiza el resto de requisitos de la usucapión.</t>
        </is>
      </c>
      <c r="BA113" s="7" t="inlineStr">
        <is>
          <t>5899 2021 SV.doc</t>
        </is>
      </c>
      <c r="BB113" s="7" t="inlineStr">
        <is>
          <t>Clasificacion_SV_ABR24_Llamoja_defectos</t>
        </is>
      </c>
      <c r="BC113" s="7" t="n">
        <v>1</v>
      </c>
      <c r="BD113" s="7" t="inlineStr">
        <is>
          <t>ABREVIADO</t>
        </is>
      </c>
      <c r="BE113" s="7" t="inlineStr">
        <is>
          <t>NULA</t>
        </is>
      </c>
      <c r="BF113" s="7" t="inlineStr">
        <is>
          <t>AN</t>
        </is>
      </c>
    </row>
    <row r="114" ht="105.75" customHeight="1">
      <c r="A114" s="6" t="n">
        <v>113</v>
      </c>
      <c r="B114" s="6" t="inlineStr">
        <is>
          <t>06071-2006</t>
        </is>
      </c>
      <c r="C114" s="6" t="inlineStr">
        <is>
          <t>06071-2006</t>
        </is>
      </c>
      <c r="D114" s="6" t="inlineStr">
        <is>
          <t>Pre-2019</t>
        </is>
      </c>
      <c r="E114" s="6" t="n"/>
      <c r="F114" s="6" t="inlineStr">
        <is>
          <t>2SC</t>
        </is>
      </c>
      <c r="G114" s="6" t="inlineStr">
        <is>
          <t>SV N° 040-2019-2SC</t>
        </is>
      </c>
      <c r="H114" s="6" t="n"/>
      <c r="I114" s="6" t="inlineStr">
        <is>
          <t>31/01/2019</t>
        </is>
      </c>
      <c r="J114" s="6" t="inlineStr">
        <is>
          <t>2019</t>
        </is>
      </c>
      <c r="K114" s="6" t="n"/>
      <c r="L114" s="6" t="n"/>
      <c r="M114" s="6" t="inlineStr">
        <is>
          <t>Nula</t>
        </is>
      </c>
      <c r="N114" s="6" t="n">
        <v>1</v>
      </c>
      <c r="O114" s="6" t="n">
        <v>1</v>
      </c>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7" t="n"/>
      <c r="AL114" s="8" t="inlineStr">
        <is>
          <t>DECLARADO — “…la sentencia recurrida no se encuentra debidamente motivada, por haberse resuelto sin valorar debidamente la demanda, contraviniendo de esta manera no sólo lo establecido en el inciso 3) del artículo 122 del Código Procesal Civil, sino también lo dispuesto en el inciso 5) del artículo 139 de nuestra Constitución…”</t>
        </is>
      </c>
      <c r="AM114" s="7" t="n"/>
      <c r="AN114" s="7" t="n"/>
      <c r="AO114" s="7" t="n"/>
      <c r="AP114" s="7" t="inlineStr">
        <is>
          <t>Baja D12→— · Migración D15→D23</t>
        </is>
      </c>
      <c r="AQ114" s="7" t="n"/>
      <c r="AR114" s="7" t="n"/>
      <c r="AS114" s="7" t="n"/>
      <c r="AT114" s="7" t="n"/>
      <c r="AU114" s="7" t="n"/>
      <c r="AV114" s="7" t="n"/>
      <c r="AW114" s="7" t="n"/>
      <c r="AX114" s="7" t="n"/>
      <c r="AY114" s="7" t="n"/>
      <c r="AZ114" s="7" t="n"/>
      <c r="BA114" s="7" t="n"/>
      <c r="BB114" s="7" t="inlineStr">
        <is>
          <t>Comparativa_defectos_2018_vs_2024 + Defectos_procesales_SV_CSJA</t>
        </is>
      </c>
      <c r="BC114" s="7" t="n">
        <v>2</v>
      </c>
      <c r="BD114" s="7" t="inlineStr">
        <is>
          <t>CONOCIMIENTO</t>
        </is>
      </c>
      <c r="BE114" s="7" t="inlineStr">
        <is>
          <t>NULA</t>
        </is>
      </c>
      <c r="BF114" s="7" t="inlineStr">
        <is>
          <t>CN</t>
        </is>
      </c>
    </row>
    <row r="115" ht="63.75" customHeight="1">
      <c r="A115" s="6" t="n">
        <v>114</v>
      </c>
      <c r="B115" s="6" t="inlineStr">
        <is>
          <t>06147-2023</t>
        </is>
      </c>
      <c r="C115" s="6" t="inlineStr">
        <is>
          <t>06147-2023-0-0401-JR-CI-06</t>
        </is>
      </c>
      <c r="D115" s="6" t="inlineStr">
        <is>
          <t>Matriz sumarísimos — grupo 2024</t>
        </is>
      </c>
      <c r="E115" s="6" t="inlineStr">
        <is>
          <t>Desalojo por ocupación precaria</t>
        </is>
      </c>
      <c r="F115" s="6" t="inlineStr">
        <is>
          <t>2SC</t>
        </is>
      </c>
      <c r="G115" s="6" t="inlineStr">
        <is>
          <t>SV 129-2025-2SC (y Auto de Vista 166-2025-2SC)</t>
        </is>
      </c>
      <c r="H115" s="6" t="inlineStr">
        <is>
          <t>Res. 26 (cinco-2SC)</t>
        </is>
      </c>
      <c r="I115" s="6" t="inlineStr">
        <is>
          <t>26/03/2025</t>
        </is>
      </c>
      <c r="J115" s="6" t="inlineStr">
        <is>
          <t>2025</t>
        </is>
      </c>
      <c r="K115" s="6" t="inlineStr">
        <is>
          <t>Patricia Valdivia Franco</t>
        </is>
      </c>
      <c r="L115" s="6" t="n"/>
      <c r="M115" s="6" t="inlineStr">
        <is>
          <t>NULA (reenvío)</t>
        </is>
      </c>
      <c r="N115" s="6" t="n">
        <v>4</v>
      </c>
      <c r="O115" s="6" t="n">
        <v>4</v>
      </c>
      <c r="P115" s="7" t="n"/>
      <c r="Q115" s="8" t="inlineStr">
        <is>
          <t>DECLARADO — «máxime si el apercibimiento establecido resulta ser gravoso, en el sentido que, conlleva a que no se tomen en cuenta los argumentos de defensa de la parte demandada»</t>
        </is>
      </c>
      <c r="R115" s="7" t="n"/>
      <c r="S115" s="7" t="n"/>
      <c r="T115" s="7" t="n"/>
      <c r="U115" s="7" t="n"/>
      <c r="V115" s="7" t="n"/>
      <c r="W115" s="7" t="n"/>
      <c r="X115" s="7" t="n"/>
      <c r="Y115" s="7" t="n"/>
      <c r="Z115" s="7" t="n"/>
      <c r="AA115" s="7" t="n"/>
      <c r="AB115" s="7" t="n"/>
      <c r="AC115" s="7" t="n"/>
      <c r="AD115" s="7" t="n"/>
      <c r="AE115" s="7" t="n"/>
      <c r="AF115" s="7" t="n"/>
      <c r="AG115" s="7" t="n"/>
      <c r="AH115" s="8" t="inlineStr">
        <is>
          <t>DECLARADO — «la juzgadora - previo a emitir una sentencia - deberá pronunciarse en lo pertinente respecto al apersonamiento, la contestación y excepciones deducidas por la demandada»</t>
        </is>
      </c>
      <c r="AI115" s="8" t="inlineStr">
        <is>
          <t>DECLARADO — «en el requerimiento realizado no se especificó el plazo otorgado para el cumplimiento de la subsanación; es decir, se encuentra incompleto, vulnerándose el principio de legalidad»</t>
        </is>
      </c>
      <c r="AJ115" s="7" t="n"/>
      <c r="AK115" s="7" t="n"/>
      <c r="AL115" s="8" t="inlineStr">
        <is>
          <t>DECLARADO — «no se ha motivado debidamente la resolución materia de alzada»</t>
        </is>
      </c>
      <c r="AM115" s="7" t="n"/>
      <c r="AN115" s="7" t="n"/>
      <c r="AO115" s="7" t="n"/>
      <c r="AP115" s="7" t="inlineStr">
        <is>
          <t>Migración D13→D23 · Confirmación D20→D20</t>
        </is>
      </c>
      <c r="AQ115" s="7" t="n"/>
      <c r="AR115" s="7" t="n"/>
      <c r="AS115" s="7" t="n"/>
      <c r="AT115" s="7" t="n"/>
      <c r="AU115" s="7" t="n"/>
      <c r="AV115" s="7" t="n"/>
      <c r="AW115" s="7" t="n"/>
      <c r="AX115" s="7" t="n"/>
      <c r="AY115" s="7" t="n"/>
      <c r="AZ115" s="7" t="inlineStr">
        <is>
          <t>Se hizo efectivo un apercibimiento sin plazo previamente fijado, rechazando contestación y excepciones. La Sala exhorta al personal jurisdiccional a mayor diligencia.</t>
        </is>
      </c>
      <c r="BA115" s="7" t="n"/>
      <c r="BB115" s="7" t="inlineStr">
        <is>
          <t>Matriz_defectos_procesales_1ra_SV</t>
        </is>
      </c>
      <c r="BC115" s="7" t="n">
        <v>1</v>
      </c>
      <c r="BD115" s="7" t="inlineStr">
        <is>
          <t>SUMARISIMO</t>
        </is>
      </c>
      <c r="BE115" s="7" t="inlineStr">
        <is>
          <t>NULA</t>
        </is>
      </c>
      <c r="BF115" s="7" t="inlineStr">
        <is>
          <t>SN</t>
        </is>
      </c>
    </row>
    <row r="116" ht="63.75" customHeight="1">
      <c r="A116" s="6" t="n">
        <v>115</v>
      </c>
      <c r="B116" s="6" t="inlineStr">
        <is>
          <t>06151-2000</t>
        </is>
      </c>
      <c r="C116" s="6" t="inlineStr">
        <is>
          <t>06151-2000-0-0401-JR-CI-09</t>
        </is>
      </c>
      <c r="D116" s="6" t="inlineStr">
        <is>
          <t>Matriz sumarísimos — anteriores a 2019</t>
        </is>
      </c>
      <c r="E116" s="6" t="inlineStr">
        <is>
          <t>Desalojo por precario</t>
        </is>
      </c>
      <c r="F116" s="6" t="inlineStr">
        <is>
          <t>2SC</t>
        </is>
      </c>
      <c r="G116" s="6" t="inlineStr">
        <is>
          <t>SV 82-2021-2SC</t>
        </is>
      </c>
      <c r="H116" s="6" t="inlineStr">
        <is>
          <t>Res. 233 (seis-2SC)</t>
        </is>
      </c>
      <c r="I116" s="6" t="inlineStr">
        <is>
          <t>05/02/2021</t>
        </is>
      </c>
      <c r="J116" s="6" t="inlineStr">
        <is>
          <t>2021</t>
        </is>
      </c>
      <c r="K116" s="6" t="inlineStr">
        <is>
          <t>José Meza Miranda</t>
        </is>
      </c>
      <c r="L116" s="6" t="n"/>
      <c r="M116" s="6" t="inlineStr">
        <is>
          <t>NULA (reenvío)</t>
        </is>
      </c>
      <c r="N116" s="6" t="n">
        <v>2</v>
      </c>
      <c r="O116" s="6" t="n">
        <v>3</v>
      </c>
      <c r="P116" s="8" t="inlineStr">
        <is>
          <t>DECLARADO — «vulnerándose su derecho de defensa y al debido proceso al haberse emitido sentencia sin haber sido notificado o emplazado en este proceso»</t>
        </is>
      </c>
      <c r="Q116" s="9" t="inlineStr">
        <is>
          <t>DERIVADO — «se ha vulnerado el contenido esencial de la garantía constitucional al derecho de defensa y con ello al debido proceso, contemplados en los numerales 3) y 14) del artículo 139 de la Constitución Política del Perú»</t>
        </is>
      </c>
      <c r="R116" s="8" t="inlineStr">
        <is>
          <t>DECLARADO — «ORDENARON que el A quo emita nuevo pronunciamiento previo emplazamiento con la demanda a Rafael Giuliano Vizcarra Rojas»</t>
        </is>
      </c>
      <c r="S116" s="7" t="n"/>
      <c r="T116" s="7" t="n"/>
      <c r="U116" s="7" t="n"/>
      <c r="V116" s="7" t="n"/>
      <c r="W116" s="7" t="n"/>
      <c r="X116" s="7" t="n"/>
      <c r="Y116" s="7" t="n"/>
      <c r="Z116" s="7" t="n"/>
      <c r="AA116" s="7" t="n"/>
      <c r="AB116" s="7" t="n"/>
      <c r="AC116" s="7" t="n"/>
      <c r="AD116" s="7" t="n"/>
      <c r="AE116" s="7" t="n"/>
      <c r="AF116" s="7" t="n"/>
      <c r="AG116" s="7" t="n"/>
      <c r="AH116" s="7" t="n"/>
      <c r="AI116" s="7" t="n"/>
      <c r="AJ116" s="7" t="n"/>
      <c r="AK116" s="7" t="n"/>
      <c r="AL116" s="7" t="n"/>
      <c r="AM116" s="7" t="inlineStr">
        <is>
          <t>Sí</t>
        </is>
      </c>
      <c r="AN116" s="7" t="n"/>
      <c r="AO116" s="7" t="inlineStr">
        <is>
          <t>D03: la cita procede de la parte resolutiva y acredita el remedio, no el juicio sobre la indispensabilidad del sujeto omitido.</t>
        </is>
      </c>
      <c r="AP116" s="7" t="inlineStr">
        <is>
          <t>Baja D20→— · Reclasificación de estatus D02→D02 (derivado)</t>
        </is>
      </c>
      <c r="AQ116" s="7" t="n"/>
      <c r="AR116" s="7" t="n"/>
      <c r="AS116" s="7" t="n"/>
      <c r="AT116" s="7" t="n"/>
      <c r="AU116" s="7" t="n"/>
      <c r="AV116" s="7" t="n"/>
      <c r="AW116" s="7" t="n"/>
      <c r="AX116" s="7" t="n"/>
      <c r="AY116" s="7" t="n"/>
      <c r="AZ116" s="7" t="inlineStr">
        <is>
          <t>Arrendatario del predio (desde 2016) no emplazado; incorporado como litisconsorte necesario pasivo recién por Res. N° 210. Arts. 92, 93, 95 y 96 CPC.</t>
        </is>
      </c>
      <c r="BA116" s="7" t="n"/>
      <c r="BB116" s="7" t="inlineStr">
        <is>
          <t>Matriz_defectos_procesales_1ra_SV</t>
        </is>
      </c>
      <c r="BC116" s="7" t="n">
        <v>1</v>
      </c>
      <c r="BD116" s="7" t="inlineStr">
        <is>
          <t>SUMARISIMO</t>
        </is>
      </c>
      <c r="BE116" s="7" t="inlineStr">
        <is>
          <t>NULA</t>
        </is>
      </c>
      <c r="BF116" s="7" t="inlineStr">
        <is>
          <t>SN</t>
        </is>
      </c>
    </row>
    <row r="117" ht="32.25" customHeight="1">
      <c r="A117" s="6" t="n">
        <v>116</v>
      </c>
      <c r="B117" s="6" t="inlineStr">
        <is>
          <t>06175-2022</t>
        </is>
      </c>
      <c r="C117" s="6" t="inlineStr">
        <is>
          <t>06175-2022</t>
        </is>
      </c>
      <c r="D117" s="6" t="inlineStr">
        <is>
          <t>2024</t>
        </is>
      </c>
      <c r="E117" s="6" t="n"/>
      <c r="F117" s="6" t="inlineStr">
        <is>
          <t>2SC</t>
        </is>
      </c>
      <c r="G117" s="6" t="inlineStr">
        <is>
          <t>SV N° 191-2025-2SC</t>
        </is>
      </c>
      <c r="H117" s="6" t="n"/>
      <c r="I117" s="6" t="inlineStr">
        <is>
          <t>06/05/2025</t>
        </is>
      </c>
      <c r="J117" s="6" t="inlineStr">
        <is>
          <t>2025</t>
        </is>
      </c>
      <c r="K117" s="6" t="n"/>
      <c r="L117" s="6" t="n"/>
      <c r="M117" s="6" t="inlineStr">
        <is>
          <t>Revocada</t>
        </is>
      </c>
      <c r="N117" s="6" t="n">
        <v>0</v>
      </c>
      <c r="O117" s="6" t="n">
        <v>0</v>
      </c>
      <c r="P117" s="7" t="n"/>
      <c r="Q117" s="7" t="n"/>
      <c r="R117" s="7" t="n"/>
      <c r="S117" s="7" t="n"/>
      <c r="T117" s="7" t="n"/>
      <c r="U117" s="7" t="n"/>
      <c r="V117" s="7" t="n"/>
      <c r="W117" s="7" t="n"/>
      <c r="X117" s="7" t="n"/>
      <c r="Y117" s="7" t="n"/>
      <c r="Z117" s="7" t="n"/>
      <c r="AA117" s="7" t="n"/>
      <c r="AB117" s="7" t="n"/>
      <c r="AC117" s="7" t="n"/>
      <c r="AD117" s="7" t="n"/>
      <c r="AE117" s="7" t="n"/>
      <c r="AF117" s="7" t="n"/>
      <c r="AG117" s="7" t="n"/>
      <c r="AH117" s="7" t="n"/>
      <c r="AI117" s="7" t="n"/>
      <c r="AJ117" s="7" t="n"/>
      <c r="AK117" s="7" t="n"/>
      <c r="AL117" s="7" t="n"/>
      <c r="AM117" s="7" t="n"/>
      <c r="AN117" s="7" t="n"/>
      <c r="AO117" s="7" t="n"/>
      <c r="AP117" s="7" t="n"/>
      <c r="AQ117" s="7" t="n"/>
      <c r="AR117" s="7" t="n"/>
      <c r="AS117" s="7" t="n"/>
      <c r="AT117" s="7" t="n"/>
      <c r="AU117" s="7" t="n"/>
      <c r="AV117" s="7" t="n"/>
      <c r="AW117" s="7" t="n"/>
      <c r="AX117" s="7" t="n"/>
      <c r="AY117" s="7" t="n"/>
      <c r="AZ117" s="7" t="n"/>
      <c r="BA117" s="7" t="n"/>
      <c r="BB117" s="7" t="inlineStr">
        <is>
          <t>Comparativa_defectos_2018_vs_2024 + Defectos_procesales_SV_CSJA</t>
        </is>
      </c>
      <c r="BC117" s="7" t="n">
        <v>2</v>
      </c>
      <c r="BD117" s="7" t="inlineStr">
        <is>
          <t>CONOCIMIENTO</t>
        </is>
      </c>
      <c r="BE117" s="7" t="inlineStr">
        <is>
          <t>REVOCADA</t>
        </is>
      </c>
      <c r="BF117" s="7" t="inlineStr">
        <is>
          <t>CR</t>
        </is>
      </c>
    </row>
    <row r="118" ht="126.75" customHeight="1">
      <c r="A118" s="6" t="n">
        <v>117</v>
      </c>
      <c r="B118" s="6" t="inlineStr">
        <is>
          <t>06374-2019</t>
        </is>
      </c>
      <c r="C118" s="6" t="inlineStr">
        <is>
          <t>06374-2019</t>
        </is>
      </c>
      <c r="D118" s="6" t="inlineStr">
        <is>
          <t>2024</t>
        </is>
      </c>
      <c r="E118" s="6" t="n"/>
      <c r="F118" s="6" t="n"/>
      <c r="G118" s="6" t="inlineStr">
        <is>
          <t>SV N° 447-2025</t>
        </is>
      </c>
      <c r="H118" s="6" t="n"/>
      <c r="I118" s="6" t="inlineStr">
        <is>
          <t>26/09/2025</t>
        </is>
      </c>
      <c r="J118" s="6" t="inlineStr">
        <is>
          <t>2025</t>
        </is>
      </c>
      <c r="K118" s="6" t="n"/>
      <c r="L118" s="6" t="n"/>
      <c r="M118" s="6" t="inlineStr">
        <is>
          <t>Nula</t>
        </is>
      </c>
      <c r="N118" s="6" t="n">
        <v>1</v>
      </c>
      <c r="O118" s="6" t="n">
        <v>2</v>
      </c>
      <c r="P118" s="8" t="inlineStr">
        <is>
          <t>DECLARADO — “…edro P. Díaz manzana H, lote 9, distrito de Cerro Colorado, provincia y departamento de Arequipa, por lo que, se ha infringido el artículo 155 del Código Procesal Civil, dado que, no se ha cumplido con los fines de la notificación, lo que ha conllevado a que se vulnere el derecho al debido proceso y el derecho a la defensa del recurrente. 2.3.- La codemandada Milagros Liliana Mendoza Mor…”</t>
        </is>
      </c>
      <c r="Q118" s="9" t="inlineStr">
        <is>
          <t>DERIVADO — “…se ha vulnerado el derecho a la tutela jurídica, el derecho de defensa y el derecho al debido proceso de la recurrente, dado que, a partir de la presentación del referido escrito todas las notificaciones han sido dirigidas al domicilio ubicado en Asentamiento Humano Asociación de Pequeños Industriales Pedro P…”</t>
        </is>
      </c>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7" t="n"/>
      <c r="AL118" s="7" t="n"/>
      <c r="AM118" s="7" t="n"/>
      <c r="AN118" s="7" t="n"/>
      <c r="AO118" s="7" t="n"/>
      <c r="AP118" s="7" t="inlineStr">
        <is>
          <t>Baja D20→— · Reclasificación de estatus D02→D02 (derivado)</t>
        </is>
      </c>
      <c r="AQ118" s="7" t="n"/>
      <c r="AR118" s="7" t="n"/>
      <c r="AS118" s="7" t="n"/>
      <c r="AT118" s="7" t="n"/>
      <c r="AU118" s="7" t="n"/>
      <c r="AV118" s="7" t="n"/>
      <c r="AW118" s="7" t="n"/>
      <c r="AX118" s="7" t="n"/>
      <c r="AY118" s="7" t="n"/>
      <c r="AZ118" s="7" t="n"/>
      <c r="BA118" s="7" t="n"/>
      <c r="BB118" s="7" t="inlineStr">
        <is>
          <t>Comparativa_defectos_2018_vs_2024 + Defectos_procesales_SV_CSJA</t>
        </is>
      </c>
      <c r="BC118" s="7" t="n">
        <v>2</v>
      </c>
      <c r="BD118" s="7" t="inlineStr">
        <is>
          <t>CONOCIMIENTO</t>
        </is>
      </c>
      <c r="BE118" s="7" t="inlineStr">
        <is>
          <t>NULA</t>
        </is>
      </c>
      <c r="BF118" s="7" t="inlineStr">
        <is>
          <t>CN</t>
        </is>
      </c>
    </row>
    <row r="119" ht="606" customHeight="1">
      <c r="A119" s="6" t="n">
        <v>118</v>
      </c>
      <c r="B119" s="6" t="inlineStr">
        <is>
          <t>06385-2023</t>
        </is>
      </c>
      <c r="C119" s="6" t="inlineStr">
        <is>
          <t>06385-2023-0-0401-JR-CI-07</t>
        </is>
      </c>
      <c r="D119" s="6" t="inlineStr">
        <is>
          <t>Llamoja — SV de control (2021-2023)</t>
        </is>
      </c>
      <c r="E119" s="6" t="inlineStr">
        <is>
          <t>Indemnización (Pacífico)</t>
        </is>
      </c>
      <c r="F119" s="6" t="inlineStr">
        <is>
          <t>2SC</t>
        </is>
      </c>
      <c r="G119" s="6" t="inlineStr">
        <is>
          <t>309-2025-2SC</t>
        </is>
      </c>
      <c r="H119" s="6" t="inlineStr">
        <is>
          <t>23</t>
        </is>
      </c>
      <c r="I119" s="6" t="inlineStr">
        <is>
          <t>dos mil veinticinco, Julio uno</t>
        </is>
      </c>
      <c r="J119" s="6" t="inlineStr">
        <is>
          <t>2025</t>
        </is>
      </c>
      <c r="K119" s="6" t="n"/>
      <c r="L119" s="6" t="inlineStr">
        <is>
          <t>Yucra Quispe</t>
        </is>
      </c>
      <c r="M119" s="6" t="inlineStr">
        <is>
          <t>NULA</t>
        </is>
      </c>
      <c r="N119" s="6" t="n">
        <v>1</v>
      </c>
      <c r="O119" s="6" t="n">
        <v>1</v>
      </c>
      <c r="P119" s="7" t="n"/>
      <c r="Q119" s="7" t="n"/>
      <c r="R119" s="7" t="n"/>
      <c r="S119" s="7" t="n"/>
      <c r="T119" s="7" t="n"/>
      <c r="U119" s="7" t="n"/>
      <c r="V119" s="7" t="n"/>
      <c r="W119" s="7" t="n"/>
      <c r="X119" s="7" t="n"/>
      <c r="Y119" s="7" t="n"/>
      <c r="Z119" s="7" t="n"/>
      <c r="AA119" s="7" t="n"/>
      <c r="AB119" s="7" t="n"/>
      <c r="AC119" s="7" t="n"/>
      <c r="AD119" s="7" t="n"/>
      <c r="AE119" s="8" t="inlineStr">
        <is>
          <t>DECLARADO — (evidencia en las columnas «Cita textual 1–3» de esta misma fila)</t>
        </is>
      </c>
      <c r="AF119" s="7" t="n"/>
      <c r="AG119" s="7" t="n"/>
      <c r="AH119" s="7" t="n"/>
      <c r="AI119" s="7" t="n"/>
      <c r="AJ119" s="7" t="n"/>
      <c r="AK119" s="7" t="n"/>
      <c r="AL119" s="7" t="n"/>
      <c r="AM119" s="7" t="inlineStr">
        <is>
          <t>Sí</t>
        </is>
      </c>
      <c r="AN119" s="7" t="n"/>
      <c r="AO119" s="7" t="n"/>
      <c r="AP119" s="7" t="inlineStr">
        <is>
          <t>Baja D06→—</t>
        </is>
      </c>
      <c r="AQ119" s="7" t="inlineStr">
        <is>
          <t>e) Motivación sustancialmente incongruente</t>
        </is>
      </c>
      <c r="AR119" s="7" t="inlineStr">
        <is>
          <t>d) Motivación insuficiente</t>
        </is>
      </c>
      <c r="AS119" s="7" t="inlineStr">
        <is>
          <t>No</t>
        </is>
      </c>
      <c r="AT119" s="7" t="inlineStr">
        <is>
          <t>«Por consiguiente, al no haberse emitido pronunciamiento sobre los extremos señalados en el punto anterior, se ha vulnerado el derecho a la motivación garantizado en el inciso 5° del artículo 139 de nuestra constitución, por lo que se ha incurrido en nulidad de carácter insubsanable, por tanto, al amparo del artículo 171 concordante con el artículo 176 del Código Procesal y a efecto de garantizar el principio a la pluralidad de instancias, debe declararse la nulidad de la sentencia y disponerse que se amita nueva sentencia, teniendo en cuenta los antecedentes, la ley y lo señalado en la presente.»</t>
        </is>
      </c>
      <c r="AU119" s="7" t="inlineStr">
        <is>
          <t>e) Incongruencia omisiva (art. 139.5)</t>
        </is>
      </c>
      <c r="AV119" s="7" t="inlineStr">
        <is>
          <t>«El Aquo al expedir la apelada: a) No ha tomado en cuenta que, del contexto del escrito de demanda y el escrito de contestación a la demanda, se advierte que el accionante ha formulado una pretensión de responsabilidad contractual, en tanto que, la compañía demandada ha sostenido que lo que el demandante ha postulado en la demanda es una pretensión de responsabilidad civil extracontractual; b) No ha tomado en cuenta que, existiendo divergencia en las pretensiones del demandante y demandada, el juzgador previo a emitir pronunciamiento de mérito, en aplicación de lo establecido en la última parte del artículo 121 del Código Procesal Civil, correspondía analizar si los hechos que han sido invocados en la demanda, se hallan dentro de los supuestos de la responsabilidad civil contractual o responsabilidad civil extracontractual; c) No ha analizado, si la omisión de la demandada en el otorgamiento de la pensión de invalidez invocada por la demandante, constituye una conducta antijurídica; d) No ha tomado en cuenta que, si bien el ejercicio regular de un derecho previsto en el inciso 1° del artículo 1971 del Código Civil, constituye una factura causal y por tanto genera la inexistencia de responsabilidad, para su aplicación, se requiere la existencia de la conducta antijurídica, daño y nexos causal, ante cuya situación de darse el supuesto de ejercicio regular del derecho, esta rompe el nexo causal, la que genera la inexistencia de la responsabilidad civil; e) Si bien el fundamento que sustenta su decisión se basa en el ejercicio regular del derecho de la parte demandada; sin embargo, no ha tomado en cuenta que, el ejercicio regular de un derecho, consiste en utilizar un derecho propio, dentro de los límites establecidos por la ley, aun cuando con la utilización de dicho derecho, se causa un daño a otra persona, por lo que, dicha actuación u omisión no se considera un acto antijurídico y, por lo tanto, si la persona actúa dentro de dichos limites, no conlleva responsabilidad civil, siendo así, para ser considerado como ejercicio regular del derecho, el uso del derecho debe estar permitido y regulado por la ley, no debe buscar perjudicar intencionalmente a terceros ni exceder los límites de la buena fe, la moral y las buenas costumbres, y el ejercicio del derecho no debe tener como objetivo causar daño o vulnerar el ordenamiento jurídico; f) Si bien en la sentencia el A quo ha considerado como ejercicio regular del derecho que “el derecho de defensa de la parte demandada durante el periodo que duro el proceso”; sin embargo, no se ha pronunciado sobre, si los hechos imputados( omisión en el otorgamiento de la pensión de invalidez) a la compañía demandada, como conducta antijurídica en la demanda, se hallaban dentro de los límites establecidos por la ley, si los hechos imputados(omisión en el otorgamiento de la pensión de invalidez) a la demandada estaban permitidos y regulados por la ley, y si estos tenían o no por finalidad perjudicar a terceros o exceder los límites de la buena fe, la moral y las buenas costumbres, y si tenía como objetivo causar daño o vulnerar el ordenamiento jurídico; g) No ha tomado en cuenta que, al haberse fijado los puntos controvertidos en la audiencia preliminar, correspondía pronunciarse sobre cada uno de ellos, es decir sobre si la Compañía Pacifico Vida Compañía De Seguros y Reaseguros S.A., tiene responsabilidad civil contractual con el demandante, si existe conducta antijurídica de la parte demandada en el retraso del otorgamiento de la pensión de invalidez que le correspondía al demandante, y si la conducta de la demandada ha causado un daño moral al demandante»</t>
        </is>
      </c>
      <c r="AW119" s="7" t="inlineStr">
        <is>
          <t>Deficiente respuesta a los puntos controvertidos fijados</t>
        </is>
      </c>
      <c r="AX119" s="7" t="n"/>
      <c r="AY119" s="7" t="n"/>
      <c r="AZ119" s="7" t="inlineStr">
        <is>
          <t>Incongruencia omisiva: no se pronunció sobre los puntos controvertidos fijados en audiencia preliminar. La Sala invoca art. 139.5 sin etiquetar supuesto Llamoja.</t>
        </is>
      </c>
      <c r="BA119" s="7" t="inlineStr">
        <is>
          <t>6385 2023 SV.doc</t>
        </is>
      </c>
      <c r="BB119" s="7" t="inlineStr">
        <is>
          <t>Clasificacion_SV_ABR24_Llamoja_defectos</t>
        </is>
      </c>
      <c r="BC119" s="7" t="n">
        <v>1</v>
      </c>
      <c r="BD119" s="7" t="inlineStr">
        <is>
          <t>ABREVIADO</t>
        </is>
      </c>
      <c r="BE119" s="7" t="inlineStr">
        <is>
          <t>NULA</t>
        </is>
      </c>
      <c r="BF119" s="7" t="inlineStr">
        <is>
          <t>AN</t>
        </is>
      </c>
    </row>
    <row r="120" ht="105.75" customHeight="1">
      <c r="A120" s="6" t="n">
        <v>119</v>
      </c>
      <c r="B120" s="6" t="inlineStr">
        <is>
          <t>06402-2022</t>
        </is>
      </c>
      <c r="C120" s="6" t="inlineStr">
        <is>
          <t>06402-2022</t>
        </is>
      </c>
      <c r="D120" s="6" t="inlineStr">
        <is>
          <t>2024</t>
        </is>
      </c>
      <c r="E120" s="6" t="n"/>
      <c r="F120" s="6" t="n"/>
      <c r="G120" s="6" t="inlineStr">
        <is>
          <t>SV N° 235-2025</t>
        </is>
      </c>
      <c r="H120" s="6" t="n"/>
      <c r="I120" s="6" t="inlineStr">
        <is>
          <t>06/06/2025</t>
        </is>
      </c>
      <c r="J120" s="6" t="inlineStr">
        <is>
          <t>2025</t>
        </is>
      </c>
      <c r="K120" s="6" t="n"/>
      <c r="L120" s="6" t="n"/>
      <c r="M120" s="6" t="inlineStr">
        <is>
          <t>Nula</t>
        </is>
      </c>
      <c r="N120" s="6" t="n">
        <v>2</v>
      </c>
      <c r="O120" s="6" t="n">
        <v>2</v>
      </c>
      <c r="P120" s="7" t="n"/>
      <c r="Q120" s="7" t="n"/>
      <c r="R120" s="7" t="n"/>
      <c r="S120" s="7" t="n"/>
      <c r="T120" s="7" t="n"/>
      <c r="U120" s="7" t="n"/>
      <c r="V120" s="7" t="n"/>
      <c r="W120" s="7" t="n"/>
      <c r="X120" s="7" t="n"/>
      <c r="Y120" s="7" t="n"/>
      <c r="Z120" s="8" t="inlineStr">
        <is>
          <t>DECLARADO — “…ha omitido valorar las copias certificadas de las 6 tarjetas de socio de la Asociación Agrupamiento de Familias “Villa Confraternidad” del 2010, 2012, 2014 y 2015, que acreditan el ejercicio de su posesión y su comportamiento como propietaria desde el año dos mil diez en su comunid…”</t>
        </is>
      </c>
      <c r="AA120" s="7" t="n"/>
      <c r="AB120" s="7" t="n"/>
      <c r="AC120" s="7" t="n"/>
      <c r="AD120" s="7" t="n"/>
      <c r="AE120" s="7" t="n"/>
      <c r="AF120" s="7" t="n"/>
      <c r="AG120" s="7" t="n"/>
      <c r="AH120" s="7" t="n"/>
      <c r="AI120" s="7" t="n"/>
      <c r="AJ120" s="7" t="n"/>
      <c r="AK120" s="7" t="n"/>
      <c r="AL120" s="8" t="inlineStr">
        <is>
          <t>DECLARADO — “…dencia; lo cual implica una vulneración al debido proceso y al deber de motivación de las resoluciones judiciales, regulado por el artículo 50 numeral 6) del Código Procesal Civil concordante con el artículo 139 numeral 5) de la Constitución Política; por lo cual, en aplicación del principio de la unidad de resoluciones judiciales…”</t>
        </is>
      </c>
      <c r="AM120" s="7" t="n"/>
      <c r="AN120" s="7" t="n"/>
      <c r="AO120" s="7" t="n"/>
      <c r="AP120" s="7" t="inlineStr">
        <is>
          <t>Baja D08→— · Baja D09→— · Migración D15→D23</t>
        </is>
      </c>
      <c r="AQ120" s="7" t="n"/>
      <c r="AR120" s="7" t="n"/>
      <c r="AS120" s="7" t="n"/>
      <c r="AT120" s="7" t="n"/>
      <c r="AU120" s="7" t="n"/>
      <c r="AV120" s="7" t="n"/>
      <c r="AW120" s="7" t="n"/>
      <c r="AX120" s="7" t="n"/>
      <c r="AY120" s="7" t="n"/>
      <c r="AZ120" s="7" t="n"/>
      <c r="BA120" s="7" t="n"/>
      <c r="BB120" s="7" t="inlineStr">
        <is>
          <t>Comparativa_defectos_2018_vs_2024 + Defectos_procesales_SV_CSJA</t>
        </is>
      </c>
      <c r="BC120" s="7" t="n">
        <v>2</v>
      </c>
      <c r="BD120" s="7" t="inlineStr">
        <is>
          <t>CONOCIMIENTO</t>
        </is>
      </c>
      <c r="BE120" s="7" t="inlineStr">
        <is>
          <t>NULA</t>
        </is>
      </c>
      <c r="BF120" s="7" t="inlineStr">
        <is>
          <t>CN</t>
        </is>
      </c>
    </row>
    <row r="121" ht="105.75" customHeight="1">
      <c r="A121" s="6" t="n">
        <v>120</v>
      </c>
      <c r="B121" s="6" t="inlineStr">
        <is>
          <t>06607-2021</t>
        </is>
      </c>
      <c r="C121" s="6" t="inlineStr">
        <is>
          <t>06607-2021</t>
        </is>
      </c>
      <c r="D121" s="6" t="inlineStr">
        <is>
          <t>2024</t>
        </is>
      </c>
      <c r="E121" s="6" t="n"/>
      <c r="F121" s="6" t="inlineStr">
        <is>
          <t>2SC</t>
        </is>
      </c>
      <c r="G121" s="6" t="inlineStr">
        <is>
          <t>SV N° 023-2025-2SC</t>
        </is>
      </c>
      <c r="H121" s="6" t="n"/>
      <c r="I121" s="6" t="inlineStr">
        <is>
          <t>06/01/2025</t>
        </is>
      </c>
      <c r="J121" s="6" t="inlineStr">
        <is>
          <t>2025</t>
        </is>
      </c>
      <c r="K121" s="6" t="n"/>
      <c r="L121" s="6" t="n"/>
      <c r="M121" s="6" t="inlineStr">
        <is>
          <t>Nula</t>
        </is>
      </c>
      <c r="N121" s="6" t="n">
        <v>3</v>
      </c>
      <c r="O121" s="6" t="n">
        <v>3</v>
      </c>
      <c r="P121" s="7" t="n"/>
      <c r="Q121" s="8" t="inlineStr">
        <is>
          <t>DECLARADO — “…a fin de no afectar el derecho de defensa de las partes y el debido proceso, en línea con lo establecido por la Corte Suprema en el IX Pleno Casatorio Civil, previo a pronunciarse sobre dicha causal, el juzgado deberá mediante resolución judicial precisar que sobre dicho extremo emitirá pronunciamiento y deberá otorgar un plazo judic…”</t>
        </is>
      </c>
      <c r="R121" s="7" t="n"/>
      <c r="S121" s="7" t="n"/>
      <c r="T121" s="7" t="n"/>
      <c r="U121" s="7" t="n"/>
      <c r="V121" s="7" t="n"/>
      <c r="W121" s="7" t="n"/>
      <c r="X121" s="7" t="n"/>
      <c r="Y121" s="7" t="n"/>
      <c r="Z121" s="7" t="n"/>
      <c r="AA121" s="7" t="n"/>
      <c r="AB121" s="7" t="n"/>
      <c r="AC121" s="7" t="n"/>
      <c r="AD121" s="7" t="n"/>
      <c r="AE121" s="8" t="inlineStr">
        <is>
          <t>DECLARADO — pronunciamiento sobre una causal de nulidad no alegada, sin previo traslado (IX Pleno Casatorio Civil)</t>
        </is>
      </c>
      <c r="AF121" s="7" t="n"/>
      <c r="AG121" s="7" t="n"/>
      <c r="AH121" s="7" t="n"/>
      <c r="AI121" s="7" t="n"/>
      <c r="AJ121" s="7" t="n"/>
      <c r="AK121" s="7" t="n"/>
      <c r="AL121" s="8" t="inlineStr">
        <is>
          <t>DECLARADO — “…la recurrida ha incurrido en causal de nulidad prevista y sancionada en el artículo 171° concordante con el artículo 122° del Código Procesal Civil, por lo que deberá disponerse se emita nueva resolución teniendo en cuenta lo señalado en la presente. III. PARTE RESOL…”</t>
        </is>
      </c>
      <c r="AM121" s="7" t="n"/>
      <c r="AN121" s="7" t="n"/>
      <c r="AO121" s="7" t="n"/>
      <c r="AP121" s="7" t="inlineStr">
        <is>
          <t>Baja D10→— · Alta —→D16 · Migración D15→D23</t>
        </is>
      </c>
      <c r="AQ121" s="7" t="n"/>
      <c r="AR121" s="7" t="n"/>
      <c r="AS121" s="7" t="n"/>
      <c r="AT121" s="7" t="n"/>
      <c r="AU121" s="7" t="n"/>
      <c r="AV121" s="7" t="n"/>
      <c r="AW121" s="7" t="n"/>
      <c r="AX121" s="7" t="n"/>
      <c r="AY121" s="7" t="n"/>
      <c r="AZ121" s="7" t="n"/>
      <c r="BA121" s="7" t="n"/>
      <c r="BB121" s="7" t="inlineStr">
        <is>
          <t>Comparativa_defectos_2018_vs_2024 + Defectos_procesales_SV_CSJA</t>
        </is>
      </c>
      <c r="BC121" s="7" t="n">
        <v>2</v>
      </c>
      <c r="BD121" s="7" t="inlineStr">
        <is>
          <t>CONOCIMIENTO</t>
        </is>
      </c>
      <c r="BE121" s="7" t="inlineStr">
        <is>
          <t>NULA</t>
        </is>
      </c>
      <c r="BF121" s="7" t="inlineStr">
        <is>
          <t>CN</t>
        </is>
      </c>
    </row>
    <row r="122" ht="105.75" customHeight="1">
      <c r="A122" s="6" t="n">
        <v>121</v>
      </c>
      <c r="B122" s="6" t="inlineStr">
        <is>
          <t>06834-2022</t>
        </is>
      </c>
      <c r="C122" s="6" t="inlineStr">
        <is>
          <t>06834-2022-0-0401-JR-CI-02</t>
        </is>
      </c>
      <c r="D122" s="6" t="inlineStr">
        <is>
          <t>Llamoja — SV de control (2021-2023)</t>
        </is>
      </c>
      <c r="E122" s="6" t="inlineStr">
        <is>
          <t>Nulidad de acto jurídico</t>
        </is>
      </c>
      <c r="F122" s="6" t="inlineStr">
        <is>
          <t>2SC</t>
        </is>
      </c>
      <c r="G122" s="6" t="inlineStr">
        <is>
          <t>427-2025-2SC</t>
        </is>
      </c>
      <c r="H122" s="6" t="inlineStr">
        <is>
          <t>25</t>
        </is>
      </c>
      <c r="I122" s="6" t="inlineStr">
        <is>
          <t>dos mil veinticinco, Setiembre ocho</t>
        </is>
      </c>
      <c r="J122" s="6" t="inlineStr">
        <is>
          <t>2025</t>
        </is>
      </c>
      <c r="K122" s="6" t="n"/>
      <c r="L122" s="6" t="inlineStr">
        <is>
          <t>Paredes Bedregal</t>
        </is>
      </c>
      <c r="M122" s="6" t="inlineStr">
        <is>
          <t>NULA</t>
        </is>
      </c>
      <c r="N122" s="6" t="n">
        <v>3</v>
      </c>
      <c r="O122" s="6" t="n">
        <v>3</v>
      </c>
      <c r="P122" s="7" t="n"/>
      <c r="Q122" s="7" t="n"/>
      <c r="R122" s="7" t="n"/>
      <c r="S122" s="7" t="n"/>
      <c r="T122" s="7" t="n"/>
      <c r="U122" s="7" t="n"/>
      <c r="V122" s="8" t="inlineStr">
        <is>
          <t>DECLARADO — (evidencia en las columnas «Cita textual 1–3» de esta misma fila)</t>
        </is>
      </c>
      <c r="W122" s="7" t="n"/>
      <c r="X122" s="7" t="n"/>
      <c r="Y122" s="7" t="n"/>
      <c r="Z122" s="7" t="n"/>
      <c r="AA122" s="8" t="inlineStr">
        <is>
          <t>DECLARADO — (evidencia en las columnas «Cita textual 1–3» de esta misma fila)</t>
        </is>
      </c>
      <c r="AB122" s="8" t="inlineStr">
        <is>
          <t>DECLARADO — «la sentencia recurrida no se encuentra debidamente motivada, por haberse resuelto sin medios probatorios suficientes ni valorado debidamente toda la prueba aportada»</t>
        </is>
      </c>
      <c r="AC122" s="7" t="n"/>
      <c r="AD122" s="7" t="n"/>
      <c r="AE122" s="7" t="n"/>
      <c r="AF122" s="7" t="n"/>
      <c r="AG122" s="7" t="n"/>
      <c r="AH122" s="7" t="n"/>
      <c r="AI122" s="7" t="n"/>
      <c r="AJ122" s="7" t="n"/>
      <c r="AK122" s="7" t="n"/>
      <c r="AL122" s="7" t="n"/>
      <c r="AM122" s="7" t="n"/>
      <c r="AN122" s="7" t="n"/>
      <c r="AO122" s="7" t="n"/>
      <c r="AP122" s="7" t="inlineStr">
        <is>
          <t>Migración D11→D12 · Alta —→D13</t>
        </is>
      </c>
      <c r="AQ122" s="7" t="inlineStr">
        <is>
          <t>d) Motivación insuficiente</t>
        </is>
      </c>
      <c r="AR122" s="7" t="n"/>
      <c r="AS122" s="7" t="inlineStr">
        <is>
          <t>No</t>
        </is>
      </c>
      <c r="AT122" s="7" t="inlineStr">
        <is>
          <t>«En este sentido, se desprende que el A quo ha emitido sentencia sin tener a la vista el medio probatorio admitido a través de la resolución N° 09, documento que es necesario para corroborar o no lo afirmado por el codemandado, todo lo cual evidencia que la recurrida no sólo ha sido emitida con medios probatorios insuficientes, sino que carece de una debida motivación al no haber realizado una valoración conjunta de la prueba ofrecida en su conjunto de conformidad con lo establecido en el artículo 197 del Código Procesal Civil, todo lo cual conlleva a que la recurrida sea declarada nula.»</t>
        </is>
      </c>
      <c r="AU122" s="7" t="inlineStr">
        <is>
          <t>Prueba admitida y no actuada (Res. 09) + falta de valoración conjunta</t>
        </is>
      </c>
      <c r="AV122" s="7" t="inlineStr">
        <is>
          <t>«En conclusión, en mérito a lo expuesto precedentemente se concluye que la sentencia recurrida no se encuentra debidamente motivada, por haberse resuelto sin medios probatorios suficientes ni valorado debidamente toda la prueba aportada, contraviniendo de esta manera no sólo lo establecido en el inciso 3) del artículo 122 del Código Procesal Civil, sino también lo dispuesto en el inciso 5) del artículo 139 de nuestra Constitución Política, por lo que, corresponde declarar la nulidad de la apelada, de conformidad con el segundo párrafo del artículo 122 del Código Procesal acotado.»</t>
        </is>
      </c>
      <c r="AW122" s="7" t="inlineStr">
        <is>
          <t>d) Motivación insuficiente (arts. 122.3 CPC y 139.5 Const.)</t>
        </is>
      </c>
      <c r="AX122" s="7" t="n"/>
      <c r="AY122" s="7" t="n"/>
      <c r="AZ122" s="7" t="inlineStr">
        <is>
          <t>Sentencia emitida sin tener a la vista prueba admitida (Res. 09); 'carece de debida motivación' por falta de valoración conjunta (arts. 197 y 122.3 CPC).</t>
        </is>
      </c>
      <c r="BA122" s="7" t="inlineStr">
        <is>
          <t>6834 2022 sv 2025.doc</t>
        </is>
      </c>
      <c r="BB122" s="7" t="inlineStr">
        <is>
          <t>Clasificacion_SV_ABR24_Llamoja_defectos</t>
        </is>
      </c>
      <c r="BC122" s="7" t="n">
        <v>1</v>
      </c>
      <c r="BD122" s="7" t="inlineStr">
        <is>
          <t>ABREVIADO</t>
        </is>
      </c>
      <c r="BE122" s="7" t="inlineStr">
        <is>
          <t>NULA</t>
        </is>
      </c>
      <c r="BF122" s="7" t="inlineStr">
        <is>
          <t>AN</t>
        </is>
      </c>
    </row>
    <row r="123" ht="32.25" customHeight="1">
      <c r="A123" s="6" t="n">
        <v>122</v>
      </c>
      <c r="B123" s="6" t="inlineStr">
        <is>
          <t>06842-2014</t>
        </is>
      </c>
      <c r="C123" s="6" t="inlineStr">
        <is>
          <t>06842-2014</t>
        </is>
      </c>
      <c r="D123" s="6" t="inlineStr">
        <is>
          <t>Pre-2019</t>
        </is>
      </c>
      <c r="E123" s="6" t="n"/>
      <c r="F123" s="6" t="inlineStr">
        <is>
          <t>1SC</t>
        </is>
      </c>
      <c r="G123" s="6" t="inlineStr">
        <is>
          <t>SV N° 407-2018-1SC</t>
        </is>
      </c>
      <c r="H123" s="6" t="n"/>
      <c r="I123" s="6" t="inlineStr">
        <is>
          <t>10/08/2018</t>
        </is>
      </c>
      <c r="J123" s="6" t="inlineStr">
        <is>
          <t>2018</t>
        </is>
      </c>
      <c r="K123" s="6" t="n"/>
      <c r="L123" s="6" t="n"/>
      <c r="M123" s="6" t="inlineStr">
        <is>
          <t>Revocada</t>
        </is>
      </c>
      <c r="N123" s="6" t="n">
        <v>0</v>
      </c>
      <c r="O123" s="6" t="n">
        <v>0</v>
      </c>
      <c r="P123" s="7" t="n"/>
      <c r="Q123" s="7" t="n"/>
      <c r="R123" s="7" t="n"/>
      <c r="S123" s="7" t="n"/>
      <c r="T123" s="7" t="n"/>
      <c r="U123" s="7" t="n"/>
      <c r="V123" s="7" t="n"/>
      <c r="W123" s="7" t="n"/>
      <c r="X123" s="7" t="n"/>
      <c r="Y123" s="7" t="n"/>
      <c r="Z123" s="7" t="n"/>
      <c r="AA123" s="7" t="n"/>
      <c r="AB123" s="7" t="n"/>
      <c r="AC123" s="7" t="n"/>
      <c r="AD123" s="7" t="n"/>
      <c r="AE123" s="7" t="n"/>
      <c r="AF123" s="7" t="n"/>
      <c r="AG123" s="7" t="n"/>
      <c r="AH123" s="7" t="n"/>
      <c r="AI123" s="7" t="n"/>
      <c r="AJ123" s="7" t="n"/>
      <c r="AK123" s="7" t="n"/>
      <c r="AL123" s="7" t="n"/>
      <c r="AM123" s="7" t="n"/>
      <c r="AN123" s="7" t="n"/>
      <c r="AO123" s="7" t="n"/>
      <c r="AP123" s="7" t="n"/>
      <c r="AQ123" s="7" t="n"/>
      <c r="AR123" s="7" t="n"/>
      <c r="AS123" s="7" t="n"/>
      <c r="AT123" s="7" t="n"/>
      <c r="AU123" s="7" t="n"/>
      <c r="AV123" s="7" t="n"/>
      <c r="AW123" s="7" t="n"/>
      <c r="AX123" s="7" t="n"/>
      <c r="AY123" s="7" t="n"/>
      <c r="AZ123" s="7" t="n"/>
      <c r="BA123" s="7" t="n"/>
      <c r="BB123" s="7" t="inlineStr">
        <is>
          <t>Comparativa_defectos_2018_vs_2024 + Defectos_procesales_SV_CSJA</t>
        </is>
      </c>
      <c r="BC123" s="7" t="n">
        <v>2</v>
      </c>
      <c r="BD123" s="7" t="inlineStr">
        <is>
          <t>CONOCIMIENTO</t>
        </is>
      </c>
      <c r="BE123" s="7" t="inlineStr">
        <is>
          <t>REVOCADA</t>
        </is>
      </c>
      <c r="BF123" s="7" t="inlineStr">
        <is>
          <t>CR</t>
        </is>
      </c>
    </row>
    <row r="124" ht="74.25" customHeight="1">
      <c r="A124" s="6" t="n">
        <v>123</v>
      </c>
      <c r="B124" s="6" t="inlineStr">
        <is>
          <t>06866-2022</t>
        </is>
      </c>
      <c r="C124" s="6" t="inlineStr">
        <is>
          <t>06866-2022-0-0401-JR-CI-05</t>
        </is>
      </c>
      <c r="D124" s="6" t="inlineStr">
        <is>
          <t>Llamoja — SV de control (2021-2023)</t>
        </is>
      </c>
      <c r="E124" s="6" t="inlineStr">
        <is>
          <t>Otorgamiento de escritura pública</t>
        </is>
      </c>
      <c r="F124" s="6" t="inlineStr">
        <is>
          <t>3SC</t>
        </is>
      </c>
      <c r="G124" s="6" t="inlineStr">
        <is>
          <t>203-2025-3SC</t>
        </is>
      </c>
      <c r="H124" s="6" t="inlineStr">
        <is>
          <t>19</t>
        </is>
      </c>
      <c r="I124" s="6" t="inlineStr">
        <is>
          <t>dos mil veinticinco, Junio seis</t>
        </is>
      </c>
      <c r="J124" s="6" t="inlineStr">
        <is>
          <t>2025</t>
        </is>
      </c>
      <c r="K124" s="6" t="n"/>
      <c r="L124" s="6" t="inlineStr">
        <is>
          <t>Madariaga Condori</t>
        </is>
      </c>
      <c r="M124" s="6" t="inlineStr">
        <is>
          <t>NULA</t>
        </is>
      </c>
      <c r="N124" s="6" t="n">
        <v>1</v>
      </c>
      <c r="O124" s="6" t="n">
        <v>2</v>
      </c>
      <c r="P124" s="7" t="n"/>
      <c r="Q124" s="7" t="n"/>
      <c r="R124" s="7" t="n"/>
      <c r="S124" s="7" t="n"/>
      <c r="T124" s="7" t="n"/>
      <c r="U124" s="7" t="n"/>
      <c r="V124" s="7" t="n"/>
      <c r="W124" s="7" t="n"/>
      <c r="X124" s="7" t="n"/>
      <c r="Y124" s="7" t="n"/>
      <c r="Z124" s="7" t="n"/>
      <c r="AA124" s="7" t="n"/>
      <c r="AB124" s="7" t="n"/>
      <c r="AC124" s="7" t="n"/>
      <c r="AD124" s="7" t="n"/>
      <c r="AE124" s="10" t="inlineStr">
        <is>
          <t>ALEGADO — «la improcedencia de la demanda declarada en sentencia inhibitoria resulta extemporánea… vulnera el debido proceso material por haber efectuado una interpretación incongruente del derecho y de los hechos»</t>
        </is>
      </c>
      <c r="AF124" s="7" t="n"/>
      <c r="AG124" s="7" t="n"/>
      <c r="AH124" s="7" t="n"/>
      <c r="AI124" s="7" t="n"/>
      <c r="AJ124" s="8" t="inlineStr">
        <is>
          <t>DECLARADO — (evidencia en las columnas «Cita textual 1–3» de esta misma fila)</t>
        </is>
      </c>
      <c r="AK124" s="7" t="n"/>
      <c r="AL124" s="7" t="n"/>
      <c r="AM124" s="7" t="n"/>
      <c r="AN124" s="7" t="n"/>
      <c r="AO124" s="7" t="n"/>
      <c r="AP124" s="7" t="inlineStr">
        <is>
          <t>Migración D13→D21 · Alta —→D16 · Baja D20→—</t>
        </is>
      </c>
      <c r="AQ124" s="7" t="inlineStr">
        <is>
          <t>c) Deficiencia de motivación externa</t>
        </is>
      </c>
      <c r="AR124" s="7" t="n"/>
      <c r="AS124" s="7" t="inlineStr">
        <is>
          <t>Sí</t>
        </is>
      </c>
      <c r="AT124" s="7" t="inlineStr">
        <is>
          <t>«2.10) Las omisiones advertidas anteriormente y el error en la interpretación del contrato determinan que la resolución apelada haya incurrido en una deficiencia en la motivación externa, puesto que la premisa de la que ha partido el Juez no ha sido confrontada y analizada debidamente con el mérito de los actuados.»</t>
        </is>
      </c>
      <c r="AU124" s="7" t="inlineStr">
        <is>
          <t>c) Deficiencia de motivación externa (sumilla)</t>
        </is>
      </c>
      <c r="AV124" s="7" t="inlineStr">
        <is>
          <t>«2.2) La improcedencia de la demanda declarada en sentencia inhibitoria resulta extemporánea porque el juez tuvo hasta dos momentos para hacerlo, en la calificación de la demanda y en el saneamiento procesal, por tanto, dicha improcedencia por la falta de interés para obrar vulnera el debido proceso material por haber efectuado una interpretación incongruente del derecho y de los hechos, que da lugar a la nulidad de la sentencia.»</t>
        </is>
      </c>
      <c r="AW124" s="7" t="inlineStr">
        <is>
          <t>Sentencia inhibitoria extemporánea / incongruencia (agravio)</t>
        </is>
      </c>
      <c r="AX124" s="7" t="inlineStr">
        <is>
          <t>«2.11) En consecuencia, corresponde que la decisión de improcedencia contenida en la recurrida sea declarada nula y se proceda a emitir nuevo pronunciamiento sobre el fondo del proceso, teniendo en cuenta las consideraciones expuestas en la presente resolución.»</t>
        </is>
      </c>
      <c r="AY124" s="7" t="inlineStr">
        <is>
          <t>Efecto: nulidad y pronunciamiento de fondo</t>
        </is>
      </c>
      <c r="AZ124" s="7" t="inlineStr">
        <is>
          <t>Sumilla y 2.10 etiquetan 'deficiencia en la motivación externa'. Concurre sentencia inhibitoria extemporánea y omisión del IX Pleno Casatorio.</t>
        </is>
      </c>
      <c r="BA124" s="7" t="inlineStr">
        <is>
          <t>6866 2022 SV 2025.doc</t>
        </is>
      </c>
      <c r="BB124" s="7" t="inlineStr">
        <is>
          <t>Clasificacion_SV_ABR24_Llamoja_defectos</t>
        </is>
      </c>
      <c r="BC124" s="7" t="n">
        <v>1</v>
      </c>
      <c r="BD124" s="7" t="inlineStr">
        <is>
          <t>ABREVIADO</t>
        </is>
      </c>
      <c r="BE124" s="7" t="inlineStr">
        <is>
          <t>NULA</t>
        </is>
      </c>
      <c r="BF124" s="7" t="inlineStr">
        <is>
          <t>AN</t>
        </is>
      </c>
    </row>
    <row r="125" ht="74.25" customHeight="1">
      <c r="A125" s="6" t="n">
        <v>124</v>
      </c>
      <c r="B125" s="6" t="inlineStr">
        <is>
          <t>06942-2023</t>
        </is>
      </c>
      <c r="C125" s="6" t="inlineStr">
        <is>
          <t>06942-2023-0-0401-JR-CI-05</t>
        </is>
      </c>
      <c r="D125" s="6" t="inlineStr">
        <is>
          <t>Matriz sumarísimos — grupo 2024</t>
        </is>
      </c>
      <c r="E125" s="6" t="inlineStr">
        <is>
          <t>Desalojo por precario</t>
        </is>
      </c>
      <c r="F125" s="6" t="inlineStr">
        <is>
          <t>1SC</t>
        </is>
      </c>
      <c r="G125" s="6" t="inlineStr">
        <is>
          <t>SV 362-2025-1SC</t>
        </is>
      </c>
      <c r="H125" s="6" t="inlineStr">
        <is>
          <t>Res. 14 (cinco-1SC)</t>
        </is>
      </c>
      <c r="I125" s="6" t="inlineStr">
        <is>
          <t>27/08/2025</t>
        </is>
      </c>
      <c r="J125" s="6" t="inlineStr">
        <is>
          <t>2025</t>
        </is>
      </c>
      <c r="K125" s="6" t="inlineStr">
        <is>
          <t>Ronald Valencia de Romaña</t>
        </is>
      </c>
      <c r="L125" s="6" t="n"/>
      <c r="M125" s="6" t="inlineStr">
        <is>
          <t>REVOCADA → INFUNDADA</t>
        </is>
      </c>
      <c r="N125" s="6" t="n">
        <v>0</v>
      </c>
      <c r="O125" s="6" t="n">
        <v>2</v>
      </c>
      <c r="P125" s="10" t="inlineStr">
        <is>
          <t>ALEGADO — «El demandado no ha sido correctamente notificado con la demanda y anexos, pues ha sido notificado en un domicilio distinto ya que, conforme el aviso de notificación, dicho domicilio tiene como suministro N.° 8439 y el suministro de su domicilio es N.° 491892»</t>
        </is>
      </c>
      <c r="Q125" s="7" t="n"/>
      <c r="R125" s="7" t="n"/>
      <c r="S125" s="10" t="inlineStr">
        <is>
          <t>ALEGADO — nulidad de actuados por rebeldía derivada de la notificación cuestionada</t>
        </is>
      </c>
      <c r="T125" s="7" t="n"/>
      <c r="U125" s="7" t="n"/>
      <c r="V125" s="7" t="n"/>
      <c r="W125" s="7" t="n"/>
      <c r="X125" s="7" t="n"/>
      <c r="Y125" s="7" t="n"/>
      <c r="Z125" s="7" t="n"/>
      <c r="AA125" s="7" t="n"/>
      <c r="AB125" s="7" t="n"/>
      <c r="AC125" s="7" t="n"/>
      <c r="AD125" s="7" t="n"/>
      <c r="AE125" s="7" t="n"/>
      <c r="AF125" s="7" t="n"/>
      <c r="AG125" s="7" t="n"/>
      <c r="AH125" s="7" t="n"/>
      <c r="AI125" s="7" t="n"/>
      <c r="AJ125" s="7" t="n"/>
      <c r="AK125" s="7" t="n"/>
      <c r="AL125" s="7" t="n"/>
      <c r="AM125" s="7" t="n"/>
      <c r="AN125" s="7" t="n"/>
      <c r="AO125" s="7" t="n"/>
      <c r="AP125" s="7" t="n"/>
      <c r="AQ125" s="7" t="n"/>
      <c r="AR125" s="7" t="n"/>
      <c r="AS125" s="7" t="n"/>
      <c r="AT125" s="7" t="n"/>
      <c r="AU125" s="7" t="n"/>
      <c r="AV125" s="7" t="n"/>
      <c r="AW125" s="7" t="n"/>
      <c r="AX125" s="7" t="n"/>
      <c r="AY125" s="7" t="n"/>
      <c r="AZ125" s="7" t="inlineStr">
        <is>
          <t>La Sala no se pronuncia sobre la nulidad deducida; revoca por el fondo (cesión de derechos del copropietario acreditada por carta notarial no cuestionada).</t>
        </is>
      </c>
      <c r="BA125" s="7" t="n"/>
      <c r="BB125" s="7" t="inlineStr">
        <is>
          <t>Matriz_defectos_procesales_1ra_SV</t>
        </is>
      </c>
      <c r="BC125" s="7" t="n">
        <v>1</v>
      </c>
      <c r="BD125" s="7" t="inlineStr">
        <is>
          <t>SUMARISIMO</t>
        </is>
      </c>
      <c r="BE125" s="7" t="inlineStr">
        <is>
          <t>REVOCADA</t>
        </is>
      </c>
      <c r="BF125" s="7" t="inlineStr">
        <is>
          <t>SR</t>
        </is>
      </c>
    </row>
    <row r="126" ht="137.25" customHeight="1">
      <c r="A126" s="6" t="n">
        <v>125</v>
      </c>
      <c r="B126" s="6" t="inlineStr">
        <is>
          <t>07287-2022</t>
        </is>
      </c>
      <c r="C126" s="6" t="inlineStr">
        <is>
          <t>07287-2022-0-0401-JR-CI-07</t>
        </is>
      </c>
      <c r="D126" s="6" t="inlineStr">
        <is>
          <t>Llamoja — SV de control (2021-2023)</t>
        </is>
      </c>
      <c r="E126" s="6" t="inlineStr">
        <is>
          <t>Reivindicación</t>
        </is>
      </c>
      <c r="F126" s="6" t="inlineStr">
        <is>
          <t>1SC</t>
        </is>
      </c>
      <c r="G126" s="6" t="n"/>
      <c r="H126" s="6" t="inlineStr">
        <is>
          <t>21</t>
        </is>
      </c>
      <c r="I126" s="6" t="inlineStr">
        <is>
          <t>dos mil veinticuatro, diciembre diecisiete</t>
        </is>
      </c>
      <c r="J126" s="6" t="inlineStr">
        <is>
          <t>2024</t>
        </is>
      </c>
      <c r="K126" s="6" t="n"/>
      <c r="L126" s="6" t="inlineStr">
        <is>
          <t>Polanco Gutiérrez</t>
        </is>
      </c>
      <c r="M126" s="6" t="inlineStr">
        <is>
          <t>NULA + suspensión del proceso</t>
        </is>
      </c>
      <c r="N126" s="6" t="n">
        <v>1</v>
      </c>
      <c r="O126" s="6" t="n">
        <v>2</v>
      </c>
      <c r="P126" s="7" t="n"/>
      <c r="Q126" s="7" t="n"/>
      <c r="R126" s="7" t="n"/>
      <c r="S126" s="7" t="n"/>
      <c r="T126" s="7" t="n"/>
      <c r="U126" s="7" t="n"/>
      <c r="V126" s="7" t="n"/>
      <c r="W126" s="7" t="n"/>
      <c r="X126" s="7" t="n"/>
      <c r="Y126" s="7" t="n"/>
      <c r="Z126" s="7" t="n"/>
      <c r="AA126" s="7" t="n"/>
      <c r="AB126" s="7" t="n"/>
      <c r="AC126" s="7" t="n"/>
      <c r="AD126" s="7" t="n"/>
      <c r="AE126" s="10" t="inlineStr">
        <is>
          <t>ALEGADO — (evidencia en las columnas «Cita textual 1–3» de esta misma fila)</t>
        </is>
      </c>
      <c r="AF126" s="7" t="n"/>
      <c r="AG126" s="7" t="n"/>
      <c r="AH126" s="8" t="inlineStr">
        <is>
          <t>DECLARADO — (evidencia en las columnas «Cita textual 1–3» de esta misma fila)</t>
        </is>
      </c>
      <c r="AI126" s="7" t="n"/>
      <c r="AJ126" s="7" t="n"/>
      <c r="AK126" s="7" t="n"/>
      <c r="AL126" s="7" t="n"/>
      <c r="AM126" s="7" t="n"/>
      <c r="AN126" s="7" t="n"/>
      <c r="AO126" s="7" t="n"/>
      <c r="AP126" s="7" t="inlineStr">
        <is>
          <t>Reclasificación de estatus D16→D16 (alegado)</t>
        </is>
      </c>
      <c r="AQ126" s="7" t="inlineStr">
        <is>
          <t>— Sin vicio de motivación como causal</t>
        </is>
      </c>
      <c r="AR126" s="7" t="n"/>
      <c r="AS126" s="7" t="inlineStr">
        <is>
          <t>No</t>
        </is>
      </c>
      <c r="AT126" s="7" t="inlineStr">
        <is>
          <t>«Pues bien, conforme a la nueva sentencia acompañada, a partir de fojas ciento noventa y tres, la recurrida deviene en nula en aplicación de lo establecido por los incisos 3 y 4 del artículo 122 del Código Procesal Civil, al no haber considerado la existencia de un probable derecho de copropiedad del impugnante, que tendrá que ser dilucidado previamente.»</t>
        </is>
      </c>
      <c r="AU126" s="7" t="inlineStr">
        <is>
          <t>Omisión de resolver cuestión previa: copropiedad en discusión (art. 122.3 y 122.4)</t>
        </is>
      </c>
      <c r="AV126" s="7" t="inlineStr">
        <is>
          <t>«Razones por las que, SE RESUELVE: 1) DECLARAR NULA la resolución catorce que contiene la sentencia número veintiséis guion dos mil veinticuatro, de fecha veinticuatro de mayo del dos mil veinticuatro, obrante a fojas ciento sesenta y siguientes, que declaró: “1) FUNDADA la demanda de interpuesta por PABLO GUSTAVO DE LA CRUZ ZEGARRA ACOSTA en representación de EDIXON GUSTAVO ZEGARRA VIZCARRA en contra de JULIO CÉSAR ZEGARRA ZEGARRA y MARÍA JANET CHUQUIMALLCO QUISPE sobre REIVINDICACIÓN …” con lo demás que contiene; 2) SUSPENDER el presente proceso, hasta que el proceso expediente N.° 04846-2017-0-0401-JR-CI-07 emita sentencia y esta tenga la calidad de cosa juzgada; luego de ello, se renovará el acto procesal anulado; y los devolvieron.»</t>
        </is>
      </c>
      <c r="AW126" s="7" t="inlineStr">
        <is>
          <t>Efecto: nulidad y suspensión hasta cosa juzgada (exp. 04846-2017)</t>
        </is>
      </c>
      <c r="AX126" s="7" t="n"/>
      <c r="AY126" s="7" t="n"/>
      <c r="AZ126" s="7" t="inlineStr">
        <is>
          <t>Prejudicialidad: copropiedad del demandado en discusión en exp. 04846-2017; anula por arts. 122.3 y 122.4 CPC y suspende hasta cosa juzgada. El apelante alegó sentencia incongruente.</t>
        </is>
      </c>
      <c r="BA126" s="7" t="inlineStr">
        <is>
          <t>7287 2022 SV.doc</t>
        </is>
      </c>
      <c r="BB126" s="7" t="inlineStr">
        <is>
          <t>Clasificacion_SV_ABR24_Llamoja_defectos</t>
        </is>
      </c>
      <c r="BC126" s="7" t="n">
        <v>1</v>
      </c>
      <c r="BD126" s="7" t="inlineStr">
        <is>
          <t>ABREVIADO</t>
        </is>
      </c>
      <c r="BE126" s="7" t="inlineStr">
        <is>
          <t>NULA</t>
        </is>
      </c>
      <c r="BF126" s="7" t="inlineStr">
        <is>
          <t>AN</t>
        </is>
      </c>
    </row>
    <row r="127" ht="53.25" customHeight="1">
      <c r="A127" s="6" t="n">
        <v>126</v>
      </c>
      <c r="B127" s="6" t="inlineStr">
        <is>
          <t>07288-2022</t>
        </is>
      </c>
      <c r="C127" s="6" t="inlineStr">
        <is>
          <t>07288-2022-0-0401-JR-CI-08</t>
        </is>
      </c>
      <c r="D127" s="6" t="inlineStr">
        <is>
          <t>Matriz sumarísimos — grupo 2024</t>
        </is>
      </c>
      <c r="E127" s="6" t="inlineStr">
        <is>
          <t>Desalojo por ocupación precaria</t>
        </is>
      </c>
      <c r="F127" s="6" t="inlineStr">
        <is>
          <t>3SC</t>
        </is>
      </c>
      <c r="G127" s="6" t="inlineStr">
        <is>
          <t>SV 228-2025-3SC</t>
        </is>
      </c>
      <c r="H127" s="6" t="inlineStr">
        <is>
          <t>Res. 17 (tres)</t>
        </is>
      </c>
      <c r="I127" s="6" t="inlineStr">
        <is>
          <t>09/06/2025</t>
        </is>
      </c>
      <c r="J127" s="6" t="inlineStr">
        <is>
          <t>2025</t>
        </is>
      </c>
      <c r="K127" s="6" t="inlineStr">
        <is>
          <t>Omar del Carpio Medina</t>
        </is>
      </c>
      <c r="L127" s="6" t="n"/>
      <c r="M127" s="6" t="inlineStr">
        <is>
          <t>REVOCADA → FUNDADA</t>
        </is>
      </c>
      <c r="N127" s="6" t="n">
        <v>0</v>
      </c>
      <c r="O127" s="6" t="n">
        <v>1</v>
      </c>
      <c r="P127" s="7" t="n"/>
      <c r="Q127" s="7" t="n"/>
      <c r="R127" s="7" t="n"/>
      <c r="S127" s="7" t="n"/>
      <c r="T127" s="7" t="n"/>
      <c r="U127" s="7" t="n"/>
      <c r="V127" s="7" t="n"/>
      <c r="W127" s="7" t="n"/>
      <c r="X127" s="7" t="n"/>
      <c r="Y127" s="7" t="n"/>
      <c r="Z127" s="7" t="n"/>
      <c r="AA127" s="7" t="n"/>
      <c r="AB127" s="10" t="inlineStr">
        <is>
          <t>ALEGADO — «se ha realizado una incorrecta percepción sobre los medios de prueba y los hechos, los que tampoco fueron valorados… por ende, la recurrida carece de motivación»</t>
        </is>
      </c>
      <c r="AC127" s="7" t="n"/>
      <c r="AD127" s="7" t="n"/>
      <c r="AE127" s="7" t="n"/>
      <c r="AF127" s="7" t="n"/>
      <c r="AG127" s="7" t="n"/>
      <c r="AH127" s="7" t="n"/>
      <c r="AI127" s="7" t="n"/>
      <c r="AJ127" s="7" t="n"/>
      <c r="AK127" s="7" t="n"/>
      <c r="AL127" s="7" t="n"/>
      <c r="AM127" s="7" t="n"/>
      <c r="AN127" s="7" t="n"/>
      <c r="AO127" s="7" t="n"/>
      <c r="AP127" s="7" t="n"/>
      <c r="AQ127" s="7" t="n"/>
      <c r="AR127" s="7" t="n"/>
      <c r="AS127" s="7" t="n"/>
      <c r="AT127" s="7" t="n"/>
      <c r="AU127" s="7" t="n"/>
      <c r="AV127" s="7" t="n"/>
      <c r="AW127" s="7" t="n"/>
      <c r="AX127" s="7" t="n"/>
      <c r="AY127" s="7" t="n"/>
      <c r="AZ127" s="7" t="inlineStr">
        <is>
          <t>La prueba de oficio (inspección judicial, Res. N° 7) fue admitida con motivación expresa; la Sala no advierte irregularidad. Revoca por el fondo.</t>
        </is>
      </c>
      <c r="BA127" s="7" t="n"/>
      <c r="BB127" s="7" t="inlineStr">
        <is>
          <t>Matriz_defectos_procesales_1ra_SV</t>
        </is>
      </c>
      <c r="BC127" s="7" t="n">
        <v>1</v>
      </c>
      <c r="BD127" s="7" t="inlineStr">
        <is>
          <t>SUMARISIMO</t>
        </is>
      </c>
      <c r="BE127" s="7" t="inlineStr">
        <is>
          <t>REVOCADA</t>
        </is>
      </c>
      <c r="BF127" s="7" t="inlineStr">
        <is>
          <t>SR</t>
        </is>
      </c>
    </row>
    <row r="128" ht="116.25" customHeight="1">
      <c r="A128" s="6" t="n">
        <v>127</v>
      </c>
      <c r="B128" s="6" t="inlineStr">
        <is>
          <t>07296-2022</t>
        </is>
      </c>
      <c r="C128" s="6" t="inlineStr">
        <is>
          <t>07296-2022-0-0401-JR-CI-07</t>
        </is>
      </c>
      <c r="D128" s="6" t="inlineStr">
        <is>
          <t>Llamoja — SV de control (2021-2023)</t>
        </is>
      </c>
      <c r="E128" s="6" t="inlineStr">
        <is>
          <t>Prescripción adquisitiva</t>
        </is>
      </c>
      <c r="F128" s="6" t="inlineStr">
        <is>
          <t>3SC</t>
        </is>
      </c>
      <c r="G128" s="6" t="inlineStr">
        <is>
          <t>250-2025-3SC</t>
        </is>
      </c>
      <c r="H128" s="6" t="inlineStr">
        <is>
          <t>29</t>
        </is>
      </c>
      <c r="I128" s="6" t="inlineStr">
        <is>
          <t>dos mil veinticinco, Junio veinte</t>
        </is>
      </c>
      <c r="J128" s="6" t="inlineStr">
        <is>
          <t>2025</t>
        </is>
      </c>
      <c r="K128" s="6" t="n"/>
      <c r="L128" s="6" t="inlineStr">
        <is>
          <t>Burga Cervantes</t>
        </is>
      </c>
      <c r="M128" s="6" t="inlineStr">
        <is>
          <t>NULA</t>
        </is>
      </c>
      <c r="N128" s="6" t="n">
        <v>2</v>
      </c>
      <c r="O128" s="6" t="n">
        <v>2</v>
      </c>
      <c r="P128" s="7" t="n"/>
      <c r="Q128" s="7" t="n"/>
      <c r="R128" s="7" t="n"/>
      <c r="S128" s="7" t="n"/>
      <c r="T128" s="7" t="n"/>
      <c r="U128" s="7" t="n"/>
      <c r="V128" s="7" t="n"/>
      <c r="W128" s="7" t="n"/>
      <c r="X128" s="7" t="n"/>
      <c r="Y128" s="7" t="n"/>
      <c r="Z128" s="7" t="n"/>
      <c r="AA128" s="8" t="inlineStr">
        <is>
          <t>DECLARADO — (evidencia en las columnas «Cita textual 1–3» de esta misma fila)</t>
        </is>
      </c>
      <c r="AB128" s="8" t="inlineStr">
        <is>
          <t>DECLARADO — (evidencia en las columnas «Cita textual 1–3» de esta misma fila)</t>
        </is>
      </c>
      <c r="AC128" s="7" t="n"/>
      <c r="AD128" s="7" t="n"/>
      <c r="AE128" s="7" t="n"/>
      <c r="AF128" s="7" t="n"/>
      <c r="AG128" s="7" t="n"/>
      <c r="AH128" s="7" t="n"/>
      <c r="AI128" s="7" t="n"/>
      <c r="AJ128" s="7" t="n"/>
      <c r="AK128" s="7" t="n"/>
      <c r="AL128" s="7" t="n"/>
      <c r="AM128" s="7" t="n"/>
      <c r="AN128" s="7" t="n"/>
      <c r="AO128" s="7" t="inlineStr">
        <is>
          <t>La Sala cita el supuesto c) de Llamoja en el marco doctrinario pero concluye en «análisis suficiente» (supuesto d). Verificar cuál es la ratio antes de conservar la asignación.</t>
        </is>
      </c>
      <c r="AP128" s="7" t="n"/>
      <c r="AQ128" s="7" t="inlineStr">
        <is>
          <t>c) Deficiencia de motivación externa</t>
        </is>
      </c>
      <c r="AR128" s="7" t="inlineStr">
        <is>
          <t>d) Motivación insuficiente</t>
        </is>
      </c>
      <c r="AS128" s="7" t="inlineStr">
        <is>
          <t>Parcial</t>
        </is>
      </c>
      <c r="AT128" s="7" t="inlineStr">
        <is>
          <t>«En ese orden, este colegiado advierte que el Juez de primera instancia no ha realizado un análisis suficiente de lo actuado en autos, y de los requisititos necesarios para declarar la prescripción adquisitiva de dominio del bien materia de litis; por lo que, corresponde declarar nula la sentencia venida en grado, disponiendo que el Juez de origen emita un nuevo pronunciamiento conforme a derecho y teniendo en cuenta las consideraciones expuestas en la presente.»</t>
        </is>
      </c>
      <c r="AU128" s="7" t="inlineStr">
        <is>
          <t>d) Motivación insuficiente / valoración probatoria defectuosa</t>
        </is>
      </c>
      <c r="AV128" s="7" t="inlineStr">
        <is>
          <t>«Al respecto, el Tribunal Constitucional, en la sentencia recaída en el expediente 0728-2008-PHC/TC, caso Giuliana Llamoja, ha señalado en su fundamento 7 que el contenido constitucionalmente garantizado del derecho a la debida motivación de resoluciones judiciales queda delimitado, entre otros, en los siguientes supuestos: “c) Deficiencias en la motivación externa; justificación de las premisas.- El control de la motivación también puede autorizar la actuación del juez constitucional cuando las premisas de las que parte el Juez no han sido confrontadas o analizadas respecto de su validez fáctica o jurídica.»</t>
        </is>
      </c>
      <c r="AW128" s="7" t="inlineStr">
        <is>
          <t>Marco: cita expresa de Llamoja, supuesto c)</t>
        </is>
      </c>
      <c r="AX128" s="7" t="n"/>
      <c r="AY128" s="7" t="n"/>
      <c r="AZ128" s="7" t="inlineStr">
        <is>
          <t>Cita Llamoja c) en el marco doctrinario; la conclusión habla de 'análisis suficiente' (d). Ambigua entre c) y d).</t>
        </is>
      </c>
      <c r="BA128" s="7" t="inlineStr">
        <is>
          <t>7296 2022 SV.doc</t>
        </is>
      </c>
      <c r="BB128" s="7" t="inlineStr">
        <is>
          <t>Clasificacion_SV_ABR24_Llamoja_defectos</t>
        </is>
      </c>
      <c r="BC128" s="7" t="n">
        <v>1</v>
      </c>
      <c r="BD128" s="7" t="inlineStr">
        <is>
          <t>ABREVIADO</t>
        </is>
      </c>
      <c r="BE128" s="7" t="inlineStr">
        <is>
          <t>NULA</t>
        </is>
      </c>
      <c r="BF128" s="7" t="inlineStr">
        <is>
          <t>AN</t>
        </is>
      </c>
    </row>
    <row r="129" ht="95.25" customHeight="1">
      <c r="A129" s="6" t="n">
        <v>128</v>
      </c>
      <c r="B129" s="6" t="inlineStr">
        <is>
          <t>07480-2014</t>
        </is>
      </c>
      <c r="C129" s="6" t="inlineStr">
        <is>
          <t>07480-2014</t>
        </is>
      </c>
      <c r="D129" s="6" t="inlineStr">
        <is>
          <t>Pre-2019</t>
        </is>
      </c>
      <c r="E129" s="6" t="n"/>
      <c r="F129" s="6" t="inlineStr">
        <is>
          <t>2SC</t>
        </is>
      </c>
      <c r="G129" s="6" t="inlineStr">
        <is>
          <t>SV N° 648-2018-2SC</t>
        </is>
      </c>
      <c r="H129" s="6" t="n"/>
      <c r="I129" s="6" t="inlineStr">
        <is>
          <t>17/12/2018</t>
        </is>
      </c>
      <c r="J129" s="6" t="inlineStr">
        <is>
          <t>2018</t>
        </is>
      </c>
      <c r="K129" s="6" t="n"/>
      <c r="L129" s="6" t="n"/>
      <c r="M129" s="6" t="inlineStr">
        <is>
          <t>Nula</t>
        </is>
      </c>
      <c r="N129" s="6" t="n">
        <v>1</v>
      </c>
      <c r="O129" s="6" t="n">
        <v>2</v>
      </c>
      <c r="P129" s="7" t="n"/>
      <c r="Q129" s="9" t="inlineStr">
        <is>
          <t>DERIVADO — “…xtemporáneos ofrecidos por la parte demandada a fojas 1538, se ha atentado contra el debido proceso y derecho a la defensa d la parte demandante, incurriendo en causal de nulidad que este Colegiado debe sancionar en aplicación del artículo 176 del Código Procesal Civil, reponiéndose el proceso al estado de que el Juez A…”</t>
        </is>
      </c>
      <c r="R129" s="7" t="n"/>
      <c r="S129" s="7" t="n"/>
      <c r="T129" s="7" t="n"/>
      <c r="U129" s="7" t="n"/>
      <c r="V129" s="7" t="n"/>
      <c r="W129" s="7" t="n"/>
      <c r="X129" s="7" t="n"/>
      <c r="Y129" s="7" t="n"/>
      <c r="Z129" s="7" t="n"/>
      <c r="AA129" s="7" t="n"/>
      <c r="AB129" s="7" t="n"/>
      <c r="AC129" s="7" t="n"/>
      <c r="AD129" s="7" t="n"/>
      <c r="AE129" s="7" t="n"/>
      <c r="AF129" s="7" t="n"/>
      <c r="AG129" s="7" t="n"/>
      <c r="AH129" s="8" t="inlineStr">
        <is>
          <t>DECLARADO — “…al haberse emitido Sentencia, estando pendiente de calificar el ofrecimiento de medios probatorios extemporáneos ofrecidos por la parte demandada a fojas 1538, se ha atentado contra el debido proceso y derecho a la defensa d la parte demandante, incurriendo en causal de nulidad q…”</t>
        </is>
      </c>
      <c r="AI129" s="7" t="n"/>
      <c r="AJ129" s="7" t="n"/>
      <c r="AK129" s="7" t="n"/>
      <c r="AL129" s="7" t="n"/>
      <c r="AM129" s="7" t="n"/>
      <c r="AN129" s="7" t="n"/>
      <c r="AO129" s="7" t="n"/>
      <c r="AP129" s="7" t="inlineStr">
        <is>
          <t>Baja D08→— · Reclasificación de estatus D02→D02 (derivado)</t>
        </is>
      </c>
      <c r="AQ129" s="7" t="n"/>
      <c r="AR129" s="7" t="n"/>
      <c r="AS129" s="7" t="n"/>
      <c r="AT129" s="7" t="n"/>
      <c r="AU129" s="7" t="n"/>
      <c r="AV129" s="7" t="n"/>
      <c r="AW129" s="7" t="n"/>
      <c r="AX129" s="7" t="n"/>
      <c r="AY129" s="7" t="n"/>
      <c r="AZ129" s="7" t="n"/>
      <c r="BA129" s="7" t="n"/>
      <c r="BB129" s="7" t="inlineStr">
        <is>
          <t>Comparativa_defectos_2018_vs_2024 + Defectos_procesales_SV_CSJA</t>
        </is>
      </c>
      <c r="BC129" s="7" t="n">
        <v>2</v>
      </c>
      <c r="BD129" s="7" t="inlineStr">
        <is>
          <t>CONOCIMIENTO</t>
        </is>
      </c>
      <c r="BE129" s="7" t="inlineStr">
        <is>
          <t>NULA</t>
        </is>
      </c>
      <c r="BF129" s="7" t="inlineStr">
        <is>
          <t>CN</t>
        </is>
      </c>
    </row>
    <row r="130" ht="84.75" customHeight="1">
      <c r="A130" s="6" t="n">
        <v>129</v>
      </c>
      <c r="B130" s="6" t="inlineStr">
        <is>
          <t>07590-2022</t>
        </is>
      </c>
      <c r="C130" s="6" t="inlineStr">
        <is>
          <t>07590-2022-0-0401-JR-CI-05</t>
        </is>
      </c>
      <c r="D130" s="6" t="inlineStr">
        <is>
          <t>Matriz sumarísimos — grupo 2024</t>
        </is>
      </c>
      <c r="E130" s="6" t="inlineStr">
        <is>
          <t>Interdicto de recobrar</t>
        </is>
      </c>
      <c r="F130" s="6" t="inlineStr">
        <is>
          <t>1SC</t>
        </is>
      </c>
      <c r="G130" s="6" t="inlineStr">
        <is>
          <t>SV 357-2024-1SC</t>
        </is>
      </c>
      <c r="H130" s="6" t="inlineStr">
        <is>
          <t>Res. 21 (seis-1SC)</t>
        </is>
      </c>
      <c r="I130" s="6" t="inlineStr">
        <is>
          <t>07/08/2024</t>
        </is>
      </c>
      <c r="J130" s="6" t="inlineStr">
        <is>
          <t>2024</t>
        </is>
      </c>
      <c r="K130" s="6" t="inlineStr">
        <is>
          <t>Ronald Valencia de Romaña</t>
        </is>
      </c>
      <c r="L130" s="6" t="n"/>
      <c r="M130" s="6" t="inlineStr">
        <is>
          <t>REVOCADA → FUNDADA</t>
        </is>
      </c>
      <c r="N130" s="6" t="n">
        <v>0</v>
      </c>
      <c r="O130" s="6" t="n">
        <v>2</v>
      </c>
      <c r="P130" s="7" t="n"/>
      <c r="Q130" s="7" t="n"/>
      <c r="R130" s="7" t="n"/>
      <c r="S130" s="7" t="n"/>
      <c r="T130" s="7" t="n"/>
      <c r="U130" s="10" t="inlineStr">
        <is>
          <t>ALEGADO — «el A quo no ha determinado en sentencia los puntos controvertidos sobre los que versará la valoración de la prueba»</t>
        </is>
      </c>
      <c r="V130" s="7" t="n"/>
      <c r="W130" s="7" t="n"/>
      <c r="X130" s="7" t="n"/>
      <c r="Y130" s="7" t="n"/>
      <c r="Z130" s="9" t="inlineStr">
        <is>
          <t>ADVERTIDO — «habiendo debido el A quo verificar, más que por el derecho posesorio que pudiera tener la demandante, por el simple hecho que, al momento de denunciar la presunta usurpación, se encontró al esposo de la recurrente, permitiendo deducir que esta sí ejercía la posesión del bien»</t>
        </is>
      </c>
      <c r="AA130" s="7" t="n"/>
      <c r="AB130" s="7" t="n"/>
      <c r="AC130" s="7" t="n"/>
      <c r="AD130" s="7" t="n"/>
      <c r="AE130" s="7" t="n"/>
      <c r="AF130" s="7" t="n"/>
      <c r="AG130" s="7" t="n"/>
      <c r="AH130" s="7" t="n"/>
      <c r="AI130" s="7" t="n"/>
      <c r="AJ130" s="7" t="n"/>
      <c r="AK130" s="7" t="n"/>
      <c r="AL130" s="7" t="n"/>
      <c r="AM130" s="7" t="n"/>
      <c r="AN130" s="7" t="n"/>
      <c r="AO130" s="7" t="n"/>
      <c r="AP130" s="7" t="inlineStr">
        <is>
          <t>Baja D20→— · Reclasificación de estatus D11→D11 (advertido)</t>
        </is>
      </c>
      <c r="AQ130" s="7" t="n"/>
      <c r="AR130" s="7" t="n"/>
      <c r="AS130" s="7" t="n"/>
      <c r="AT130" s="7" t="n"/>
      <c r="AU130" s="7" t="n"/>
      <c r="AV130" s="7" t="n"/>
      <c r="AW130" s="7" t="n"/>
      <c r="AX130" s="7" t="n"/>
      <c r="AY130" s="7" t="n"/>
      <c r="AZ130" s="7" t="inlineStr">
        <is>
          <t>Vicio de valoración corregido en instancia (sin reenvío), invocando la Casación N° 3065-2018-Arequipa.</t>
        </is>
      </c>
      <c r="BA130" s="7" t="n"/>
      <c r="BB130" s="7" t="inlineStr">
        <is>
          <t>Matriz_defectos_procesales_1ra_SV</t>
        </is>
      </c>
      <c r="BC130" s="7" t="n">
        <v>1</v>
      </c>
      <c r="BD130" s="7" t="inlineStr">
        <is>
          <t>SUMARISIMO</t>
        </is>
      </c>
      <c r="BE130" s="7" t="inlineStr">
        <is>
          <t>REVOCADA</t>
        </is>
      </c>
      <c r="BF130" s="7" t="inlineStr">
        <is>
          <t>SR</t>
        </is>
      </c>
    </row>
    <row r="131" ht="105.75" customHeight="1">
      <c r="A131" s="6" t="n">
        <v>130</v>
      </c>
      <c r="B131" s="6" t="inlineStr">
        <is>
          <t>07595-2022</t>
        </is>
      </c>
      <c r="C131" s="6" t="inlineStr">
        <is>
          <t>07595-2022-0-0401-JR-CI-04</t>
        </is>
      </c>
      <c r="D131" s="6" t="inlineStr">
        <is>
          <t>Llamoja — SV de control (2021-2023)</t>
        </is>
      </c>
      <c r="E131" s="6" t="inlineStr">
        <is>
          <t>Prescripción adquisitiva (vehículo)</t>
        </is>
      </c>
      <c r="F131" s="6" t="inlineStr">
        <is>
          <t>2SC</t>
        </is>
      </c>
      <c r="G131" s="6" t="inlineStr">
        <is>
          <t>573-2025-2SC</t>
        </is>
      </c>
      <c r="H131" s="6" t="inlineStr">
        <is>
          <t>23</t>
        </is>
      </c>
      <c r="I131" s="6" t="inlineStr">
        <is>
          <t>dos mil veinticinco, Diciembre uno</t>
        </is>
      </c>
      <c r="J131" s="6" t="inlineStr">
        <is>
          <t>2025</t>
        </is>
      </c>
      <c r="K131" s="6" t="n"/>
      <c r="L131" s="6" t="inlineStr">
        <is>
          <t>Paredes Bedregal</t>
        </is>
      </c>
      <c r="M131" s="6" t="inlineStr">
        <is>
          <t>NULA</t>
        </is>
      </c>
      <c r="N131" s="6" t="n">
        <v>1</v>
      </c>
      <c r="O131" s="6" t="n">
        <v>1</v>
      </c>
      <c r="P131" s="7" t="n"/>
      <c r="Q131" s="7" t="n"/>
      <c r="R131" s="7" t="n"/>
      <c r="S131" s="7" t="n"/>
      <c r="T131" s="7" t="n"/>
      <c r="U131" s="7" t="n"/>
      <c r="V131" s="7" t="n"/>
      <c r="W131" s="7" t="n"/>
      <c r="X131" s="7" t="n"/>
      <c r="Y131" s="7" t="n"/>
      <c r="Z131" s="7" t="n"/>
      <c r="AA131" s="7" t="n"/>
      <c r="AB131" s="7" t="n"/>
      <c r="AC131" s="7" t="n"/>
      <c r="AD131" s="7" t="n"/>
      <c r="AE131" s="7" t="n"/>
      <c r="AF131" s="7" t="n"/>
      <c r="AG131" s="7" t="n"/>
      <c r="AH131" s="7" t="n"/>
      <c r="AI131" s="8" t="inlineStr">
        <is>
          <t>DECLARADO — (evidencia en las columnas «Cita textual 1–3» de esta misma fila)</t>
        </is>
      </c>
      <c r="AJ131" s="7" t="n"/>
      <c r="AK131" s="7" t="n"/>
      <c r="AL131" s="7" t="n"/>
      <c r="AM131" s="7" t="n"/>
      <c r="AN131" s="7" t="n"/>
      <c r="AO131" s="7" t="n"/>
      <c r="AP131" s="7" t="inlineStr">
        <is>
          <t>Baja D02→— · Confirmación D20→D20</t>
        </is>
      </c>
      <c r="AQ131" s="7" t="inlineStr">
        <is>
          <t>— Sin vicio de motivación como causal</t>
        </is>
      </c>
      <c r="AR131" s="7" t="n"/>
      <c r="AS131" s="7" t="inlineStr">
        <is>
          <t>No</t>
        </is>
      </c>
      <c r="AT131" s="7" t="inlineStr">
        <is>
          <t>«Sin embargo, de los actuados, se verifica que el órgano jurisdiccional de primera instancia ha omitido remitir los actuados al Ministerio Público, a efecto de que emita el dictamen de ley, habiéndose emitido la sentencia recurrida sin haberse llevado a cabo tal actuado procesal (dictamen fiscal); por lo que, ha existido un defecto de trámite que debiese ser corregido.»</t>
        </is>
      </c>
      <c r="AU131" s="7" t="inlineStr">
        <is>
          <t>Omisión del dictamen fiscal previo a sentencia</t>
        </is>
      </c>
      <c r="AV131" s="7" t="inlineStr">
        <is>
          <t>«En consecuencia, se advierte la existencia de vicios que afectan el derecho al debido proceso protegido por el numeral 3) del artículo 139 de la Constitución, por lo que, se debe declarar la nulidad de la resolución impugnada de conformidad con los artículos 171 y 176 del Código Adjetivo, debiendo el A quo emitir – en su oportunidad - nuevo pronunciamiento sujeto a ley y a lo señalado en la presente resolución, dado que dicha actividad no puede ser realizada por este Colegiado, en salvaguarda del principio de pluralidad de instancia, consagrado en el numeral 6) del artículo 139 de la Constitución Política.»</t>
        </is>
      </c>
      <c r="AW131" s="7" t="inlineStr">
        <is>
          <t>Efecto: vicios que afectan el debido proceso (139.3); nulidad arts. 171 y 176</t>
        </is>
      </c>
      <c r="AX131" s="7" t="n"/>
      <c r="AY131" s="7" t="n"/>
      <c r="AZ131" s="7" t="inlineStr">
        <is>
          <t>Omisión del dictamen fiscal previo a sentencia (art. 139.3); codemandada no comparecida.</t>
        </is>
      </c>
      <c r="BA131" s="7" t="inlineStr">
        <is>
          <t>7595 2022 SV 2025.doc</t>
        </is>
      </c>
      <c r="BB131" s="7" t="inlineStr">
        <is>
          <t>Clasificacion_SV_ABR24_Llamoja_defectos</t>
        </is>
      </c>
      <c r="BC131" s="7" t="n">
        <v>1</v>
      </c>
      <c r="BD131" s="7" t="inlineStr">
        <is>
          <t>ABREVIADO</t>
        </is>
      </c>
      <c r="BE131" s="7" t="inlineStr">
        <is>
          <t>NULA</t>
        </is>
      </c>
      <c r="BF131" s="7" t="inlineStr">
        <is>
          <t>AN</t>
        </is>
      </c>
    </row>
    <row r="132" ht="74.25" customHeight="1">
      <c r="A132" s="6" t="n">
        <v>131</v>
      </c>
      <c r="B132" s="6" t="inlineStr">
        <is>
          <t>07606-2013</t>
        </is>
      </c>
      <c r="C132" s="6" t="inlineStr">
        <is>
          <t>07606-2013-0-0401-JR-CI-02</t>
        </is>
      </c>
      <c r="D132" s="6" t="inlineStr">
        <is>
          <t>Matriz sumarísimos — anteriores a 2019</t>
        </is>
      </c>
      <c r="E132" s="6" t="inlineStr">
        <is>
          <t>Desalojo por precario e indemnización</t>
        </is>
      </c>
      <c r="F132" s="6" t="inlineStr">
        <is>
          <t>2SC</t>
        </is>
      </c>
      <c r="G132" s="6" t="inlineStr">
        <is>
          <t>SV 442-2019-2SC</t>
        </is>
      </c>
      <c r="H132" s="6" t="inlineStr">
        <is>
          <t>Res. 51 (dos-2SC)</t>
        </is>
      </c>
      <c r="I132" s="6" t="inlineStr">
        <is>
          <t>07/08/2019</t>
        </is>
      </c>
      <c r="J132" s="6" t="inlineStr">
        <is>
          <t>2019</t>
        </is>
      </c>
      <c r="K132" s="6" t="inlineStr">
        <is>
          <t>Uriel Dueñas Triviños</t>
        </is>
      </c>
      <c r="L132" s="6" t="n"/>
      <c r="M132" s="6" t="inlineStr">
        <is>
          <t>NULA (reenvío)</t>
        </is>
      </c>
      <c r="N132" s="6" t="n">
        <v>2</v>
      </c>
      <c r="O132" s="6" t="n">
        <v>2</v>
      </c>
      <c r="P132" s="7" t="n"/>
      <c r="Q132" s="7" t="n"/>
      <c r="R132" s="7" t="n"/>
      <c r="S132" s="7" t="n"/>
      <c r="T132" s="7" t="n"/>
      <c r="U132" s="7" t="n"/>
      <c r="V132" s="7" t="n"/>
      <c r="W132" s="7" t="n"/>
      <c r="X132" s="7" t="n"/>
      <c r="Y132" s="7" t="n"/>
      <c r="Z132" s="7" t="n"/>
      <c r="AA132" s="7" t="n"/>
      <c r="AB132" s="7" t="n"/>
      <c r="AC132" s="7" t="n"/>
      <c r="AD132" s="8" t="inlineStr">
        <is>
          <t>DECLARADO — «con vista de la parte considerativa de la sentencia impugnada se advierte contradicciones en su fundamentación»</t>
        </is>
      </c>
      <c r="AE132" s="8" t="inlineStr">
        <is>
          <t>DECLARADO — «hecho que transgrede el principio de congruencia procesal… es nula la sentencia si lo indicado por el juez en la parte resolutiva de ésta, no es congruente ni coherente, con los fundamentos de la misma y menos con los puntos controvertidos»</t>
        </is>
      </c>
      <c r="AF132" s="7" t="n"/>
      <c r="AG132" s="7" t="n"/>
      <c r="AH132" s="7" t="n"/>
      <c r="AI132" s="7" t="n"/>
      <c r="AJ132" s="7" t="n"/>
      <c r="AK132" s="7" t="n"/>
      <c r="AL132" s="7" t="n"/>
      <c r="AM132" s="7" t="inlineStr">
        <is>
          <t>Sí</t>
        </is>
      </c>
      <c r="AN132" s="7" t="n"/>
      <c r="AO132" s="7" t="n"/>
      <c r="AP132" s="7" t="inlineStr">
        <is>
          <t>Baja D20→—</t>
        </is>
      </c>
      <c r="AQ132" s="7" t="n"/>
      <c r="AR132" s="7" t="n"/>
      <c r="AS132" s="7" t="n"/>
      <c r="AT132" s="7" t="n"/>
      <c r="AU132" s="7" t="n"/>
      <c r="AV132" s="7" t="n"/>
      <c r="AW132" s="7" t="n"/>
      <c r="AX132" s="7" t="n"/>
      <c r="AY132" s="7" t="n"/>
      <c r="AZ132" s="7" t="inlineStr">
        <is>
          <t>Contradicción entre el considerando cuarto (bien identificado y poseído) y el sexto (bien no identificado). Incumplimiento del art. 121 CPC.</t>
        </is>
      </c>
      <c r="BA132" s="7" t="n"/>
      <c r="BB132" s="7" t="inlineStr">
        <is>
          <t>Matriz_defectos_procesales_1ra_SV</t>
        </is>
      </c>
      <c r="BC132" s="7" t="n">
        <v>1</v>
      </c>
      <c r="BD132" s="7" t="inlineStr">
        <is>
          <t>SUMARISIMO</t>
        </is>
      </c>
      <c r="BE132" s="7" t="inlineStr">
        <is>
          <t>NULA</t>
        </is>
      </c>
      <c r="BF132" s="7" t="inlineStr">
        <is>
          <t>SN</t>
        </is>
      </c>
    </row>
    <row r="133" ht="53.25" customHeight="1">
      <c r="A133" s="6" t="n">
        <v>132</v>
      </c>
      <c r="B133" s="6" t="inlineStr">
        <is>
          <t>07609-2014</t>
        </is>
      </c>
      <c r="C133" s="6" t="inlineStr">
        <is>
          <t>07609-2014-0-0401-JR-CI-02</t>
        </is>
      </c>
      <c r="D133" s="6" t="inlineStr">
        <is>
          <t>Matriz sumarísimos — anteriores a 2019</t>
        </is>
      </c>
      <c r="E133" s="6" t="inlineStr">
        <is>
          <t>Interdicto de recobrar</t>
        </is>
      </c>
      <c r="F133" s="6" t="inlineStr">
        <is>
          <t>2SC</t>
        </is>
      </c>
      <c r="G133" s="6" t="inlineStr">
        <is>
          <t>SV 648-2019-2SC</t>
        </is>
      </c>
      <c r="H133" s="6" t="inlineStr">
        <is>
          <t>Res. 41 (once-2SC)</t>
        </is>
      </c>
      <c r="I133" s="6" t="inlineStr">
        <is>
          <t>27/09/2019</t>
        </is>
      </c>
      <c r="J133" s="6" t="inlineStr">
        <is>
          <t>2019</t>
        </is>
      </c>
      <c r="K133" s="6" t="inlineStr">
        <is>
          <t>Edgard Pineda Gamarra</t>
        </is>
      </c>
      <c r="L133" s="6" t="n"/>
      <c r="M133" s="6" t="inlineStr">
        <is>
          <t>REVOCADA (improcedente → INFUNDADA)</t>
        </is>
      </c>
      <c r="N133" s="6" t="n">
        <v>0</v>
      </c>
      <c r="O133" s="6" t="n">
        <v>1</v>
      </c>
      <c r="P133" s="7" t="n"/>
      <c r="Q133" s="7" t="n"/>
      <c r="R133" s="7" t="n"/>
      <c r="S133" s="7" t="n"/>
      <c r="T133" s="7" t="n"/>
      <c r="U133" s="7" t="n"/>
      <c r="V133" s="7" t="n"/>
      <c r="W133" s="7" t="n"/>
      <c r="X133" s="7" t="n"/>
      <c r="Y133" s="7" t="n"/>
      <c r="Z133" s="7" t="n"/>
      <c r="AA133" s="7" t="n"/>
      <c r="AB133" s="7" t="n"/>
      <c r="AC133" s="7" t="n"/>
      <c r="AD133" s="7" t="n"/>
      <c r="AE133" s="9" t="inlineStr">
        <is>
          <t>ADVERTIDO — «si el análisis del juzgador es que el actor no acredita las afirmaciones de su demanda, corresponden entonces de conformidad con el artículo 200 del CPC, se declare infundada la demanda»</t>
        </is>
      </c>
      <c r="AF133" s="7" t="n"/>
      <c r="AG133" s="7" t="n"/>
      <c r="AH133" s="7" t="n"/>
      <c r="AI133" s="7" t="n"/>
      <c r="AJ133" s="7" t="n"/>
      <c r="AK133" s="7" t="n"/>
      <c r="AL133" s="7" t="n"/>
      <c r="AM133" s="7" t="n"/>
      <c r="AN133" s="7" t="n"/>
      <c r="AO133" s="7" t="n"/>
      <c r="AP133" s="7" t="n"/>
      <c r="AQ133" s="7" t="n"/>
      <c r="AR133" s="7" t="n"/>
      <c r="AS133" s="7" t="n"/>
      <c r="AT133" s="7" t="n"/>
      <c r="AU133" s="7" t="n"/>
      <c r="AV133" s="7" t="n"/>
      <c r="AW133" s="7" t="n"/>
      <c r="AX133" s="7" t="n"/>
      <c r="AY133" s="7" t="n"/>
      <c r="AZ133" s="7" t="inlineStr">
        <is>
          <t>Desajuste entre motivación (juicio de fondo por falta de probanza) y fallo inhibitorio. Corregido en instancia sin reenvío.</t>
        </is>
      </c>
      <c r="BA133" s="7" t="n"/>
      <c r="BB133" s="7" t="inlineStr">
        <is>
          <t>Matriz_defectos_procesales_1ra_SV</t>
        </is>
      </c>
      <c r="BC133" s="7" t="n">
        <v>1</v>
      </c>
      <c r="BD133" s="7" t="inlineStr">
        <is>
          <t>SUMARISIMO</t>
        </is>
      </c>
      <c r="BE133" s="7" t="inlineStr">
        <is>
          <t>REVOCADA</t>
        </is>
      </c>
      <c r="BF133" s="7" t="inlineStr">
        <is>
          <t>SR</t>
        </is>
      </c>
    </row>
    <row r="134" ht="105.75" customHeight="1">
      <c r="A134" s="6" t="n">
        <v>133</v>
      </c>
      <c r="B134" s="6" t="inlineStr">
        <is>
          <t>08092-2014</t>
        </is>
      </c>
      <c r="C134" s="6" t="inlineStr">
        <is>
          <t>08092-2014</t>
        </is>
      </c>
      <c r="D134" s="6" t="inlineStr">
        <is>
          <t>Pre-2019</t>
        </is>
      </c>
      <c r="E134" s="6" t="n"/>
      <c r="F134" s="6" t="inlineStr">
        <is>
          <t>2SC</t>
        </is>
      </c>
      <c r="G134" s="6" t="inlineStr">
        <is>
          <t>SV N° 138-2020-2SC</t>
        </is>
      </c>
      <c r="H134" s="6" t="n"/>
      <c r="I134" s="6" t="inlineStr">
        <is>
          <t>10/09/2020</t>
        </is>
      </c>
      <c r="J134" s="6" t="inlineStr">
        <is>
          <t>2020</t>
        </is>
      </c>
      <c r="K134" s="6" t="n"/>
      <c r="L134" s="6" t="n"/>
      <c r="M134" s="6" t="inlineStr">
        <is>
          <t>Nula</t>
        </is>
      </c>
      <c r="N134" s="6" t="n">
        <v>1</v>
      </c>
      <c r="O134" s="6" t="n">
        <v>2</v>
      </c>
      <c r="P134" s="7" t="n"/>
      <c r="Q134" s="9" t="inlineStr">
        <is>
          <t>DERIVADO — “…, por una omisión en la sentencia apelada, sino que también se ha vulnerado el derecho al debido proceso al limitarse el ejercicio del derecho de defensa de las partes, se concluye que la sentencia objeto de apelación debe ser declarada nula, así como la resolución N° 45, por haber incurrido en errores insubsanables, conforme al último párrafo del art…”</t>
        </is>
      </c>
      <c r="R134" s="7" t="n"/>
      <c r="S134" s="7" t="n"/>
      <c r="T134" s="7" t="n"/>
      <c r="U134" s="7" t="n"/>
      <c r="V134" s="7" t="n"/>
      <c r="W134" s="7" t="n"/>
      <c r="X134" s="7" t="n"/>
      <c r="Y134" s="7" t="n"/>
      <c r="Z134" s="7" t="n"/>
      <c r="AA134" s="7" t="n"/>
      <c r="AB134" s="7" t="n"/>
      <c r="AC134" s="7" t="n"/>
      <c r="AD134" s="7" t="n"/>
      <c r="AE134" s="8" t="inlineStr">
        <is>
          <t>DECLARADO — “…ablecido que en el caso sub-exámine no sólo se ha detectado una seria vulneración al principio de congruencia procesal, por una omisión en la sentencia apelada, sino que también se ha vulnerado el derecho al debido proceso al limitarse el ejercicio del derecho de defensa de las…”</t>
        </is>
      </c>
      <c r="AF134" s="7" t="n"/>
      <c r="AG134" s="7" t="n"/>
      <c r="AH134" s="7" t="n"/>
      <c r="AI134" s="7" t="n"/>
      <c r="AJ134" s="7" t="n"/>
      <c r="AK134" s="7" t="n"/>
      <c r="AL134" s="7" t="n"/>
      <c r="AM134" s="7" t="inlineStr">
        <is>
          <t>Sí</t>
        </is>
      </c>
      <c r="AN134" s="7" t="n"/>
      <c r="AO134" s="7" t="n"/>
      <c r="AP134" s="7" t="inlineStr">
        <is>
          <t>Baja D20→— · Reclasificación de estatus D02→D02 (derivado)</t>
        </is>
      </c>
      <c r="AQ134" s="7" t="n"/>
      <c r="AR134" s="7" t="n"/>
      <c r="AS134" s="7" t="n"/>
      <c r="AT134" s="7" t="n"/>
      <c r="AU134" s="7" t="n"/>
      <c r="AV134" s="7" t="n"/>
      <c r="AW134" s="7" t="n"/>
      <c r="AX134" s="7" t="n"/>
      <c r="AY134" s="7" t="n"/>
      <c r="AZ134" s="7" t="n"/>
      <c r="BA134" s="7" t="n"/>
      <c r="BB134" s="7" t="inlineStr">
        <is>
          <t>Comparativa_defectos_2018_vs_2024 + Defectos_procesales_SV_CSJA</t>
        </is>
      </c>
      <c r="BC134" s="7" t="n">
        <v>2</v>
      </c>
      <c r="BD134" s="7" t="inlineStr">
        <is>
          <t>CONOCIMIENTO</t>
        </is>
      </c>
      <c r="BE134" s="7" t="inlineStr">
        <is>
          <t>NULA</t>
        </is>
      </c>
      <c r="BF134" s="7" t="inlineStr">
        <is>
          <t>CN</t>
        </is>
      </c>
    </row>
    <row r="135" ht="105.75" customHeight="1">
      <c r="A135" s="6" t="n">
        <v>134</v>
      </c>
      <c r="B135" s="6" t="inlineStr">
        <is>
          <t>08461-2014</t>
        </is>
      </c>
      <c r="C135" s="6" t="inlineStr">
        <is>
          <t>08461-2014-0-0401-JR-CI-08</t>
        </is>
      </c>
      <c r="D135" s="6" t="inlineStr">
        <is>
          <t>Matriz sumarísimos — anteriores a 2019</t>
        </is>
      </c>
      <c r="E135" s="6" t="inlineStr">
        <is>
          <t>Desalojo</t>
        </is>
      </c>
      <c r="F135" s="6" t="inlineStr">
        <is>
          <t>3SC</t>
        </is>
      </c>
      <c r="G135" s="6" t="inlineStr">
        <is>
          <t>SV 367-2018-3SC</t>
        </is>
      </c>
      <c r="H135" s="6" t="inlineStr">
        <is>
          <t>Res. 28 (cuatro)</t>
        </is>
      </c>
      <c r="I135" s="6" t="inlineStr">
        <is>
          <t>12/07/2018</t>
        </is>
      </c>
      <c r="J135" s="6" t="inlineStr">
        <is>
          <t>2018</t>
        </is>
      </c>
      <c r="K135" s="6" t="inlineStr">
        <is>
          <t>Omar del Carpio Medina</t>
        </is>
      </c>
      <c r="L135" s="6" t="n"/>
      <c r="M135" s="6" t="inlineStr">
        <is>
          <t>REVOCADA → INFUNDADA</t>
        </is>
      </c>
      <c r="N135" s="6" t="n">
        <v>0</v>
      </c>
      <c r="O135" s="6" t="n">
        <v>1</v>
      </c>
      <c r="P135" s="7" t="n"/>
      <c r="Q135" s="7" t="n"/>
      <c r="R135" s="7" t="n"/>
      <c r="S135" s="7" t="n"/>
      <c r="T135" s="7" t="n"/>
      <c r="U135" s="9" t="inlineStr">
        <is>
          <t>ADVERTIDO — «al fijarse los puntos controvertidos a fojas doscientos veinticuatro y siguiente, ninguna de las apelantes ni el apoderado solicitaron o propusieron se consignara como punto controvertido el que se ponga en debate si las apelantes tenían título de propiedad… en consecuencia no se puso al debate si las demandadas también son propietarias del bien»</t>
        </is>
      </c>
      <c r="V135" s="7" t="n"/>
      <c r="W135" s="7" t="n"/>
      <c r="X135" s="7" t="n"/>
      <c r="Y135" s="7" t="n"/>
      <c r="Z135" s="7" t="n"/>
      <c r="AA135" s="7" t="n"/>
      <c r="AB135" s="7" t="n"/>
      <c r="AC135" s="7" t="n"/>
      <c r="AD135" s="7" t="n"/>
      <c r="AE135" s="7" t="n"/>
      <c r="AF135" s="7" t="n"/>
      <c r="AG135" s="7" t="n"/>
      <c r="AH135" s="7" t="n"/>
      <c r="AI135" s="7" t="n"/>
      <c r="AJ135" s="7" t="n"/>
      <c r="AK135" s="7" t="n"/>
      <c r="AL135" s="7" t="n"/>
      <c r="AM135" s="7" t="n"/>
      <c r="AN135" s="7" t="n"/>
      <c r="AO135" s="7" t="n"/>
      <c r="AP135" s="7" t="n"/>
      <c r="AQ135" s="7" t="n"/>
      <c r="AR135" s="7" t="n"/>
      <c r="AS135" s="7" t="n"/>
      <c r="AT135" s="7" t="n"/>
      <c r="AU135" s="7" t="n"/>
      <c r="AV135" s="7" t="n"/>
      <c r="AW135" s="7" t="n"/>
      <c r="AX135" s="7" t="n"/>
      <c r="AY135" s="7" t="n"/>
      <c r="AZ135" s="7" t="inlineStr">
        <is>
          <t>Déficit de fijación del thema probandum que condicionó el debate; la Sala resuelve igualmente por el fondo (título no tachado ni anulado).</t>
        </is>
      </c>
      <c r="BA135" s="7" t="n"/>
      <c r="BB135" s="7" t="inlineStr">
        <is>
          <t>Matriz_defectos_procesales_1ra_SV</t>
        </is>
      </c>
      <c r="BC135" s="7" t="n">
        <v>1</v>
      </c>
      <c r="BD135" s="7" t="inlineStr">
        <is>
          <t>SUMARISIMO</t>
        </is>
      </c>
      <c r="BE135" s="7" t="inlineStr">
        <is>
          <t>REVOCADA</t>
        </is>
      </c>
      <c r="BF135" s="7" t="inlineStr">
        <is>
          <t>SR</t>
        </is>
      </c>
    </row>
    <row r="136" ht="63.75" customHeight="1">
      <c r="A136" s="6" t="n">
        <v>135</v>
      </c>
      <c r="B136" s="6" t="inlineStr">
        <is>
          <t>01302-2015</t>
        </is>
      </c>
      <c r="C136" s="6" t="inlineStr">
        <is>
          <t>01302-2015-0-0401-JR-CI-06</t>
        </is>
      </c>
      <c r="D136" s="6" t="inlineStr">
        <is>
          <t>Abreviado — anteriores a 2019 (ABR18_SV)</t>
        </is>
      </c>
      <c r="E136" s="6" t="inlineStr">
        <is>
          <t>Nulidad de acto jurídico</t>
        </is>
      </c>
      <c r="F136" s="6" t="inlineStr">
        <is>
          <t>1SC</t>
        </is>
      </c>
      <c r="G136" s="6" t="inlineStr">
        <is>
          <t>SV 858-2019</t>
        </is>
      </c>
      <c r="H136" s="6" t="inlineStr">
        <is>
          <t>Res. 36 (diez-1SC)</t>
        </is>
      </c>
      <c r="I136" s="6" t="inlineStr">
        <is>
          <t>15/10/2019</t>
        </is>
      </c>
      <c r="J136" s="6" t="inlineStr">
        <is>
          <t>2019</t>
        </is>
      </c>
      <c r="K136" s="6" t="inlineStr">
        <is>
          <t>Patricia Valdivia Franco</t>
        </is>
      </c>
      <c r="L136" s="6" t="inlineStr">
        <is>
          <t>Fernández Dávila Mercado</t>
        </is>
      </c>
      <c r="M136" s="6" t="inlineStr">
        <is>
          <t>REVOCADA → IMPROCEDENTE</t>
        </is>
      </c>
      <c r="N136" s="6" t="n">
        <v>0</v>
      </c>
      <c r="O136" s="6" t="n">
        <v>0</v>
      </c>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7" t="n"/>
      <c r="AL136" s="7" t="n"/>
      <c r="AM136" s="7" t="n"/>
      <c r="AN136" s="7" t="n"/>
      <c r="AO136" s="7" t="n"/>
      <c r="AP136" s="7" t="n"/>
      <c r="AQ136" s="7" t="n"/>
      <c r="AR136" s="7" t="n"/>
      <c r="AS136" s="7" t="n"/>
      <c r="AT136" s="7" t="n"/>
      <c r="AU136" s="7" t="n"/>
      <c r="AV136" s="7" t="n"/>
      <c r="AW136" s="7" t="n"/>
      <c r="AX136" s="7" t="n"/>
      <c r="AY136" s="7" t="n"/>
      <c r="AZ136" s="7" t="inlineStr">
        <is>
          <t>Sin vicio procesal declarado. La Sala revoca por razones de fondo: «no existe una conexión lógica entre los hechos y el petitorio, porque, el exceso en el anticipo de legítima no acarrea la nulidad de dicho acto jurídico», sino ineficacia parcial sujeta a reducción tras la apertura de sucesión; declara improcedente por petitorio jurídicamente imposible.</t>
        </is>
      </c>
      <c r="BA136" s="7" t="n"/>
      <c r="BB136" s="7" t="inlineStr">
        <is>
          <t>documento_unificadoABR18_SV</t>
        </is>
      </c>
      <c r="BC136" s="7" t="n">
        <v>1</v>
      </c>
      <c r="BD136" s="7" t="inlineStr">
        <is>
          <t>ABREVIADO</t>
        </is>
      </c>
      <c r="BE136" s="7" t="inlineStr">
        <is>
          <t>REVOCADA</t>
        </is>
      </c>
      <c r="BF136" s="7" t="inlineStr">
        <is>
          <t>AR</t>
        </is>
      </c>
    </row>
    <row r="137" ht="42.75" customHeight="1">
      <c r="A137" s="6" t="n">
        <v>136</v>
      </c>
      <c r="B137" s="6" t="inlineStr">
        <is>
          <t>01530-2015</t>
        </is>
      </c>
      <c r="C137" s="6" t="inlineStr">
        <is>
          <t>01530-2015-0-0412-JR-CI-08</t>
        </is>
      </c>
      <c r="D137" s="6" t="inlineStr">
        <is>
          <t>Abreviado — anteriores a 2019 (ABR18_SV)</t>
        </is>
      </c>
      <c r="E137" s="6" t="inlineStr">
        <is>
          <t>Reivindicación</t>
        </is>
      </c>
      <c r="F137" s="6" t="inlineStr">
        <is>
          <t>2SC</t>
        </is>
      </c>
      <c r="G137" s="6" t="inlineStr">
        <is>
          <t>SV 620-2019-2SC</t>
        </is>
      </c>
      <c r="H137" s="6" t="inlineStr">
        <is>
          <t>Res. 36 (siete-2SC)</t>
        </is>
      </c>
      <c r="I137" s="6" t="inlineStr">
        <is>
          <t>25/09/2019</t>
        </is>
      </c>
      <c r="J137" s="6" t="inlineStr">
        <is>
          <t>2019</t>
        </is>
      </c>
      <c r="K137" s="6" t="inlineStr">
        <is>
          <t>Aurelio Valencia de Romaña</t>
        </is>
      </c>
      <c r="L137" s="6" t="inlineStr">
        <is>
          <t>Barrera Benavides</t>
        </is>
      </c>
      <c r="M137" s="6" t="inlineStr">
        <is>
          <t>NULA</t>
        </is>
      </c>
      <c r="N137" s="6" t="n">
        <v>4</v>
      </c>
      <c r="O137" s="6" t="n">
        <v>4</v>
      </c>
      <c r="P137" s="7" t="n"/>
      <c r="Q137" s="7" t="n"/>
      <c r="R137" s="7" t="n"/>
      <c r="S137" s="7" t="n"/>
      <c r="T137" s="7" t="n"/>
      <c r="U137" s="7" t="n"/>
      <c r="V137" s="7" t="n"/>
      <c r="W137" s="7" t="inlineStr">
        <is>
          <t>DECLARADO — «indebidamente se ha prohibido recibir la declaración como testigo de Berna Zunilda Paredes Galdos»</t>
        </is>
      </c>
      <c r="X137" s="7" t="n"/>
      <c r="Y137" s="7" t="n"/>
      <c r="Z137" s="7" t="inlineStr">
        <is>
          <t>DECLARADO — «no se ha considerado que el usufructo a favor de la señora Maximiliana Galdos Huamán, recién se extinguió el pasado 22 de octubre del 2013»</t>
        </is>
      </c>
      <c r="AA137" s="7" t="n"/>
      <c r="AB137" s="7" t="inlineStr">
        <is>
          <t>DECLARADO — «más no se ha hecho el correspondiente análisis de los ambientes ubicados en el segundo y tercer piso de la parte frontal del predio»</t>
        </is>
      </c>
      <c r="AC137" s="7" t="inlineStr">
        <is>
          <t>DECLARADO — «la sentencia adolece de motivación aparente, pues existen varias falencias de orden motivacional»</t>
        </is>
      </c>
      <c r="AD137" s="7" t="n"/>
      <c r="AE137" s="7" t="n"/>
      <c r="AF137" s="7" t="n"/>
      <c r="AG137" s="7" t="n"/>
      <c r="AH137" s="7" t="n"/>
      <c r="AI137" s="7" t="n"/>
      <c r="AJ137" s="7" t="n"/>
      <c r="AK137" s="7" t="n"/>
      <c r="AL137" s="7" t="n"/>
      <c r="AM137" s="7" t="inlineStr">
        <is>
          <t>Sí</t>
        </is>
      </c>
      <c r="AN137" s="7" t="n"/>
      <c r="AO137" s="7" t="n"/>
      <c r="AP137" s="7" t="n"/>
      <c r="AQ137" s="7" t="n"/>
      <c r="AR137" s="7" t="n"/>
      <c r="AS137" s="7" t="n"/>
      <c r="AT137" s="7" t="n"/>
      <c r="AU137" s="7" t="n"/>
      <c r="AV137" s="7" t="n"/>
      <c r="AW137" s="7" t="n"/>
      <c r="AX137" s="7" t="n"/>
      <c r="AY137" s="7" t="n"/>
      <c r="AZ137" s="7" t="n"/>
      <c r="BA137" s="7" t="n"/>
      <c r="BB137" s="7" t="inlineStr">
        <is>
          <t>documento_unificadoABR18_SV</t>
        </is>
      </c>
      <c r="BC137" s="7" t="n">
        <v>1</v>
      </c>
      <c r="BD137" s="7" t="inlineStr">
        <is>
          <t>ABREVIADO</t>
        </is>
      </c>
      <c r="BE137" s="7" t="inlineStr">
        <is>
          <t>NULA</t>
        </is>
      </c>
      <c r="BF137" s="7" t="inlineStr">
        <is>
          <t>AN</t>
        </is>
      </c>
    </row>
    <row r="138" ht="63.75" customHeight="1">
      <c r="A138" s="6" t="n">
        <v>137</v>
      </c>
      <c r="B138" s="6" t="inlineStr">
        <is>
          <t>01612-2015</t>
        </is>
      </c>
      <c r="C138" s="6" t="inlineStr">
        <is>
          <t>01612-2015-0-0401-JR-CI-05</t>
        </is>
      </c>
      <c r="D138" s="6" t="inlineStr">
        <is>
          <t>Abreviado — anteriores a 2019 (ABR18_SV)</t>
        </is>
      </c>
      <c r="E138" s="6" t="inlineStr">
        <is>
          <t>Prescripción adquisitiva</t>
        </is>
      </c>
      <c r="F138" s="6" t="inlineStr">
        <is>
          <t>1SC</t>
        </is>
      </c>
      <c r="G138" s="6" t="inlineStr">
        <is>
          <t>SV 422-2019</t>
        </is>
      </c>
      <c r="H138" s="6" t="inlineStr">
        <is>
          <t>Res. 54 (trece-1SC)</t>
        </is>
      </c>
      <c r="I138" s="6" t="inlineStr">
        <is>
          <t>27/06/2019</t>
        </is>
      </c>
      <c r="J138" s="6" t="inlineStr">
        <is>
          <t>2019</t>
        </is>
      </c>
      <c r="K138" s="6" t="inlineStr">
        <is>
          <t>Yuri Corrales Cuba</t>
        </is>
      </c>
      <c r="L138" s="6" t="inlineStr">
        <is>
          <t>Zamalloa Campero</t>
        </is>
      </c>
      <c r="M138" s="6" t="inlineStr">
        <is>
          <t>NULA</t>
        </is>
      </c>
      <c r="N138" s="6" t="n">
        <v>2</v>
      </c>
      <c r="O138" s="6" t="n">
        <v>2</v>
      </c>
      <c r="P138" s="7" t="n"/>
      <c r="Q138" s="7" t="n"/>
      <c r="R138" s="7" t="inlineStr">
        <is>
          <t>DECLARADO — «debió haberse demandado a los propietarios de las áreas registradas, al vulnerarse el derecho al debido proceso en cuanto al derecho de defensa de los propietarios de las áreas ya registradas»</t>
        </is>
      </c>
      <c r="S138" s="7" t="n"/>
      <c r="T138" s="7" t="n"/>
      <c r="U138" s="7" t="n"/>
      <c r="V138" s="7" t="n"/>
      <c r="W138" s="7" t="n"/>
      <c r="X138" s="7" t="n"/>
      <c r="Y138" s="7" t="n"/>
      <c r="Z138" s="7" t="n"/>
      <c r="AA138" s="7" t="n"/>
      <c r="AB138" s="7" t="inlineStr">
        <is>
          <t>DECLARADO — «se les ha reconocido un área de […] 4561.86 metros cuadrados […] sin dar mayores argumentos por parte del Juez»</t>
        </is>
      </c>
      <c r="AC138" s="7" t="n"/>
      <c r="AD138" s="7" t="n"/>
      <c r="AE138" s="7" t="n"/>
      <c r="AF138" s="7" t="n"/>
      <c r="AG138" s="7" t="n"/>
      <c r="AH138" s="7" t="n"/>
      <c r="AI138" s="7" t="n"/>
      <c r="AJ138" s="7" t="n"/>
      <c r="AK138" s="7" t="n"/>
      <c r="AL138" s="7" t="n"/>
      <c r="AM138" s="7" t="inlineStr">
        <is>
          <t>Sí</t>
        </is>
      </c>
      <c r="AN138" s="7" t="n"/>
      <c r="AO138" s="7" t="n"/>
      <c r="AP138" s="7" t="n"/>
      <c r="AQ138" s="7" t="n"/>
      <c r="AR138" s="7" t="n"/>
      <c r="AS138" s="7" t="n"/>
      <c r="AT138" s="7" t="n"/>
      <c r="AU138" s="7" t="n"/>
      <c r="AV138" s="7" t="n"/>
      <c r="AW138" s="7" t="n"/>
      <c r="AX138" s="7" t="n"/>
      <c r="AY138" s="7" t="n"/>
      <c r="AZ138" s="7" t="inlineStr">
        <is>
          <t>Se excluye SV 2025 del mismo expediente por ser posterior (regla de primera SV).</t>
        </is>
      </c>
      <c r="BA138" s="7" t="n"/>
      <c r="BB138" s="7" t="inlineStr">
        <is>
          <t>documento_unificadoABR18_SV</t>
        </is>
      </c>
      <c r="BC138" s="7" t="n">
        <v>1</v>
      </c>
      <c r="BD138" s="7" t="inlineStr">
        <is>
          <t>ABREVIADO</t>
        </is>
      </c>
      <c r="BE138" s="7" t="inlineStr">
        <is>
          <t>NULA</t>
        </is>
      </c>
      <c r="BF138" s="7" t="inlineStr">
        <is>
          <t>AN</t>
        </is>
      </c>
    </row>
    <row r="139" ht="53.25" customHeight="1">
      <c r="A139" s="6" t="n">
        <v>138</v>
      </c>
      <c r="B139" s="6" t="inlineStr">
        <is>
          <t>01763-2012</t>
        </is>
      </c>
      <c r="C139" s="6" t="inlineStr">
        <is>
          <t>01763-2012-0-0401-JR-CI-07</t>
        </is>
      </c>
      <c r="D139" s="6" t="inlineStr">
        <is>
          <t>Abreviado — anteriores a 2019 (ABR18_SV)</t>
        </is>
      </c>
      <c r="E139" s="6" t="inlineStr">
        <is>
          <t>Prescripción adquisitiva</t>
        </is>
      </c>
      <c r="F139" s="6" t="inlineStr">
        <is>
          <t>2SC</t>
        </is>
      </c>
      <c r="G139" s="6" t="inlineStr">
        <is>
          <t>SV 058-2019-2SC</t>
        </is>
      </c>
      <c r="H139" s="6" t="inlineStr">
        <is>
          <t>Res. 39 (seis-2SC)</t>
        </is>
      </c>
      <c r="I139" s="6" t="inlineStr">
        <is>
          <t>14/03/2019</t>
        </is>
      </c>
      <c r="J139" s="6" t="inlineStr">
        <is>
          <t>2019</t>
        </is>
      </c>
      <c r="K139" s="6" t="inlineStr">
        <is>
          <t>Carlos Polanco Gutiérrez</t>
        </is>
      </c>
      <c r="L139" s="6" t="inlineStr">
        <is>
          <t>Yucra Quispe</t>
        </is>
      </c>
      <c r="M139" s="6" t="inlineStr">
        <is>
          <t>NULA</t>
        </is>
      </c>
      <c r="N139" s="6" t="n">
        <v>1</v>
      </c>
      <c r="O139" s="6" t="n">
        <v>1</v>
      </c>
      <c r="P139" s="7" t="n"/>
      <c r="Q139" s="7" t="n"/>
      <c r="R139" s="7" t="n"/>
      <c r="S139" s="7" t="n"/>
      <c r="T139" s="7" t="n"/>
      <c r="U139" s="7" t="n"/>
      <c r="V139" s="7" t="n"/>
      <c r="W139" s="7" t="n"/>
      <c r="X139" s="7" t="n"/>
      <c r="Y139" s="7" t="n"/>
      <c r="Z139" s="7" t="n"/>
      <c r="AA139" s="7" t="n"/>
      <c r="AB139" s="7" t="n"/>
      <c r="AC139" s="7" t="n"/>
      <c r="AD139" s="7" t="n"/>
      <c r="AE139" s="7" t="n"/>
      <c r="AF139" s="7" t="n"/>
      <c r="AG139" s="7" t="n"/>
      <c r="AH139" s="7" t="n"/>
      <c r="AI139" s="7" t="n"/>
      <c r="AJ139" s="7" t="inlineStr">
        <is>
          <t>DECLARADO — «dicha norma que declara la imprescriptibilidad de los bienes de dominio privado estatal, no sería de aplicación para el caso de autos por la temporalidad de la norma»</t>
        </is>
      </c>
      <c r="AK139" s="7" t="n"/>
      <c r="AL139" s="7" t="n"/>
      <c r="AM139" s="7" t="inlineStr">
        <is>
          <t>Sí</t>
        </is>
      </c>
      <c r="AN139" s="7" t="n"/>
      <c r="AO139" s="7" t="n"/>
      <c r="AP139" s="7" t="n"/>
      <c r="AQ139" s="7" t="n"/>
      <c r="AR139" s="7" t="n"/>
      <c r="AS139" s="7" t="n"/>
      <c r="AT139" s="7" t="n"/>
      <c r="AU139" s="7" t="n"/>
      <c r="AV139" s="7" t="n"/>
      <c r="AW139" s="7" t="n"/>
      <c r="AX139" s="7" t="n"/>
      <c r="AY139" s="7" t="n"/>
      <c r="AZ139" s="7" t="inlineStr">
        <is>
          <t>Se excluye SV 2022 del mismo expediente por ser posterior.</t>
        </is>
      </c>
      <c r="BA139" s="7" t="n"/>
      <c r="BB139" s="7" t="inlineStr">
        <is>
          <t>documento_unificadoABR18_SV</t>
        </is>
      </c>
      <c r="BC139" s="7" t="n">
        <v>1</v>
      </c>
      <c r="BD139" s="7" t="inlineStr">
        <is>
          <t>ABREVIADO</t>
        </is>
      </c>
      <c r="BE139" s="7" t="inlineStr">
        <is>
          <t>NULA</t>
        </is>
      </c>
      <c r="BF139" s="7" t="inlineStr">
        <is>
          <t>AN</t>
        </is>
      </c>
    </row>
    <row r="140" ht="63.75" customHeight="1">
      <c r="A140" s="6" t="n">
        <v>139</v>
      </c>
      <c r="B140" s="6" t="inlineStr">
        <is>
          <t>01852-2016</t>
        </is>
      </c>
      <c r="C140" s="6" t="inlineStr">
        <is>
          <t>01852-2016-0-0401-JR-CI-02</t>
        </is>
      </c>
      <c r="D140" s="6" t="inlineStr">
        <is>
          <t>Abreviado — anteriores a 2019 (ABR18_SV)</t>
        </is>
      </c>
      <c r="E140" s="6" t="inlineStr">
        <is>
          <t>Indemnización</t>
        </is>
      </c>
      <c r="F140" s="6" t="inlineStr">
        <is>
          <t>2SC</t>
        </is>
      </c>
      <c r="G140" s="6" t="inlineStr">
        <is>
          <t>SV 275-2021-2SC</t>
        </is>
      </c>
      <c r="H140" s="6" t="inlineStr">
        <is>
          <t>Res. 36 (cinco-2SC)</t>
        </is>
      </c>
      <c r="I140" s="6" t="inlineStr">
        <is>
          <t>26/03/2021</t>
        </is>
      </c>
      <c r="J140" s="6" t="inlineStr">
        <is>
          <t>2021</t>
        </is>
      </c>
      <c r="K140" s="6" t="inlineStr">
        <is>
          <t>Edgard Pineda Gamarra</t>
        </is>
      </c>
      <c r="L140" s="6" t="inlineStr">
        <is>
          <t>Paredes Bedregal</t>
        </is>
      </c>
      <c r="M140" s="6" t="inlineStr">
        <is>
          <t>REVOCADA → FUNDADA EN PARTE (confirma responsabilidad; revoca quantum)</t>
        </is>
      </c>
      <c r="N140" s="6" t="n">
        <v>2</v>
      </c>
      <c r="O140" s="6" t="n">
        <v>2</v>
      </c>
      <c r="P140" s="7" t="n"/>
      <c r="Q140" s="7" t="n"/>
      <c r="R140" s="7" t="n"/>
      <c r="S140" s="7" t="n"/>
      <c r="T140" s="7" t="n"/>
      <c r="U140" s="7" t="n"/>
      <c r="V140" s="7" t="n"/>
      <c r="W140" s="7" t="n"/>
      <c r="X140" s="7" t="n"/>
      <c r="Y140" s="7" t="n"/>
      <c r="Z140" s="7" t="n"/>
      <c r="AA140" s="7" t="inlineStr">
        <is>
          <t>DECLARADO — «este Colegiado no coincide con lo indicado en la resolución apelada, a folios doscientos veintisiete, respecto a los recibos por honorarios boletas y facturas que datan de fecha anterior al suceso denunciado»</t>
        </is>
      </c>
      <c r="AB140" s="7" t="n"/>
      <c r="AC140" s="7" t="n"/>
      <c r="AD140" s="7" t="inlineStr">
        <is>
          <t>DECLARADO — «no concordamos con lo precisado en la recurrida […] (donde contrariamente a lo señalado por el mismo juzgador, en el numeral 1) del literal D) del considerando quinto de la recurrida a folios 227)»</t>
        </is>
      </c>
      <c r="AE140" s="7" t="n"/>
      <c r="AF140" s="7" t="n"/>
      <c r="AG140" s="7" t="n"/>
      <c r="AH140" s="7" t="n"/>
      <c r="AI140" s="7" t="n"/>
      <c r="AJ140" s="7" t="n"/>
      <c r="AK140" s="7" t="n"/>
      <c r="AL140" s="7" t="n"/>
      <c r="AM140" s="7" t="n"/>
      <c r="AN140" s="7" t="n"/>
      <c r="AO140" s="7" t="n"/>
      <c r="AP140" s="7" t="n"/>
      <c r="AQ140" s="7" t="n"/>
      <c r="AR140" s="7" t="n"/>
      <c r="AS140" s="7" t="n"/>
      <c r="AT140" s="7" t="n"/>
      <c r="AU140" s="7" t="n"/>
      <c r="AV140" s="7" t="n"/>
      <c r="AW140" s="7" t="n"/>
      <c r="AX140" s="7" t="n"/>
      <c r="AY140" s="7" t="n"/>
      <c r="AZ140" s="7" t="inlineStr">
        <is>
          <t>Cita una SV previa de nulidad (078-2019-2SC) no disponible en el archivo fuente.</t>
        </is>
      </c>
      <c r="BA140" s="7" t="n"/>
      <c r="BB140" s="7" t="inlineStr">
        <is>
          <t>documento_unificadoABR18_SV</t>
        </is>
      </c>
      <c r="BC140" s="7" t="n">
        <v>1</v>
      </c>
      <c r="BD140" s="7" t="inlineStr">
        <is>
          <t>ABREVIADO</t>
        </is>
      </c>
      <c r="BE140" s="7" t="inlineStr">
        <is>
          <t>REVOCADA</t>
        </is>
      </c>
      <c r="BF140" s="7" t="inlineStr">
        <is>
          <t>AR</t>
        </is>
      </c>
    </row>
    <row r="141" ht="21.75" customHeight="1">
      <c r="A141" s="6" t="n">
        <v>140</v>
      </c>
      <c r="B141" s="6" t="inlineStr">
        <is>
          <t>01922-2014</t>
        </is>
      </c>
      <c r="C141" s="6" t="inlineStr">
        <is>
          <t>01922-2014-0-0401-JR-CI-03</t>
        </is>
      </c>
      <c r="D141" s="6" t="inlineStr">
        <is>
          <t>Abreviado — anteriores a 2019 (ABR18_SV)</t>
        </is>
      </c>
      <c r="E141" s="6" t="inlineStr">
        <is>
          <t>Retracto</t>
        </is>
      </c>
      <c r="F141" s="6" t="inlineStr">
        <is>
          <t>1SC</t>
        </is>
      </c>
      <c r="G141" s="6" t="inlineStr">
        <is>
          <t>SV 345-2016</t>
        </is>
      </c>
      <c r="H141" s="6" t="inlineStr">
        <is>
          <t>Res. 18 (cuatro-1SC)</t>
        </is>
      </c>
      <c r="I141" s="6" t="inlineStr">
        <is>
          <t>08/07/2016</t>
        </is>
      </c>
      <c r="J141" s="6" t="inlineStr">
        <is>
          <t>2016</t>
        </is>
      </c>
      <c r="K141" s="6" t="inlineStr">
        <is>
          <t>Zoilo Alcides Chávez Mamani</t>
        </is>
      </c>
      <c r="L141" s="6" t="inlineStr">
        <is>
          <t>Valencia Dongo Cárdenas</t>
        </is>
      </c>
      <c r="M141" s="6" t="inlineStr">
        <is>
          <t>CONFIRMADA</t>
        </is>
      </c>
      <c r="N141" s="6" t="n">
        <v>0</v>
      </c>
      <c r="O141" s="6" t="n">
        <v>0</v>
      </c>
      <c r="P141" s="7" t="n"/>
      <c r="Q141" s="7" t="n"/>
      <c r="R141" s="7" t="n"/>
      <c r="S141" s="7" t="n"/>
      <c r="T141" s="7" t="n"/>
      <c r="U141" s="7" t="n"/>
      <c r="V141" s="7" t="n"/>
      <c r="W141" s="7" t="n"/>
      <c r="X141" s="7" t="n"/>
      <c r="Y141" s="7" t="n"/>
      <c r="Z141" s="7" t="n"/>
      <c r="AA141" s="7" t="n"/>
      <c r="AB141" s="7" t="n"/>
      <c r="AC141" s="7" t="n"/>
      <c r="AD141" s="7" t="n"/>
      <c r="AE141" s="7" t="n"/>
      <c r="AF141" s="7" t="n"/>
      <c r="AG141" s="7" t="n"/>
      <c r="AH141" s="7" t="n"/>
      <c r="AI141" s="7" t="n"/>
      <c r="AJ141" s="7" t="n"/>
      <c r="AK141" s="7" t="n"/>
      <c r="AL141" s="7" t="n"/>
      <c r="AM141" s="7" t="n"/>
      <c r="AN141" s="7" t="n"/>
      <c r="AO141" s="7" t="n"/>
      <c r="AP141" s="7" t="n"/>
      <c r="AQ141" s="7" t="n"/>
      <c r="AR141" s="7" t="n"/>
      <c r="AS141" s="7" t="n"/>
      <c r="AT141" s="7" t="n"/>
      <c r="AU141" s="7" t="n"/>
      <c r="AV141" s="7" t="n"/>
      <c r="AW141" s="7" t="n"/>
      <c r="AX141" s="7" t="n"/>
      <c r="AY141" s="7" t="n"/>
      <c r="AZ141" s="7" t="inlineStr">
        <is>
          <t>Sin vicio procesal declarado: «el Juez A quo ha interpretado correctamente el inciso 2° del artículo 1599 del Código Civil».</t>
        </is>
      </c>
      <c r="BA141" s="7" t="n"/>
      <c r="BB141" s="7" t="inlineStr">
        <is>
          <t>documento_unificadoABR18_SV</t>
        </is>
      </c>
      <c r="BC141" s="7" t="n">
        <v>1</v>
      </c>
      <c r="BD141" s="7" t="inlineStr">
        <is>
          <t>ABREVIADO</t>
        </is>
      </c>
      <c r="BE141" s="7" t="inlineStr">
        <is>
          <t>CONFIRMADA</t>
        </is>
      </c>
      <c r="BF141" s="7" t="inlineStr">
        <is>
          <t>AF</t>
        </is>
      </c>
    </row>
    <row r="142" ht="63.75" customHeight="1">
      <c r="A142" s="6" t="n">
        <v>141</v>
      </c>
      <c r="B142" s="6" t="inlineStr">
        <is>
          <t>02126-2011</t>
        </is>
      </c>
      <c r="C142" s="6" t="inlineStr">
        <is>
          <t>02126-2011-0-0401-JR-CI-06</t>
        </is>
      </c>
      <c r="D142" s="6" t="inlineStr">
        <is>
          <t>Abreviado — anteriores a 2019 (ABR18_SV)</t>
        </is>
      </c>
      <c r="E142" s="6" t="inlineStr">
        <is>
          <t>Indemnización de daños y perjuicios</t>
        </is>
      </c>
      <c r="F142" s="6" t="inlineStr">
        <is>
          <t>1SC</t>
        </is>
      </c>
      <c r="G142" s="6" t="inlineStr">
        <is>
          <t>SV 499-2018</t>
        </is>
      </c>
      <c r="H142" s="6" t="inlineStr">
        <is>
          <t>Res. 91 (doce-1SC)</t>
        </is>
      </c>
      <c r="I142" s="6" t="inlineStr">
        <is>
          <t>11/10/2018</t>
        </is>
      </c>
      <c r="J142" s="6" t="inlineStr">
        <is>
          <t>2018</t>
        </is>
      </c>
      <c r="K142" s="6" t="inlineStr">
        <is>
          <t>Patricia Valdivia Franco</t>
        </is>
      </c>
      <c r="L142" s="6" t="inlineStr">
        <is>
          <t>Carreón Romero</t>
        </is>
      </c>
      <c r="M142" s="6" t="inlineStr">
        <is>
          <t>NULA</t>
        </is>
      </c>
      <c r="N142" s="6" t="n">
        <v>5</v>
      </c>
      <c r="O142" s="6" t="n">
        <v>5</v>
      </c>
      <c r="P142" s="7" t="n"/>
      <c r="Q142" s="7" t="n"/>
      <c r="R142" s="7" t="n"/>
      <c r="S142" s="7" t="n"/>
      <c r="T142" s="7" t="n"/>
      <c r="U142" s="7" t="n"/>
      <c r="V142" s="7" t="inlineStr">
        <is>
          <t>DECLARADO — «la prescindencia de la prueba que el Juzgado consideró necesaria hasta en dos oportunidades (fojas seiscientos dos y seiscientos noventa y seis) afecta gravemente el derecho a la prueba como componente del debido proceso»</t>
        </is>
      </c>
      <c r="W142" s="7" t="n"/>
      <c r="X142" s="7" t="n"/>
      <c r="Y142" s="7" t="n"/>
      <c r="Z142" s="7" t="inlineStr">
        <is>
          <t>DECLARADO — «tampoco se aprecia de la parte considerativa de la sentencia, que el Juzgador haya valorado los medios de prueba señalados en el recurso de apelación»</t>
        </is>
      </c>
      <c r="AA142" s="7" t="inlineStr">
        <is>
          <t>DECLARADO — «resulta erróneo por estar imponiendo la carga de probar a la parte demandante, cuando quien debe de probar haber actuado con la diligencia requerida es la parte demandada»</t>
        </is>
      </c>
      <c r="AB142" s="7" t="n"/>
      <c r="AC142" s="7" t="inlineStr">
        <is>
          <t>DECLARADO — «incurriendo en una motivación aparente e insuficiente respecto al objeto de la causa»</t>
        </is>
      </c>
      <c r="AD142" s="7" t="n"/>
      <c r="AE142" s="7" t="inlineStr">
        <is>
          <t>DECLARADO — «habiendo la sentencia omitido pronunciarse sobre los daños alegados en la demanda, ha incurrido en causal de nulidad de la misma»</t>
        </is>
      </c>
      <c r="AF142" s="7" t="n"/>
      <c r="AG142" s="7" t="n"/>
      <c r="AH142" s="7" t="n"/>
      <c r="AI142" s="7" t="n"/>
      <c r="AJ142" s="7" t="n"/>
      <c r="AK142" s="7" t="n"/>
      <c r="AL142" s="7" t="n"/>
      <c r="AM142" s="7" t="inlineStr">
        <is>
          <t>Sí</t>
        </is>
      </c>
      <c r="AN142" s="7" t="n"/>
      <c r="AO142" s="7" t="n"/>
      <c r="AP142" s="7" t="n"/>
      <c r="AQ142" s="7" t="n"/>
      <c r="AR142" s="7" t="n"/>
      <c r="AS142" s="7" t="n"/>
      <c r="AT142" s="7" t="n"/>
      <c r="AU142" s="7" t="n"/>
      <c r="AV142" s="7" t="n"/>
      <c r="AW142" s="7" t="n"/>
      <c r="AX142" s="7" t="n"/>
      <c r="AY142" s="7" t="n"/>
      <c r="AZ142" s="7" t="inlineStr">
        <is>
          <t>El quinto defecto (carga de la prueba, art. 196 CPC) se codifica D12 conforme a la regla de deslinde del diccionario.</t>
        </is>
      </c>
      <c r="BA142" s="7" t="n"/>
      <c r="BB142" s="7" t="inlineStr">
        <is>
          <t>documento_unificadoABR18_SV</t>
        </is>
      </c>
      <c r="BC142" s="7" t="n">
        <v>1</v>
      </c>
      <c r="BD142" s="7" t="inlineStr">
        <is>
          <t>ABREVIADO</t>
        </is>
      </c>
      <c r="BE142" s="7" t="inlineStr">
        <is>
          <t>NULA</t>
        </is>
      </c>
      <c r="BF142" s="7" t="inlineStr">
        <is>
          <t>AN</t>
        </is>
      </c>
    </row>
    <row r="143" ht="53.25" customHeight="1">
      <c r="A143" s="6" t="n">
        <v>142</v>
      </c>
      <c r="B143" s="6" t="inlineStr">
        <is>
          <t>02412-2011</t>
        </is>
      </c>
      <c r="C143" s="6" t="inlineStr">
        <is>
          <t>02412-2011-0-0401-JR-CI-05</t>
        </is>
      </c>
      <c r="D143" s="6" t="inlineStr">
        <is>
          <t>Abreviado — anteriores a 2019 (ABR18_SV)</t>
        </is>
      </c>
      <c r="E143" s="6" t="inlineStr">
        <is>
          <t>División y partición</t>
        </is>
      </c>
      <c r="F143" s="6" t="inlineStr">
        <is>
          <t>3SC</t>
        </is>
      </c>
      <c r="G143" s="6" t="inlineStr">
        <is>
          <t>SV 26-2021-3SC</t>
        </is>
      </c>
      <c r="H143" s="6" t="inlineStr">
        <is>
          <t>Res. 108 (diez)</t>
        </is>
      </c>
      <c r="I143" s="6" t="inlineStr">
        <is>
          <t>01/02/2021</t>
        </is>
      </c>
      <c r="J143" s="6" t="inlineStr">
        <is>
          <t>2021</t>
        </is>
      </c>
      <c r="K143" s="6" t="inlineStr">
        <is>
          <t>Ronald Valencia de Romaña</t>
        </is>
      </c>
      <c r="L143" s="6" t="inlineStr">
        <is>
          <t>Marroquín Mogrovejo</t>
        </is>
      </c>
      <c r="M143" s="6" t="inlineStr">
        <is>
          <t>NULA</t>
        </is>
      </c>
      <c r="N143" s="6" t="n">
        <v>1</v>
      </c>
      <c r="O143" s="6" t="n">
        <v>2</v>
      </c>
      <c r="P143" s="7" t="n"/>
      <c r="Q143" s="7" t="inlineStr">
        <is>
          <t>DERIVADO — «no convalida la nulidad en que se incurrió al dictar la sentencia recurrida, cuando había muerto el demandante, ya que se le causó indefensión»</t>
        </is>
      </c>
      <c r="R143" s="7" t="n"/>
      <c r="S143" s="7" t="n"/>
      <c r="T143" s="7" t="n"/>
      <c r="U143" s="7" t="n"/>
      <c r="V143" s="7" t="n"/>
      <c r="W143" s="7" t="n"/>
      <c r="X143" s="7" t="n"/>
      <c r="Y143" s="7" t="n"/>
      <c r="Z143" s="7" t="n"/>
      <c r="AA143" s="7" t="n"/>
      <c r="AB143" s="7" t="n"/>
      <c r="AC143" s="7" t="n"/>
      <c r="AD143" s="7" t="n"/>
      <c r="AE143" s="7" t="n"/>
      <c r="AF143" s="7" t="n"/>
      <c r="AG143" s="7" t="n"/>
      <c r="AH143" s="7" t="n"/>
      <c r="AI143" s="7" t="n"/>
      <c r="AJ143" s="7" t="n"/>
      <c r="AK143" s="7" t="inlineStr">
        <is>
          <t>DECLARADO — «habiéndose emitido la sentencia apelada cuando había fallecido una de las partes, es nula toda actividad procesal realizada con posterioridad al fallecimiento del demandante»</t>
        </is>
      </c>
      <c r="AL143" s="7" t="n"/>
      <c r="AM143" s="7" t="inlineStr">
        <is>
          <t>Sí</t>
        </is>
      </c>
      <c r="AN143" s="7" t="n"/>
      <c r="AO143" s="7" t="n"/>
      <c r="AP143" s="7" t="n"/>
      <c r="AQ143" s="7" t="n"/>
      <c r="AR143" s="7" t="n"/>
      <c r="AS143" s="7" t="n"/>
      <c r="AT143" s="7" t="n"/>
      <c r="AU143" s="7" t="n"/>
      <c r="AV143" s="7" t="n"/>
      <c r="AW143" s="7" t="n"/>
      <c r="AX143" s="7" t="n"/>
      <c r="AY143" s="7" t="n"/>
      <c r="AZ143" s="7" t="inlineStr">
        <is>
          <t>D02 registrado como DERIVADO: describe el mismo hecho sobreviniente ya contado en D22.</t>
        </is>
      </c>
      <c r="BA143" s="7" t="n"/>
      <c r="BB143" s="7" t="inlineStr">
        <is>
          <t>documento_unificadoABR18_SV</t>
        </is>
      </c>
      <c r="BC143" s="7" t="n">
        <v>1</v>
      </c>
      <c r="BD143" s="7" t="inlineStr">
        <is>
          <t>ABREVIADO</t>
        </is>
      </c>
      <c r="BE143" s="7" t="inlineStr">
        <is>
          <t>NULA</t>
        </is>
      </c>
      <c r="BF143" s="7" t="inlineStr">
        <is>
          <t>AN</t>
        </is>
      </c>
    </row>
    <row r="144" ht="53.25" customHeight="1">
      <c r="A144" s="6" t="n">
        <v>143</v>
      </c>
      <c r="B144" s="6" t="inlineStr">
        <is>
          <t>02476-2012</t>
        </is>
      </c>
      <c r="C144" s="6" t="inlineStr">
        <is>
          <t>02476-2012-0-0401-JR-CI-02</t>
        </is>
      </c>
      <c r="D144" s="6" t="inlineStr">
        <is>
          <t>Abreviado — anteriores a 2019 (ABR18_SV)</t>
        </is>
      </c>
      <c r="E144" s="6" t="inlineStr">
        <is>
          <t>Indemnización</t>
        </is>
      </c>
      <c r="F144" s="6" t="inlineStr">
        <is>
          <t>2SC</t>
        </is>
      </c>
      <c r="G144" s="6" t="inlineStr">
        <is>
          <t>SV 317-2020-2SC</t>
        </is>
      </c>
      <c r="H144" s="6" t="inlineStr">
        <is>
          <t>Res. 96 (dieciocho-2SC)</t>
        </is>
      </c>
      <c r="I144" s="6" t="inlineStr">
        <is>
          <t>12/10/2020</t>
        </is>
      </c>
      <c r="J144" s="6" t="inlineStr">
        <is>
          <t>2020</t>
        </is>
      </c>
      <c r="K144" s="6" t="inlineStr">
        <is>
          <t>Edgard Pineda Gamarra</t>
        </is>
      </c>
      <c r="L144" s="6" t="inlineStr">
        <is>
          <t>Paredes Bedregal</t>
        </is>
      </c>
      <c r="M144" s="6" t="inlineStr">
        <is>
          <t>NULA</t>
        </is>
      </c>
      <c r="N144" s="6" t="n">
        <v>2</v>
      </c>
      <c r="O144" s="6" t="n">
        <v>2</v>
      </c>
      <c r="P144" s="7" t="n"/>
      <c r="Q144" s="7" t="n"/>
      <c r="R144" s="7" t="n"/>
      <c r="S144" s="7" t="n"/>
      <c r="T144" s="7" t="n"/>
      <c r="U144" s="7" t="n"/>
      <c r="V144" s="7" t="n"/>
      <c r="W144" s="7" t="n"/>
      <c r="X144" s="7" t="n"/>
      <c r="Y144" s="7" t="n"/>
      <c r="Z144" s="7" t="n"/>
      <c r="AA144" s="7" t="n"/>
      <c r="AB144" s="7" t="inlineStr">
        <is>
          <t>DECLARADO — «el juzgador no ha cumplido con realizar un adecuado análisis de los fundamentos de la demanda o de la causa petendi»</t>
        </is>
      </c>
      <c r="AC144" s="7" t="n"/>
      <c r="AD144" s="7" t="n"/>
      <c r="AE144" s="7" t="n"/>
      <c r="AF144" s="7" t="n"/>
      <c r="AG144" s="7" t="n"/>
      <c r="AH144" s="7" t="n"/>
      <c r="AI144" s="7" t="n"/>
      <c r="AJ144" s="7" t="n"/>
      <c r="AK144" s="7" t="inlineStr">
        <is>
          <t>DECLARADO — «tal como se ha establecido el día de la fecha, al revocarse la resolución que declaró infundada la excepción de prescripción extintiva planteada por el Ministerio Público»</t>
        </is>
      </c>
      <c r="AL144" s="7" t="n"/>
      <c r="AM144" s="7" t="inlineStr">
        <is>
          <t>Sí</t>
        </is>
      </c>
      <c r="AN144" s="7" t="n"/>
      <c r="AO144" s="7" t="n"/>
      <c r="AP144" s="7" t="n"/>
      <c r="AQ144" s="7" t="n"/>
      <c r="AR144" s="7" t="n"/>
      <c r="AS144" s="7" t="n"/>
      <c r="AT144" s="7" t="n"/>
      <c r="AU144" s="7" t="n"/>
      <c r="AV144" s="7" t="n"/>
      <c r="AW144" s="7" t="n"/>
      <c r="AX144" s="7" t="n"/>
      <c r="AY144" s="7" t="n"/>
      <c r="AZ144" s="7" t="inlineStr">
        <is>
          <t>Se excluye SV 2022 del mismo expediente por ser posterior.</t>
        </is>
      </c>
      <c r="BA144" s="7" t="n"/>
      <c r="BB144" s="7" t="inlineStr">
        <is>
          <t>documento_unificadoABR18_SV</t>
        </is>
      </c>
      <c r="BC144" s="7" t="n">
        <v>1</v>
      </c>
      <c r="BD144" s="7" t="inlineStr">
        <is>
          <t>ABREVIADO</t>
        </is>
      </c>
      <c r="BE144" s="7" t="inlineStr">
        <is>
          <t>NULA</t>
        </is>
      </c>
      <c r="BF144" s="7" t="inlineStr">
        <is>
          <t>AN</t>
        </is>
      </c>
    </row>
    <row r="145" ht="84.75" customHeight="1">
      <c r="A145" s="6" t="n">
        <v>144</v>
      </c>
      <c r="B145" s="6" t="inlineStr">
        <is>
          <t>00025-2017</t>
        </is>
      </c>
      <c r="C145" s="6" t="inlineStr">
        <is>
          <t>00025-2017-0-0401-JR-CI-09</t>
        </is>
      </c>
      <c r="D145" s="6" t="inlineStr">
        <is>
          <t>Abreviado — anteriores a 2019 (ABR18_SV)</t>
        </is>
      </c>
      <c r="E145" s="6" t="inlineStr">
        <is>
          <t>Retracto</t>
        </is>
      </c>
      <c r="F145" s="6" t="inlineStr">
        <is>
          <t>2SC</t>
        </is>
      </c>
      <c r="G145" s="6" t="inlineStr">
        <is>
          <t>SV 389-2025-2SC</t>
        </is>
      </c>
      <c r="H145" s="6" t="inlineStr">
        <is>
          <t>Res. 41 (veintitrés-2SC)</t>
        </is>
      </c>
      <c r="I145" s="6" t="inlineStr">
        <is>
          <t>26/08/2025</t>
        </is>
      </c>
      <c r="J145" s="6" t="inlineStr">
        <is>
          <t>2025</t>
        </is>
      </c>
      <c r="K145" s="6" t="inlineStr">
        <is>
          <t>José Meza Miranda</t>
        </is>
      </c>
      <c r="L145" s="6" t="inlineStr">
        <is>
          <t>Yucra Quispe</t>
        </is>
      </c>
      <c r="M145" s="6" t="inlineStr">
        <is>
          <t>NULA</t>
        </is>
      </c>
      <c r="N145" s="6" t="n">
        <v>2</v>
      </c>
      <c r="O145" s="6" t="n">
        <v>2</v>
      </c>
      <c r="P145" s="7" t="n"/>
      <c r="Q145" s="7" t="n"/>
      <c r="R145" s="7" t="n"/>
      <c r="S145" s="7" t="n"/>
      <c r="T145" s="7" t="n"/>
      <c r="U145" s="7" t="n"/>
      <c r="V145" s="7" t="n"/>
      <c r="W145" s="7" t="n"/>
      <c r="X145" s="7" t="n"/>
      <c r="Y145" s="7" t="n"/>
      <c r="Z145" s="7" t="n"/>
      <c r="AA145" s="7" t="n"/>
      <c r="AB145" s="7" t="n"/>
      <c r="AC145" s="7" t="n"/>
      <c r="AD145" s="7" t="n"/>
      <c r="AE145" s="7" t="inlineStr">
        <is>
          <t>DECLARADO — «sin haberse pronunciado sobre cada uno de los supuestos de procedencia de la pretensión de retracto, ni sobre si la accionante ha ejercido su derecho de preferencia dentro de la oportunidad prevista, omitiendo pronunciarse desde cuándo empieza a correr el plazo de caducidad»</t>
        </is>
      </c>
      <c r="AF145" s="7" t="n"/>
      <c r="AG145" s="7" t="n"/>
      <c r="AH145" s="7" t="n"/>
      <c r="AI145" s="7" t="n"/>
      <c r="AJ145" s="7" t="inlineStr">
        <is>
          <t>DECLARADO — «No ha tomado en cuenta que, la situación de los hechos existentes al momento de la interposición de la demanda […] son los que determinan la relación jurídica material»</t>
        </is>
      </c>
      <c r="AK145" s="7" t="n"/>
      <c r="AL145" s="7" t="n"/>
      <c r="AM145" s="7" t="inlineStr">
        <is>
          <t>Sí</t>
        </is>
      </c>
      <c r="AN145" s="7" t="n"/>
      <c r="AO145" s="7" t="n"/>
      <c r="AP145" s="7" t="n"/>
      <c r="AQ145" s="7" t="n"/>
      <c r="AR145" s="7" t="n"/>
      <c r="AS145" s="7" t="n"/>
      <c r="AT145" s="7" t="n"/>
      <c r="AU145" s="7" t="n"/>
      <c r="AV145" s="7" t="n"/>
      <c r="AW145" s="7" t="n"/>
      <c r="AX145" s="7" t="n"/>
      <c r="AY145" s="7" t="n"/>
      <c r="AZ145" s="7" t="n"/>
      <c r="BA145" s="7" t="n"/>
      <c r="BB145" s="7" t="inlineStr">
        <is>
          <t>documento_unificadoABR18_SV</t>
        </is>
      </c>
      <c r="BC145" s="7" t="n">
        <v>1</v>
      </c>
      <c r="BD145" s="7" t="inlineStr">
        <is>
          <t>ABREVIADO</t>
        </is>
      </c>
      <c r="BE145" s="7" t="inlineStr">
        <is>
          <t>NULA</t>
        </is>
      </c>
      <c r="BF145" s="7" t="inlineStr">
        <is>
          <t>AN</t>
        </is>
      </c>
    </row>
    <row r="146" ht="53.25" customHeight="1">
      <c r="A146" s="6" t="n">
        <v>145</v>
      </c>
      <c r="B146" s="6" t="inlineStr">
        <is>
          <t>02592-2010</t>
        </is>
      </c>
      <c r="C146" s="6" t="inlineStr">
        <is>
          <t>02592-2010-0-0401-JR-CI-05</t>
        </is>
      </c>
      <c r="D146" s="6" t="inlineStr">
        <is>
          <t>Abreviado — anteriores a 2019 (ABR18_SV)</t>
        </is>
      </c>
      <c r="E146" s="6" t="inlineStr">
        <is>
          <t>Indemnización</t>
        </is>
      </c>
      <c r="F146" s="6" t="inlineStr">
        <is>
          <t>2SC</t>
        </is>
      </c>
      <c r="G146" s="6" t="inlineStr">
        <is>
          <t>SV 487-2017-2SC</t>
        </is>
      </c>
      <c r="H146" s="6" t="inlineStr">
        <is>
          <t>Res. 33 (cuatro-2SC)</t>
        </is>
      </c>
      <c r="I146" s="6" t="inlineStr">
        <is>
          <t>08/09/2017</t>
        </is>
      </c>
      <c r="J146" s="6" t="inlineStr">
        <is>
          <t>2017</t>
        </is>
      </c>
      <c r="K146" s="6" t="inlineStr">
        <is>
          <t>Aníbal Maraza Borda</t>
        </is>
      </c>
      <c r="L146" s="6" t="inlineStr">
        <is>
          <t>Yucra Quispe</t>
        </is>
      </c>
      <c r="M146" s="6" t="inlineStr">
        <is>
          <t>NULA</t>
        </is>
      </c>
      <c r="N146" s="6" t="n">
        <v>2</v>
      </c>
      <c r="O146" s="6" t="n">
        <v>2</v>
      </c>
      <c r="P146" s="7" t="n"/>
      <c r="Q146" s="7" t="n"/>
      <c r="R146" s="7" t="n"/>
      <c r="S146" s="7" t="n"/>
      <c r="T146" s="7" t="n"/>
      <c r="U146" s="7" t="n"/>
      <c r="V146" s="7" t="n"/>
      <c r="W146" s="7" t="n"/>
      <c r="X146" s="7" t="n"/>
      <c r="Y146" s="7" t="n"/>
      <c r="Z146" s="7" t="n"/>
      <c r="AA146" s="7" t="n"/>
      <c r="AB146" s="7" t="inlineStr">
        <is>
          <t>DECLARADO — «tampoco se aprecia que se haya expuesto las razones o motivos que le conduzcan a concluir la magnitud del daño moral»</t>
        </is>
      </c>
      <c r="AC146" s="7" t="n"/>
      <c r="AD146" s="7" t="n"/>
      <c r="AE146" s="7" t="inlineStr">
        <is>
          <t>DECLARADO — «pese a no haber sido materia de debate en la indicada suma, extralimitándose en su decisión en éste último extremo, vulnerando el principio de congruencia procesal»</t>
        </is>
      </c>
      <c r="AF146" s="7" t="n"/>
      <c r="AG146" s="7" t="n"/>
      <c r="AH146" s="7" t="n"/>
      <c r="AI146" s="7" t="n"/>
      <c r="AJ146" s="7" t="n"/>
      <c r="AK146" s="7" t="n"/>
      <c r="AL146" s="7" t="n"/>
      <c r="AM146" s="7" t="inlineStr">
        <is>
          <t>Sí</t>
        </is>
      </c>
      <c r="AN146" s="7" t="n"/>
      <c r="AO146" s="7" t="n"/>
      <c r="AP146" s="7" t="n"/>
      <c r="AQ146" s="7" t="n"/>
      <c r="AR146" s="7" t="n"/>
      <c r="AS146" s="7" t="n"/>
      <c r="AT146" s="7" t="n"/>
      <c r="AU146" s="7" t="n"/>
      <c r="AV146" s="7" t="n"/>
      <c r="AW146" s="7" t="n"/>
      <c r="AX146" s="7" t="n"/>
      <c r="AY146" s="7" t="n"/>
      <c r="AZ146" s="7" t="inlineStr">
        <is>
          <t>Se excluye SV 2020 del mismo expediente por ser posterior.</t>
        </is>
      </c>
      <c r="BA146" s="7" t="n"/>
      <c r="BB146" s="7" t="inlineStr">
        <is>
          <t>documento_unificadoABR18_SV</t>
        </is>
      </c>
      <c r="BC146" s="7" t="n">
        <v>1</v>
      </c>
      <c r="BD146" s="7" t="inlineStr">
        <is>
          <t>ABREVIADO</t>
        </is>
      </c>
      <c r="BE146" s="7" t="inlineStr">
        <is>
          <t>NULA</t>
        </is>
      </c>
      <c r="BF146" s="7" t="inlineStr">
        <is>
          <t>AN</t>
        </is>
      </c>
    </row>
    <row r="147" ht="53.25" customHeight="1">
      <c r="A147" s="6" t="n">
        <v>146</v>
      </c>
      <c r="B147" s="6" t="inlineStr">
        <is>
          <t>02676-2017</t>
        </is>
      </c>
      <c r="C147" s="6" t="inlineStr">
        <is>
          <t>02676-2017-0-0401-JR-CI-05</t>
        </is>
      </c>
      <c r="D147" s="6" t="inlineStr">
        <is>
          <t>Abreviado — anteriores a 2019 (ABR18_SV)</t>
        </is>
      </c>
      <c r="E147" s="6" t="inlineStr">
        <is>
          <t>Prescripción adquisitiva</t>
        </is>
      </c>
      <c r="F147" s="6" t="inlineStr">
        <is>
          <t>2SC</t>
        </is>
      </c>
      <c r="G147" s="6" t="inlineStr">
        <is>
          <t>SV 967-2020-2SC</t>
        </is>
      </c>
      <c r="H147" s="6" t="inlineStr">
        <is>
          <t>Res. 24 (ocho-2SC)</t>
        </is>
      </c>
      <c r="I147" s="6" t="inlineStr">
        <is>
          <t>31/12/2019</t>
        </is>
      </c>
      <c r="J147" s="6" t="inlineStr">
        <is>
          <t>2019</t>
        </is>
      </c>
      <c r="K147" s="6" t="inlineStr">
        <is>
          <t>Yuri Corrales Cuba</t>
        </is>
      </c>
      <c r="L147" s="6" t="inlineStr">
        <is>
          <t>Barrera Benavides</t>
        </is>
      </c>
      <c r="M147" s="6" t="inlineStr">
        <is>
          <t>REVOCADA → INFUNDADA</t>
        </is>
      </c>
      <c r="N147" s="6" t="n">
        <v>0</v>
      </c>
      <c r="O147" s="6" t="n">
        <v>0</v>
      </c>
      <c r="P147" s="7" t="n"/>
      <c r="Q147" s="7" t="n"/>
      <c r="R147" s="7" t="n"/>
      <c r="S147" s="7" t="n"/>
      <c r="T147" s="7" t="n"/>
      <c r="U147" s="7" t="n"/>
      <c r="V147" s="7" t="n"/>
      <c r="W147" s="7" t="n"/>
      <c r="X147" s="7" t="n"/>
      <c r="Y147" s="7" t="n"/>
      <c r="Z147" s="7" t="n"/>
      <c r="AA147" s="7" t="n"/>
      <c r="AB147" s="7" t="n"/>
      <c r="AC147" s="7" t="n"/>
      <c r="AD147" s="7" t="n"/>
      <c r="AE147" s="7" t="n"/>
      <c r="AF147" s="7" t="n"/>
      <c r="AG147" s="7" t="n"/>
      <c r="AH147" s="7" t="n"/>
      <c r="AI147" s="7" t="n"/>
      <c r="AJ147" s="7" t="n"/>
      <c r="AK147" s="7" t="n"/>
      <c r="AL147" s="7" t="n"/>
      <c r="AM147" s="7" t="n"/>
      <c r="AN147" s="7" t="n"/>
      <c r="AO147" s="7" t="n"/>
      <c r="AP147" s="7" t="n"/>
      <c r="AQ147" s="7" t="n"/>
      <c r="AR147" s="7" t="n"/>
      <c r="AS147" s="7" t="n"/>
      <c r="AT147" s="7" t="n"/>
      <c r="AU147" s="7" t="n"/>
      <c r="AV147" s="7" t="n"/>
      <c r="AW147" s="7" t="n"/>
      <c r="AX147" s="7" t="n"/>
      <c r="AY147" s="7" t="n"/>
      <c r="AZ147" s="7" t="inlineStr">
        <is>
          <t>Sin vicio procesal declarado. Revocatoria por reinterpretación de la cláusula de reserva de propiedad (art. 1583 CC): «el actor no podía considerar estar poseyendo el predio en calidad de propietario, en tanto estaba vigente el contrato de compra-venta con la UTE FONAVI, por cuanto existía una cláusula de reserva de propiedad».</t>
        </is>
      </c>
      <c r="BA147" s="7" t="n"/>
      <c r="BB147" s="7" t="inlineStr">
        <is>
          <t>documento_unificadoABR18_SV</t>
        </is>
      </c>
      <c r="BC147" s="7" t="n">
        <v>1</v>
      </c>
      <c r="BD147" s="7" t="inlineStr">
        <is>
          <t>ABREVIADO</t>
        </is>
      </c>
      <c r="BE147" s="7" t="inlineStr">
        <is>
          <t>REVOCADA</t>
        </is>
      </c>
      <c r="BF147" s="7" t="inlineStr">
        <is>
          <t>AR</t>
        </is>
      </c>
    </row>
    <row r="148" ht="42.75" customHeight="1">
      <c r="A148" s="6" t="n">
        <v>147</v>
      </c>
      <c r="B148" s="6" t="inlineStr">
        <is>
          <t>03271-2016</t>
        </is>
      </c>
      <c r="C148" s="6" t="inlineStr">
        <is>
          <t>03271-2016-0-0401-JR-CI-09</t>
        </is>
      </c>
      <c r="D148" s="6" t="inlineStr">
        <is>
          <t>Abreviado — anteriores a 2019 (ABR18_SV)</t>
        </is>
      </c>
      <c r="E148" s="6" t="inlineStr">
        <is>
          <t>Prescripción adquisitiva</t>
        </is>
      </c>
      <c r="F148" s="6" t="inlineStr">
        <is>
          <t>3SC</t>
        </is>
      </c>
      <c r="G148" s="6" t="inlineStr">
        <is>
          <t>SV 480-2018-3SC</t>
        </is>
      </c>
      <c r="H148" s="6" t="inlineStr">
        <is>
          <t>Res. 23 (cinco)</t>
        </is>
      </c>
      <c r="I148" s="6" t="inlineStr">
        <is>
          <t>01/10/2018</t>
        </is>
      </c>
      <c r="J148" s="6" t="inlineStr">
        <is>
          <t>2018</t>
        </is>
      </c>
      <c r="K148" s="6" t="inlineStr">
        <is>
          <t>José Meza Miranda</t>
        </is>
      </c>
      <c r="L148" s="6" t="inlineStr">
        <is>
          <t>Valencia Dongo Cárdenas</t>
        </is>
      </c>
      <c r="M148" s="6" t="inlineStr">
        <is>
          <t>NULA</t>
        </is>
      </c>
      <c r="N148" s="6" t="n">
        <v>2</v>
      </c>
      <c r="O148" s="6" t="n">
        <v>2</v>
      </c>
      <c r="P148" s="7" t="n"/>
      <c r="Q148" s="7" t="n"/>
      <c r="R148" s="7" t="n"/>
      <c r="S148" s="7" t="n"/>
      <c r="T148" s="7" t="n"/>
      <c r="U148" s="7" t="n"/>
      <c r="V148" s="7" t="n"/>
      <c r="W148" s="7" t="n"/>
      <c r="X148" s="7" t="n"/>
      <c r="Y148" s="7" t="n"/>
      <c r="Z148" s="7" t="n"/>
      <c r="AA148" s="7" t="n"/>
      <c r="AB148" s="7" t="n"/>
      <c r="AC148" s="7" t="n"/>
      <c r="AD148" s="7" t="n"/>
      <c r="AE148" s="7" t="inlineStr">
        <is>
          <t>DECLARADO — «no ha hecho un análisis de los hechos de la demanda orientados a constituir una forma de adquisición de la propiedad larga o extraordinaria»</t>
        </is>
      </c>
      <c r="AF148" s="7" t="n"/>
      <c r="AG148" s="7" t="n"/>
      <c r="AH148" s="7" t="n"/>
      <c r="AI148" s="7" t="n"/>
      <c r="AJ148" s="7" t="n"/>
      <c r="AK148" s="7" t="n"/>
      <c r="AL148" s="7" t="inlineStr">
        <is>
          <t>DECLARADO — «ha sido emitida sin valorar adecuadamente los antecedentes fácticos»</t>
        </is>
      </c>
      <c r="AM148" s="7" t="inlineStr">
        <is>
          <t>Sí</t>
        </is>
      </c>
      <c r="AN148" s="7" t="n"/>
      <c r="AO148" s="7" t="n"/>
      <c r="AP148" s="7" t="n"/>
      <c r="AQ148" s="7" t="n"/>
      <c r="AR148" s="7" t="n"/>
      <c r="AS148" s="7" t="n"/>
      <c r="AT148" s="7" t="n"/>
      <c r="AU148" s="7" t="n"/>
      <c r="AV148" s="7" t="n"/>
      <c r="AW148" s="7" t="n"/>
      <c r="AX148" s="7" t="n"/>
      <c r="AY148" s="7" t="n"/>
      <c r="AZ148" s="7" t="inlineStr">
        <is>
          <t>D23 registra la fórmula genérica adicional (sin especificar nuevo supuesto), distinta del defecto concreto ya contado en D16.</t>
        </is>
      </c>
      <c r="BA148" s="7" t="n"/>
      <c r="BB148" s="7" t="inlineStr">
        <is>
          <t>documento_unificadoABR18_SV</t>
        </is>
      </c>
      <c r="BC148" s="7" t="n">
        <v>1</v>
      </c>
      <c r="BD148" s="7" t="inlineStr">
        <is>
          <t>ABREVIADO</t>
        </is>
      </c>
      <c r="BE148" s="7" t="inlineStr">
        <is>
          <t>NULA</t>
        </is>
      </c>
      <c r="BF148" s="7" t="inlineStr">
        <is>
          <t>AN</t>
        </is>
      </c>
    </row>
    <row r="149" ht="53.25" customHeight="1">
      <c r="A149" s="6" t="n">
        <v>148</v>
      </c>
      <c r="B149" s="6" t="inlineStr">
        <is>
          <t>03379-2013</t>
        </is>
      </c>
      <c r="C149" s="6" t="inlineStr">
        <is>
          <t>03379-2013-0-0401-JR-CI-07</t>
        </is>
      </c>
      <c r="D149" s="6" t="inlineStr">
        <is>
          <t>Abreviado — anteriores a 2019 (ABR18_SV)</t>
        </is>
      </c>
      <c r="E149" s="6" t="inlineStr">
        <is>
          <t>Partición de herencia</t>
        </is>
      </c>
      <c r="F149" s="6" t="inlineStr">
        <is>
          <t>3SC</t>
        </is>
      </c>
      <c r="G149" s="6" t="inlineStr">
        <is>
          <t>SV 421-2019-3SC</t>
        </is>
      </c>
      <c r="H149" s="6" t="inlineStr">
        <is>
          <t>Res. 64 (siete)</t>
        </is>
      </c>
      <c r="I149" s="6" t="inlineStr">
        <is>
          <t>24/06/2019</t>
        </is>
      </c>
      <c r="J149" s="6" t="inlineStr">
        <is>
          <t>2019</t>
        </is>
      </c>
      <c r="K149" s="6" t="inlineStr">
        <is>
          <t>Carlos Polanco Gutiérrez</t>
        </is>
      </c>
      <c r="L149" s="6" t="inlineStr">
        <is>
          <t>Burga Cervantes</t>
        </is>
      </c>
      <c r="M149" s="6" t="inlineStr">
        <is>
          <t>NULA</t>
        </is>
      </c>
      <c r="N149" s="6" t="n">
        <v>1</v>
      </c>
      <c r="O149" s="6" t="n">
        <v>2</v>
      </c>
      <c r="P149" s="7" t="n"/>
      <c r="Q149" s="7" t="n"/>
      <c r="R149" s="7" t="inlineStr">
        <is>
          <t>DERIVADO — «no podía declararse la existencia de una relación jurídico procesal válida sin haberse emplazado previamente a la sucesión del heredero fallecido Eusebio Ricardo Chilque Fuentes»</t>
        </is>
      </c>
      <c r="S149" s="7" t="n"/>
      <c r="T149" s="7" t="n"/>
      <c r="U149" s="7" t="n"/>
      <c r="V149" s="7" t="n"/>
      <c r="W149" s="7" t="n"/>
      <c r="X149" s="7" t="n"/>
      <c r="Y149" s="7" t="n"/>
      <c r="Z149" s="7" t="n"/>
      <c r="AA149" s="7" t="n"/>
      <c r="AB149" s="7" t="n"/>
      <c r="AC149" s="7" t="n"/>
      <c r="AD149" s="7" t="n"/>
      <c r="AE149" s="7" t="n"/>
      <c r="AF149" s="7" t="n"/>
      <c r="AG149" s="7" t="n"/>
      <c r="AH149" s="7" t="n"/>
      <c r="AI149" s="7" t="n"/>
      <c r="AJ149" s="7" t="n"/>
      <c r="AK149" s="7" t="inlineStr">
        <is>
          <t>DECLARADO — «dicho pronunciamiento alcanza a los actuados del proceso que son dependientes de aquel […] la resolución que viene en grado se encuentra también afectada de nulidad»</t>
        </is>
      </c>
      <c r="AL149" s="7" t="n"/>
      <c r="AM149" s="7" t="inlineStr">
        <is>
          <t>Sí</t>
        </is>
      </c>
      <c r="AN149" s="7" t="n"/>
      <c r="AO149" s="7" t="n"/>
      <c r="AP149" s="7" t="n"/>
      <c r="AQ149" s="7" t="n"/>
      <c r="AR149" s="7" t="n"/>
      <c r="AS149" s="7" t="n"/>
      <c r="AT149" s="7" t="n"/>
      <c r="AU149" s="7" t="n"/>
      <c r="AV149" s="7" t="n"/>
      <c r="AW149" s="7" t="n"/>
      <c r="AX149" s="7" t="n"/>
      <c r="AY149" s="7" t="n"/>
      <c r="AZ149" s="7" t="inlineStr">
        <is>
          <t>D03 es el vicio de un Auto de Vista anterior (no disponible en el archivo fuente) que origina la nulidad refleja D22 de esta SV.</t>
        </is>
      </c>
      <c r="BA149" s="7" t="n"/>
      <c r="BB149" s="7" t="inlineStr">
        <is>
          <t>documento_unificadoABR18_SV</t>
        </is>
      </c>
      <c r="BC149" s="7" t="n">
        <v>1</v>
      </c>
      <c r="BD149" s="7" t="inlineStr">
        <is>
          <t>ABREVIADO</t>
        </is>
      </c>
      <c r="BE149" s="7" t="inlineStr">
        <is>
          <t>NULA</t>
        </is>
      </c>
      <c r="BF149" s="7" t="inlineStr">
        <is>
          <t>AN</t>
        </is>
      </c>
    </row>
    <row r="150" ht="42.75" customHeight="1">
      <c r="A150" s="6" t="n">
        <v>149</v>
      </c>
      <c r="B150" s="6" t="inlineStr">
        <is>
          <t>03601-2017</t>
        </is>
      </c>
      <c r="C150" s="6" t="inlineStr">
        <is>
          <t>03601-2017-0-0401-JR-CI-07</t>
        </is>
      </c>
      <c r="D150" s="6" t="inlineStr">
        <is>
          <t>Abreviado — anteriores a 2019 (ABR18_SV)</t>
        </is>
      </c>
      <c r="E150" s="6" t="inlineStr">
        <is>
          <t>Prescripción adquisitiva</t>
        </is>
      </c>
      <c r="F150" s="6" t="inlineStr">
        <is>
          <t>2SC</t>
        </is>
      </c>
      <c r="G150" s="6" t="inlineStr">
        <is>
          <t>SV 190-2019-2SC</t>
        </is>
      </c>
      <c r="H150" s="6" t="inlineStr">
        <is>
          <t>Res. 21 (siete-2SC)</t>
        </is>
      </c>
      <c r="I150" s="6" t="inlineStr">
        <is>
          <t>17/05/2019</t>
        </is>
      </c>
      <c r="J150" s="6" t="inlineStr">
        <is>
          <t>2019</t>
        </is>
      </c>
      <c r="K150" s="6" t="inlineStr">
        <is>
          <t>Nikola Gonzales Ramos</t>
        </is>
      </c>
      <c r="L150" s="6" t="inlineStr">
        <is>
          <t>Paredes Bedregal</t>
        </is>
      </c>
      <c r="M150" s="6" t="inlineStr">
        <is>
          <t>REVOCADA → INFUNDADA</t>
        </is>
      </c>
      <c r="N150" s="6" t="n">
        <v>0</v>
      </c>
      <c r="O150" s="6" t="n">
        <v>0</v>
      </c>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7" t="n"/>
      <c r="AL150" s="7" t="n"/>
      <c r="AM150" s="7" t="n"/>
      <c r="AN150" s="7" t="n"/>
      <c r="AO150" s="7" t="n"/>
      <c r="AP150" s="7" t="n"/>
      <c r="AQ150" s="7" t="n"/>
      <c r="AR150" s="7" t="n"/>
      <c r="AS150" s="7" t="n"/>
      <c r="AT150" s="7" t="n"/>
      <c r="AU150" s="7" t="n"/>
      <c r="AV150" s="7" t="n"/>
      <c r="AW150" s="7" t="n"/>
      <c r="AX150" s="7" t="n"/>
      <c r="AY150" s="7" t="n"/>
      <c r="AZ150" s="7" t="inlineStr">
        <is>
          <t>Sin vicio procesal declarado. Revocatoria fundada en prueba incorporada de oficio en segunda instancia (investigación penal 2008 y acta de conciliación 359-2014) que acredita falta de pacificidad de la posesión.</t>
        </is>
      </c>
      <c r="BA150" s="7" t="n"/>
      <c r="BB150" s="7" t="inlineStr">
        <is>
          <t>documento_unificadoABR18_SV</t>
        </is>
      </c>
      <c r="BC150" s="7" t="n">
        <v>1</v>
      </c>
      <c r="BD150" s="7" t="inlineStr">
        <is>
          <t>ABREVIADO</t>
        </is>
      </c>
      <c r="BE150" s="7" t="inlineStr">
        <is>
          <t>REVOCADA</t>
        </is>
      </c>
      <c r="BF150" s="7" t="inlineStr">
        <is>
          <t>AR</t>
        </is>
      </c>
    </row>
    <row r="151" ht="42.75" customHeight="1">
      <c r="A151" s="6" t="n">
        <v>150</v>
      </c>
      <c r="B151" s="6" t="inlineStr">
        <is>
          <t>03656-2016</t>
        </is>
      </c>
      <c r="C151" s="6" t="inlineStr">
        <is>
          <t>03656-2016-0-0401-JR-CI-05</t>
        </is>
      </c>
      <c r="D151" s="6" t="inlineStr">
        <is>
          <t>Abreviado — anteriores a 2019 (ABR18_SV)</t>
        </is>
      </c>
      <c r="E151" s="6" t="inlineStr">
        <is>
          <t>Prescripción adquisitiva (consulta)</t>
        </is>
      </c>
      <c r="F151" s="6" t="inlineStr">
        <is>
          <t>2SC</t>
        </is>
      </c>
      <c r="G151" s="6" t="inlineStr">
        <is>
          <t>SV 448-2019-2SC</t>
        </is>
      </c>
      <c r="H151" s="6" t="inlineStr">
        <is>
          <t>Res. 24 (cinco-2SC)</t>
        </is>
      </c>
      <c r="I151" s="6" t="inlineStr">
        <is>
          <t>09/08/2019</t>
        </is>
      </c>
      <c r="J151" s="6" t="inlineStr">
        <is>
          <t>2019</t>
        </is>
      </c>
      <c r="K151" s="6" t="inlineStr">
        <is>
          <t>Yuri Corrales Cuba</t>
        </is>
      </c>
      <c r="L151" s="6" t="inlineStr">
        <is>
          <t>Barrera Benavides</t>
        </is>
      </c>
      <c r="M151" s="6" t="inlineStr">
        <is>
          <t>DESAPROBADA (reenvío)</t>
        </is>
      </c>
      <c r="N151" s="6" t="n">
        <v>2</v>
      </c>
      <c r="O151" s="6" t="n">
        <v>2</v>
      </c>
      <c r="P151" s="7" t="inlineStr">
        <is>
          <t>DECLARADO — «era factible recurrir a la RENIEC para obtener el reporte de su registro, que hubiere permitido obtener un domicilio de la emplazada»</t>
        </is>
      </c>
      <c r="Q151" s="7" t="n"/>
      <c r="R151" s="7" t="n"/>
      <c r="S151" s="7" t="n"/>
      <c r="T151" s="7" t="n"/>
      <c r="U151" s="7" t="n"/>
      <c r="V151" s="7" t="n"/>
      <c r="W151" s="7" t="n"/>
      <c r="X151" s="7" t="n"/>
      <c r="Y151" s="7" t="n"/>
      <c r="Z151" s="7" t="n"/>
      <c r="AA151" s="7" t="inlineStr">
        <is>
          <t>DECLARADO — «el juez meritua un contrato de instalación de servicio eléctrico, sin considerar que dicho medio probatorio ha sido adjuntado incompleto»</t>
        </is>
      </c>
      <c r="AB151" s="7" t="n"/>
      <c r="AC151" s="7" t="n"/>
      <c r="AD151" s="7" t="n"/>
      <c r="AE151" s="7" t="n"/>
      <c r="AF151" s="7" t="n"/>
      <c r="AG151" s="7" t="n"/>
      <c r="AH151" s="7" t="n"/>
      <c r="AI151" s="7" t="n"/>
      <c r="AJ151" s="7" t="n"/>
      <c r="AK151" s="7" t="n"/>
      <c r="AL151" s="7" t="n"/>
      <c r="AM151" s="7" t="inlineStr">
        <is>
          <t>Sí</t>
        </is>
      </c>
      <c r="AN151" s="7" t="n"/>
      <c r="AO151" s="7" t="n"/>
      <c r="AP151" s="7" t="n"/>
      <c r="AQ151" s="7" t="n"/>
      <c r="AR151" s="7" t="n"/>
      <c r="AS151" s="7" t="n"/>
      <c r="AT151" s="7" t="n"/>
      <c r="AU151" s="7" t="n"/>
      <c r="AV151" s="7" t="n"/>
      <c r="AW151" s="7" t="n"/>
      <c r="AX151" s="7" t="n"/>
      <c r="AY151" s="7" t="n"/>
      <c r="AZ151" s="7" t="inlineStr">
        <is>
          <t>Trámite en consulta (art. 408 CPC). D01: A quo no verificó la declaración jurada de domicilio ignorado antes de habilitar el emplazamiento por edictos.</t>
        </is>
      </c>
      <c r="BA151" s="7" t="n"/>
      <c r="BB151" s="7" t="inlineStr">
        <is>
          <t>documento_unificadoABR18_SV</t>
        </is>
      </c>
      <c r="BC151" s="7" t="n">
        <v>1</v>
      </c>
      <c r="BD151" s="7" t="inlineStr">
        <is>
          <t>ABREVIADO</t>
        </is>
      </c>
      <c r="BE151" s="7" t="inlineStr">
        <is>
          <t>NULA</t>
        </is>
      </c>
      <c r="BF151" s="7" t="inlineStr">
        <is>
          <t>AN</t>
        </is>
      </c>
    </row>
    <row r="152" ht="42.75" customHeight="1">
      <c r="A152" s="6" t="n">
        <v>151</v>
      </c>
      <c r="B152" s="6" t="inlineStr">
        <is>
          <t>03697-2014</t>
        </is>
      </c>
      <c r="C152" s="6" t="inlineStr">
        <is>
          <t>03697-2014-0-0401-JR-CI-06</t>
        </is>
      </c>
      <c r="D152" s="6" t="inlineStr">
        <is>
          <t>Abreviado — anteriores a 2019 (ABR18_SV)</t>
        </is>
      </c>
      <c r="E152" s="6" t="inlineStr">
        <is>
          <t>Prescripción adquisitiva (consulta)</t>
        </is>
      </c>
      <c r="F152" s="6" t="inlineStr">
        <is>
          <t>3SC</t>
        </is>
      </c>
      <c r="G152" s="6" t="inlineStr">
        <is>
          <t>SV 521-2018-3SC</t>
        </is>
      </c>
      <c r="H152" s="6" t="inlineStr">
        <is>
          <t>Res. 31 (tres)</t>
        </is>
      </c>
      <c r="I152" s="6" t="inlineStr">
        <is>
          <t>12/11/2018</t>
        </is>
      </c>
      <c r="J152" s="6" t="inlineStr">
        <is>
          <t>2018</t>
        </is>
      </c>
      <c r="K152" s="6" t="inlineStr">
        <is>
          <t>Patricia Valdivia Franco</t>
        </is>
      </c>
      <c r="L152" s="6" t="inlineStr">
        <is>
          <t>Rivera Dueñas</t>
        </is>
      </c>
      <c r="M152" s="6" t="inlineStr">
        <is>
          <t>DESAPROBADA + NULO TODO LO ACTUADO (reenvío) → IMPROCEDENTE</t>
        </is>
      </c>
      <c r="N152" s="6" t="n">
        <v>0</v>
      </c>
      <c r="O152" s="6" t="n">
        <v>0</v>
      </c>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7" t="n"/>
      <c r="AL152" s="7" t="n"/>
      <c r="AM152" s="7" t="n"/>
      <c r="AN152" s="7" t="n"/>
      <c r="AO152" s="7" t="n"/>
      <c r="AP152" s="7" t="n"/>
      <c r="AQ152" s="7" t="n"/>
      <c r="AR152" s="7" t="n"/>
      <c r="AS152" s="7" t="n"/>
      <c r="AT152" s="7" t="n"/>
      <c r="AU152" s="7" t="n"/>
      <c r="AV152" s="7" t="n"/>
      <c r="AW152" s="7" t="n"/>
      <c r="AX152" s="7" t="n"/>
      <c r="AY152" s="7" t="n"/>
      <c r="AZ152" s="7" t="inlineStr">
        <is>
          <t>Sin vicio procesal declarado: «debe concluirse que el petitorio de la demanda resulta jurídicamente imposible» (vía procedimental incorrecta para predio rústico). Se excluye SV 2019 del mismo expediente por ser posterior.</t>
        </is>
      </c>
      <c r="BA152" s="7" t="n"/>
      <c r="BB152" s="7" t="inlineStr">
        <is>
          <t>documento_unificadoABR18_SV</t>
        </is>
      </c>
      <c r="BC152" s="7" t="n">
        <v>1</v>
      </c>
      <c r="BD152" s="7" t="inlineStr">
        <is>
          <t>ABREVIADO</t>
        </is>
      </c>
      <c r="BE152" s="7" t="inlineStr">
        <is>
          <t>NULA</t>
        </is>
      </c>
      <c r="BF152" s="7" t="inlineStr">
        <is>
          <t>AN</t>
        </is>
      </c>
    </row>
    <row r="153" ht="42.75" customHeight="1">
      <c r="A153" s="6" t="n">
        <v>152</v>
      </c>
      <c r="B153" s="6" t="inlineStr">
        <is>
          <t>04246-2011</t>
        </is>
      </c>
      <c r="C153" s="6" t="inlineStr">
        <is>
          <t>04246-2011-0-0401-JR-CI-10</t>
        </is>
      </c>
      <c r="D153" s="6" t="inlineStr">
        <is>
          <t>Abreviado — anteriores a 2019 (ABR18_SV)</t>
        </is>
      </c>
      <c r="E153" s="6" t="inlineStr">
        <is>
          <t>Prescripción adquisitiva</t>
        </is>
      </c>
      <c r="F153" s="6" t="inlineStr">
        <is>
          <t>3SC</t>
        </is>
      </c>
      <c r="G153" s="6" t="inlineStr">
        <is>
          <t>SV 654-2019-3SC</t>
        </is>
      </c>
      <c r="H153" s="6" t="inlineStr">
        <is>
          <t>Res. 69 (ocho)</t>
        </is>
      </c>
      <c r="I153" s="6" t="inlineStr">
        <is>
          <t>21/08/2019</t>
        </is>
      </c>
      <c r="J153" s="6" t="inlineStr">
        <is>
          <t>2019</t>
        </is>
      </c>
      <c r="K153" s="6" t="inlineStr">
        <is>
          <t>Zoraida Julia Salas Flores</t>
        </is>
      </c>
      <c r="L153" s="6" t="inlineStr">
        <is>
          <t>Valencia Dongo Cárdenas</t>
        </is>
      </c>
      <c r="M153" s="6" t="inlineStr">
        <is>
          <t>REVOCA → IMPROCEDENTE</t>
        </is>
      </c>
      <c r="N153" s="6" t="n">
        <v>1</v>
      </c>
      <c r="O153" s="6" t="n">
        <v>1</v>
      </c>
      <c r="P153" s="7" t="n"/>
      <c r="Q153" s="7" t="n"/>
      <c r="R153" s="7" t="n"/>
      <c r="S153" s="7" t="n"/>
      <c r="T153" s="7" t="n"/>
      <c r="U153" s="7" t="n"/>
      <c r="V153" s="7" t="n"/>
      <c r="W153" s="7" t="n"/>
      <c r="X153" s="7" t="n"/>
      <c r="Y153" s="7" t="n"/>
      <c r="Z153" s="7" t="n"/>
      <c r="AA153" s="7" t="inlineStr">
        <is>
          <t>DECLARADO — «dicho informe pericial no genera convicción sobre su contenido»</t>
        </is>
      </c>
      <c r="AB153" s="7" t="n"/>
      <c r="AC153" s="7" t="n"/>
      <c r="AD153" s="7" t="n"/>
      <c r="AE153" s="7" t="n"/>
      <c r="AF153" s="7" t="n"/>
      <c r="AG153" s="7" t="n"/>
      <c r="AH153" s="7" t="n"/>
      <c r="AI153" s="7" t="n"/>
      <c r="AJ153" s="7" t="n"/>
      <c r="AK153" s="7" t="n"/>
      <c r="AL153" s="7" t="n"/>
      <c r="AM153" s="7" t="n"/>
      <c r="AN153" s="7" t="n"/>
      <c r="AO153" s="7" t="n"/>
      <c r="AP153" s="7" t="n"/>
      <c r="AQ153" s="7" t="n"/>
      <c r="AR153" s="7" t="n"/>
      <c r="AS153" s="7" t="n"/>
      <c r="AT153" s="7" t="n"/>
      <c r="AU153" s="7" t="n"/>
      <c r="AV153" s="7" t="n"/>
      <c r="AW153" s="7" t="n"/>
      <c r="AX153" s="7" t="n"/>
      <c r="AY153" s="7" t="n"/>
      <c r="AZ153" s="7" t="inlineStr">
        <is>
          <t>El archivo fuente contiene un documento «SV1 CASACION» idéntico byte a byte a esta SV (654-2019); se descartó como duplicado. Se excluye SV 2021 del mismo expediente por ser posterior.</t>
        </is>
      </c>
      <c r="BA153" s="7" t="n"/>
      <c r="BB153" s="7" t="inlineStr">
        <is>
          <t>documento_unificadoABR18_SV</t>
        </is>
      </c>
      <c r="BC153" s="7" t="n">
        <v>1</v>
      </c>
      <c r="BD153" s="7" t="inlineStr">
        <is>
          <t>ABREVIADO</t>
        </is>
      </c>
      <c r="BE153" s="7" t="inlineStr">
        <is>
          <t>REVOCADA</t>
        </is>
      </c>
      <c r="BF153" s="7" t="inlineStr">
        <is>
          <t>AR</t>
        </is>
      </c>
    </row>
    <row r="154" ht="42.75" customHeight="1">
      <c r="A154" s="6" t="n">
        <v>153</v>
      </c>
      <c r="B154" s="6" t="inlineStr">
        <is>
          <t>00442-2016</t>
        </is>
      </c>
      <c r="C154" s="6" t="inlineStr">
        <is>
          <t>00442-2016-0-0401-JR-CI-05</t>
        </is>
      </c>
      <c r="D154" s="6" t="inlineStr">
        <is>
          <t>Abreviado — anteriores a 2019 (ABR18_SV)</t>
        </is>
      </c>
      <c r="E154" s="6" t="inlineStr">
        <is>
          <t>Prescripción adquisitiva</t>
        </is>
      </c>
      <c r="F154" s="6" t="inlineStr">
        <is>
          <t>1SC</t>
        </is>
      </c>
      <c r="G154" s="6" t="inlineStr">
        <is>
          <t>SV 545-2019</t>
        </is>
      </c>
      <c r="H154" s="6" t="inlineStr">
        <is>
          <t>Res. 47 (diez-1SC)</t>
        </is>
      </c>
      <c r="I154" s="6" t="inlineStr">
        <is>
          <t>12/08/2019</t>
        </is>
      </c>
      <c r="J154" s="6" t="inlineStr">
        <is>
          <t>2019</t>
        </is>
      </c>
      <c r="K154" s="6" t="inlineStr">
        <is>
          <t>Yuri Corrales Cuba</t>
        </is>
      </c>
      <c r="L154" s="6" t="inlineStr">
        <is>
          <t>Carreón Romero</t>
        </is>
      </c>
      <c r="M154" s="6" t="inlineStr">
        <is>
          <t>REVOCADA → INFUNDADA</t>
        </is>
      </c>
      <c r="N154" s="6" t="n">
        <v>1</v>
      </c>
      <c r="O154" s="6" t="n">
        <v>1</v>
      </c>
      <c r="P154" s="7" t="n"/>
      <c r="Q154" s="7" t="n"/>
      <c r="R154" s="7" t="n"/>
      <c r="S154" s="7" t="n"/>
      <c r="T154" s="7" t="n"/>
      <c r="U154" s="7" t="n"/>
      <c r="V154" s="7" t="n"/>
      <c r="W154" s="7" t="n"/>
      <c r="X154" s="7" t="n"/>
      <c r="Y154" s="7" t="n"/>
      <c r="Z154" s="7" t="n"/>
      <c r="AA154" s="7" t="inlineStr">
        <is>
          <t>DECLARADO — «todos los medios probatorios en su integridad acreditan la posesión ejercida recién desde el año dos mil doce en adelante»</t>
        </is>
      </c>
      <c r="AB154" s="7" t="n"/>
      <c r="AC154" s="7" t="n"/>
      <c r="AD154" s="7" t="n"/>
      <c r="AE154" s="7" t="n"/>
      <c r="AF154" s="7" t="n"/>
      <c r="AG154" s="7" t="n"/>
      <c r="AH154" s="7" t="n"/>
      <c r="AI154" s="7" t="n"/>
      <c r="AJ154" s="7" t="n"/>
      <c r="AK154" s="7" t="n"/>
      <c r="AL154" s="7" t="n"/>
      <c r="AM154" s="7" t="n"/>
      <c r="AN154" s="7" t="n"/>
      <c r="AO154" s="7" t="n"/>
      <c r="AP154" s="7" t="n"/>
      <c r="AQ154" s="7" t="n"/>
      <c r="AR154" s="7" t="n"/>
      <c r="AS154" s="7" t="n"/>
      <c r="AT154" s="7" t="n"/>
      <c r="AU154" s="7" t="n"/>
      <c r="AV154" s="7" t="n"/>
      <c r="AW154" s="7" t="n"/>
      <c r="AX154" s="7" t="n"/>
      <c r="AY154" s="7" t="n"/>
      <c r="AZ154" s="7" t="inlineStr">
        <is>
          <t>La nulidad por emplazamiento/rebeldía alegada por la codemandada fue DESESTIMADA: «no se le ha causado indefensión a la demandada» (no se codifica: es alegación no acogida).</t>
        </is>
      </c>
      <c r="BA154" s="7" t="n"/>
      <c r="BB154" s="7" t="inlineStr">
        <is>
          <t>documento_unificadoABR18_SV</t>
        </is>
      </c>
      <c r="BC154" s="7" t="n">
        <v>1</v>
      </c>
      <c r="BD154" s="7" t="inlineStr">
        <is>
          <t>ABREVIADO</t>
        </is>
      </c>
      <c r="BE154" s="7" t="inlineStr">
        <is>
          <t>REVOCADA</t>
        </is>
      </c>
      <c r="BF154" s="7" t="inlineStr">
        <is>
          <t>AR</t>
        </is>
      </c>
    </row>
    <row r="155" ht="53.25" customHeight="1">
      <c r="A155" s="6" t="n">
        <v>154</v>
      </c>
      <c r="B155" s="6" t="inlineStr">
        <is>
          <t>04422-2011</t>
        </is>
      </c>
      <c r="C155" s="6" t="inlineStr">
        <is>
          <t>04422-2011-0-0401-JR-CI-09</t>
        </is>
      </c>
      <c r="D155" s="6" t="inlineStr">
        <is>
          <t>Abreviado — anteriores a 2019 (ABR18_SV)</t>
        </is>
      </c>
      <c r="E155" s="6" t="inlineStr">
        <is>
          <t>Prescripción adquisitiva</t>
        </is>
      </c>
      <c r="F155" s="6" t="inlineStr">
        <is>
          <t>2SC</t>
        </is>
      </c>
      <c r="G155" s="6" t="inlineStr">
        <is>
          <t>SV 688-2018-2SC</t>
        </is>
      </c>
      <c r="H155" s="6" t="inlineStr">
        <is>
          <t>Res. 90 (doce-2SC)</t>
        </is>
      </c>
      <c r="I155" s="6" t="inlineStr">
        <is>
          <t>28/12/2018</t>
        </is>
      </c>
      <c r="J155" s="6" t="inlineStr">
        <is>
          <t>2018</t>
        </is>
      </c>
      <c r="K155" s="6" t="inlineStr">
        <is>
          <t>José Meza Miranda</t>
        </is>
      </c>
      <c r="L155" s="6" t="inlineStr">
        <is>
          <t>Béjar Pereyra</t>
        </is>
      </c>
      <c r="M155" s="6" t="inlineStr">
        <is>
          <t>NULA</t>
        </is>
      </c>
      <c r="N155" s="6" t="n">
        <v>2</v>
      </c>
      <c r="O155" s="6" t="n">
        <v>2</v>
      </c>
      <c r="P155" s="7" t="n"/>
      <c r="Q155" s="7" t="n"/>
      <c r="R155" s="7" t="n"/>
      <c r="S155" s="7" t="n"/>
      <c r="T155" s="7" t="n"/>
      <c r="U155" s="7" t="n"/>
      <c r="V155" s="7" t="n"/>
      <c r="W155" s="7" t="n"/>
      <c r="X155" s="7" t="n"/>
      <c r="Y155" s="7" t="n"/>
      <c r="Z155" s="7" t="n"/>
      <c r="AA155" s="7" t="n"/>
      <c r="AB155" s="7" t="n"/>
      <c r="AC155" s="7" t="n"/>
      <c r="AD155" s="7" t="n"/>
      <c r="AE155" s="7" t="inlineStr">
        <is>
          <t>DECLARADO — «al no haberse pronunciado respecto a las alegaciones de las partes tanto en la demanda, se ha violado el principio de congruencia entre lo pedido y lo resuelto»</t>
        </is>
      </c>
      <c r="AF155" s="7" t="n"/>
      <c r="AG155" s="7" t="inlineStr">
        <is>
          <t>DECLARADO — «constituye una omisión formal que debió ser observada por el juzgador al momento de calificar la demanda»</t>
        </is>
      </c>
      <c r="AH155" s="7" t="n"/>
      <c r="AI155" s="7" t="n"/>
      <c r="AJ155" s="7" t="n"/>
      <c r="AK155" s="7" t="n"/>
      <c r="AL155" s="7" t="n"/>
      <c r="AM155" s="7" t="inlineStr">
        <is>
          <t>Sí</t>
        </is>
      </c>
      <c r="AN155" s="7" t="n"/>
      <c r="AO155" s="7" t="n"/>
      <c r="AP155" s="7" t="n"/>
      <c r="AQ155" s="7" t="n"/>
      <c r="AR155" s="7" t="n"/>
      <c r="AS155" s="7" t="n"/>
      <c r="AT155" s="7" t="n"/>
      <c r="AU155" s="7" t="n"/>
      <c r="AV155" s="7" t="n"/>
      <c r="AW155" s="7" t="n"/>
      <c r="AX155" s="7" t="n"/>
      <c r="AY155" s="7" t="n"/>
      <c r="AZ155" s="7" t="inlineStr">
        <is>
          <t>Se excluye SV 2021 del mismo expediente por ser posterior.</t>
        </is>
      </c>
      <c r="BA155" s="7" t="n"/>
      <c r="BB155" s="7" t="inlineStr">
        <is>
          <t>documento_unificadoABR18_SV</t>
        </is>
      </c>
      <c r="BC155" s="7" t="n">
        <v>1</v>
      </c>
      <c r="BD155" s="7" t="inlineStr">
        <is>
          <t>ABREVIADO</t>
        </is>
      </c>
      <c r="BE155" s="7" t="inlineStr">
        <is>
          <t>NULA</t>
        </is>
      </c>
      <c r="BF155" s="7" t="inlineStr">
        <is>
          <t>AN</t>
        </is>
      </c>
    </row>
    <row r="156" ht="32.25" customHeight="1">
      <c r="A156" s="6" t="n">
        <v>155</v>
      </c>
      <c r="B156" s="6" t="inlineStr">
        <is>
          <t>04649-2010</t>
        </is>
      </c>
      <c r="C156" s="6" t="inlineStr">
        <is>
          <t>04649-2010-0-0401-JR-CI-08</t>
        </is>
      </c>
      <c r="D156" s="6" t="inlineStr">
        <is>
          <t>Abreviado — anteriores a 2019 (ABR18_SV)</t>
        </is>
      </c>
      <c r="E156" s="6" t="inlineStr">
        <is>
          <t>Indemnización</t>
        </is>
      </c>
      <c r="F156" s="6" t="inlineStr">
        <is>
          <t>1SC</t>
        </is>
      </c>
      <c r="G156" s="6" t="inlineStr">
        <is>
          <t>SV 59-2019</t>
        </is>
      </c>
      <c r="H156" s="6" t="inlineStr">
        <is>
          <t>Res. 71 (siete-1SC)</t>
        </is>
      </c>
      <c r="I156" s="6" t="inlineStr">
        <is>
          <t>30/01/2019</t>
        </is>
      </c>
      <c r="J156" s="6" t="inlineStr">
        <is>
          <t>2019</t>
        </is>
      </c>
      <c r="K156" s="6" t="inlineStr">
        <is>
          <t>Ronald Valencia de Romaña</t>
        </is>
      </c>
      <c r="L156" s="6" t="inlineStr">
        <is>
          <t>Carreón Romero</t>
        </is>
      </c>
      <c r="M156" s="6" t="inlineStr">
        <is>
          <t>REVOCADA → FUNDADA EN PARTE</t>
        </is>
      </c>
      <c r="N156" s="6" t="n">
        <v>1</v>
      </c>
      <c r="O156" s="6" t="n">
        <v>1</v>
      </c>
      <c r="P156" s="7" t="n"/>
      <c r="Q156" s="7" t="n"/>
      <c r="R156" s="7" t="n"/>
      <c r="S156" s="7" t="n"/>
      <c r="T156" s="7" t="n"/>
      <c r="U156" s="7" t="n"/>
      <c r="V156" s="7" t="n"/>
      <c r="W156" s="7" t="n"/>
      <c r="X156" s="7" t="n"/>
      <c r="Y156" s="7" t="n"/>
      <c r="Z156" s="7" t="n"/>
      <c r="AA156" s="7" t="inlineStr">
        <is>
          <t>DECLARADO — «tales declaraciones no desvirtúan el vínculo materno filial existente entre hijo y madre»</t>
        </is>
      </c>
      <c r="AB156" s="7" t="n"/>
      <c r="AC156" s="7" t="n"/>
      <c r="AD156" s="7" t="n"/>
      <c r="AE156" s="7" t="n"/>
      <c r="AF156" s="7" t="n"/>
      <c r="AG156" s="7" t="n"/>
      <c r="AH156" s="7" t="n"/>
      <c r="AI156" s="7" t="n"/>
      <c r="AJ156" s="7" t="n"/>
      <c r="AK156" s="7" t="n"/>
      <c r="AL156" s="7" t="n"/>
      <c r="AM156" s="7" t="n"/>
      <c r="AN156" s="7" t="n"/>
      <c r="AO156" s="7" t="n"/>
      <c r="AP156" s="7" t="n"/>
      <c r="AQ156" s="7" t="n"/>
      <c r="AR156" s="7" t="n"/>
      <c r="AS156" s="7" t="n"/>
      <c r="AT156" s="7" t="n"/>
      <c r="AU156" s="7" t="n"/>
      <c r="AV156" s="7" t="n"/>
      <c r="AW156" s="7" t="n"/>
      <c r="AX156" s="7" t="n"/>
      <c r="AY156" s="7" t="n"/>
      <c r="AZ156" s="7" t="n"/>
      <c r="BA156" s="7" t="n"/>
      <c r="BB156" s="7" t="inlineStr">
        <is>
          <t>documento_unificadoABR18_SV</t>
        </is>
      </c>
      <c r="BC156" s="7" t="n">
        <v>1</v>
      </c>
      <c r="BD156" s="7" t="inlineStr">
        <is>
          <t>ABREVIADO</t>
        </is>
      </c>
      <c r="BE156" s="7" t="inlineStr">
        <is>
          <t>REVOCADA</t>
        </is>
      </c>
      <c r="BF156" s="7" t="inlineStr">
        <is>
          <t>AR</t>
        </is>
      </c>
    </row>
    <row r="157" ht="53.25" customHeight="1">
      <c r="A157" s="6" t="n">
        <v>156</v>
      </c>
      <c r="B157" s="6" t="inlineStr">
        <is>
          <t>00051-2017</t>
        </is>
      </c>
      <c r="C157" s="6" t="inlineStr">
        <is>
          <t>00051-2017-0-0401-JR-CI-06</t>
        </is>
      </c>
      <c r="D157" s="6" t="inlineStr">
        <is>
          <t>Abreviado — anteriores a 2019 (ABR18_SV)</t>
        </is>
      </c>
      <c r="E157" s="6" t="inlineStr">
        <is>
          <t>Prescripción adquisitiva</t>
        </is>
      </c>
      <c r="F157" s="6" t="inlineStr">
        <is>
          <t>2SC</t>
        </is>
      </c>
      <c r="G157" s="6" t="inlineStr">
        <is>
          <t>SV 319-2020-2SC</t>
        </is>
      </c>
      <c r="H157" s="6" t="inlineStr">
        <is>
          <t>Res. 34 (diez-2SC)</t>
        </is>
      </c>
      <c r="I157" s="6" t="inlineStr">
        <is>
          <t>13/10/2020</t>
        </is>
      </c>
      <c r="J157" s="6" t="inlineStr">
        <is>
          <t>2020</t>
        </is>
      </c>
      <c r="K157" s="6" t="inlineStr">
        <is>
          <t>Patricia Valdivia Franco</t>
        </is>
      </c>
      <c r="L157" s="6" t="inlineStr">
        <is>
          <t>Cervantes López</t>
        </is>
      </c>
      <c r="M157" s="6" t="inlineStr">
        <is>
          <t>NULA (con voto en discordia)</t>
        </is>
      </c>
      <c r="N157" s="6" t="n">
        <v>2</v>
      </c>
      <c r="O157" s="6" t="n">
        <v>2</v>
      </c>
      <c r="P157" s="7" t="n"/>
      <c r="Q157" s="7" t="n"/>
      <c r="R157" s="7" t="n"/>
      <c r="S157" s="7" t="n"/>
      <c r="T157" s="7" t="n"/>
      <c r="U157" s="7" t="n"/>
      <c r="V157" s="7" t="n"/>
      <c r="W157" s="7" t="n"/>
      <c r="X157" s="7" t="n"/>
      <c r="Y157" s="7" t="n"/>
      <c r="Z157" s="7" t="n"/>
      <c r="AA157" s="7" t="n"/>
      <c r="AB157" s="7" t="n"/>
      <c r="AC157" s="7" t="n"/>
      <c r="AD157" s="7" t="inlineStr">
        <is>
          <t>DECLARADO — «no resulta coherente ni lógico que tratándose de defectos de forma, luego se termine declarando “improcedente” la demanda interpuesta»</t>
        </is>
      </c>
      <c r="AE157" s="7" t="n"/>
      <c r="AF157" s="7" t="n"/>
      <c r="AG157" s="7" t="inlineStr">
        <is>
          <t>DECLARADO — «constituyen defectos de forma que no fueron advertidos por la A quo al momento de calificar la demanda ni tampoco al momento del saneamiento del proceso»</t>
        </is>
      </c>
      <c r="AH157" s="7" t="n"/>
      <c r="AI157" s="7" t="n"/>
      <c r="AJ157" s="7" t="n"/>
      <c r="AK157" s="7" t="n"/>
      <c r="AL157" s="7" t="n"/>
      <c r="AM157" s="7" t="inlineStr">
        <is>
          <t>Sí</t>
        </is>
      </c>
      <c r="AN157" s="7" t="n"/>
      <c r="AO157" s="7" t="n"/>
      <c r="AP157" s="7" t="n"/>
      <c r="AQ157" s="7" t="n"/>
      <c r="AR157" s="7" t="n"/>
      <c r="AS157" s="7" t="n"/>
      <c r="AT157" s="7" t="n"/>
      <c r="AU157" s="7" t="n"/>
      <c r="AV157" s="7" t="n"/>
      <c r="AW157" s="7" t="n"/>
      <c r="AX157" s="7" t="n"/>
      <c r="AY157" s="7" t="n"/>
      <c r="AZ157" s="7" t="inlineStr">
        <is>
          <t>Voto de mayoría (Cervantes López, ponente, con adhesión de Paredes Bedregal): NULA. Voto en discordia de Barrera Benavides (al que se adhiere Yucra Quispe): proponía CONFIRMAR. Se excluye SV 2022 del mismo expediente por ser posterior.</t>
        </is>
      </c>
      <c r="BA157" s="7" t="n"/>
      <c r="BB157" s="7" t="inlineStr">
        <is>
          <t>documento_unificadoABR18_SV</t>
        </is>
      </c>
      <c r="BC157" s="7" t="n">
        <v>1</v>
      </c>
      <c r="BD157" s="7" t="inlineStr">
        <is>
          <t>ABREVIADO</t>
        </is>
      </c>
      <c r="BE157" s="7" t="inlineStr">
        <is>
          <t>NULA</t>
        </is>
      </c>
      <c r="BF157" s="7" t="inlineStr">
        <is>
          <t>AN</t>
        </is>
      </c>
    </row>
    <row r="158" ht="63.75" customHeight="1">
      <c r="A158" s="6" t="n">
        <v>157</v>
      </c>
      <c r="B158" s="6" t="inlineStr">
        <is>
          <t>05208-2014</t>
        </is>
      </c>
      <c r="C158" s="6" t="inlineStr">
        <is>
          <t>05208-2014-0-0401-JR-CI-05</t>
        </is>
      </c>
      <c r="D158" s="6" t="inlineStr">
        <is>
          <t>Abreviado — anteriores a 2019 (ABR18_SV)</t>
        </is>
      </c>
      <c r="E158" s="6" t="inlineStr">
        <is>
          <t>Nulidad de acto jurídico</t>
        </is>
      </c>
      <c r="F158" s="6" t="inlineStr">
        <is>
          <t>3SC</t>
        </is>
      </c>
      <c r="G158" s="6" t="inlineStr">
        <is>
          <t>SV 126-2019-3SC</t>
        </is>
      </c>
      <c r="H158" s="6" t="inlineStr">
        <is>
          <t>Res. 39 (seis)</t>
        </is>
      </c>
      <c r="I158" s="6" t="inlineStr">
        <is>
          <t>21/03/2019</t>
        </is>
      </c>
      <c r="J158" s="6" t="inlineStr">
        <is>
          <t>2019</t>
        </is>
      </c>
      <c r="K158" s="6" t="inlineStr">
        <is>
          <t>Yuri Corrales Cuba</t>
        </is>
      </c>
      <c r="L158" s="6" t="inlineStr">
        <is>
          <t>Choque Llamosas</t>
        </is>
      </c>
      <c r="M158" s="6" t="inlineStr">
        <is>
          <t>NULA E INSUBSISTENTE</t>
        </is>
      </c>
      <c r="N158" s="6" t="n">
        <v>3</v>
      </c>
      <c r="O158" s="6" t="n">
        <v>3</v>
      </c>
      <c r="P158" s="7" t="n"/>
      <c r="Q158" s="7" t="n"/>
      <c r="R158" s="7" t="n"/>
      <c r="S158" s="7" t="n"/>
      <c r="T158" s="7" t="n"/>
      <c r="U158" s="7" t="inlineStr">
        <is>
          <t>DECLARADO — «la demandante se ha desistido de la pretensión accesoria de cancelación del asiento registral número C00003 de la Partida Electrónica 04001339, sin embargo ha sido considerado como punto controvertido»</t>
        </is>
      </c>
      <c r="V158" s="7" t="n"/>
      <c r="W158" s="7" t="n"/>
      <c r="X158" s="7" t="n"/>
      <c r="Y158" s="7" t="n"/>
      <c r="Z158" s="7" t="n"/>
      <c r="AA158" s="7" t="n"/>
      <c r="AB158" s="7" t="n"/>
      <c r="AC158" s="7" t="inlineStr">
        <is>
          <t>DECLARADO — «la sentencia contiene una motivación aparente, ya que el juez a quo sólo trató de dar cumplimiento formal al deber de motivación»</t>
        </is>
      </c>
      <c r="AD158" s="7" t="n"/>
      <c r="AE158" s="7" t="inlineStr">
        <is>
          <t>DECLARADO — «el Juez a quo no se ha pronunciado sobre todos los puntos controvertidos […] esto es sobre la pretensión accesoria de cancelación del asiento registral C00004»</t>
        </is>
      </c>
      <c r="AF158" s="7" t="n"/>
      <c r="AG158" s="7" t="n"/>
      <c r="AH158" s="7" t="n"/>
      <c r="AI158" s="7" t="n"/>
      <c r="AJ158" s="7" t="n"/>
      <c r="AK158" s="7" t="n"/>
      <c r="AL158" s="7" t="n"/>
      <c r="AM158" s="7" t="inlineStr">
        <is>
          <t>Sí</t>
        </is>
      </c>
      <c r="AN158" s="7" t="n"/>
      <c r="AO158" s="7" t="n"/>
      <c r="AP158" s="7" t="n"/>
      <c r="AQ158" s="7" t="n"/>
      <c r="AR158" s="7" t="n"/>
      <c r="AS158" s="7" t="n"/>
      <c r="AT158" s="7" t="n"/>
      <c r="AU158" s="7" t="n"/>
      <c r="AV158" s="7" t="n"/>
      <c r="AW158" s="7" t="n"/>
      <c r="AX158" s="7" t="n"/>
      <c r="AY158" s="7" t="n"/>
      <c r="AZ158" s="7" t="inlineStr">
        <is>
          <t>D14 proviene del fundamento adicional (voto concurrente) del juez superior Marroquín Mogrovejo. Se excluye SV 2022 del mismo expediente por ser posterior.</t>
        </is>
      </c>
      <c r="BA158" s="7" t="n"/>
      <c r="BB158" s="7" t="inlineStr">
        <is>
          <t>documento_unificadoABR18_SV</t>
        </is>
      </c>
      <c r="BC158" s="7" t="n">
        <v>1</v>
      </c>
      <c r="BD158" s="7" t="inlineStr">
        <is>
          <t>ABREVIADO</t>
        </is>
      </c>
      <c r="BE158" s="7" t="inlineStr">
        <is>
          <t>NULA</t>
        </is>
      </c>
      <c r="BF158" s="7" t="inlineStr">
        <is>
          <t>AN</t>
        </is>
      </c>
    </row>
    <row r="159" ht="53.25" customHeight="1">
      <c r="A159" s="6" t="n">
        <v>158</v>
      </c>
      <c r="B159" s="6" t="inlineStr">
        <is>
          <t>06617-2013</t>
        </is>
      </c>
      <c r="C159" s="6" t="inlineStr">
        <is>
          <t>06617-2013-0-0401-JR-CI-06</t>
        </is>
      </c>
      <c r="D159" s="6" t="inlineStr">
        <is>
          <t>Abreviado — anteriores a 2019 (ABR18_SV)</t>
        </is>
      </c>
      <c r="E159" s="6" t="inlineStr">
        <is>
          <t>Prescripción adquisitiva</t>
        </is>
      </c>
      <c r="F159" s="6" t="inlineStr">
        <is>
          <t>2SC</t>
        </is>
      </c>
      <c r="G159" s="6" t="inlineStr">
        <is>
          <t>SV 689-2018-2SC</t>
        </is>
      </c>
      <c r="H159" s="6" t="inlineStr">
        <is>
          <t>Res. 35 (diez-2SC)</t>
        </is>
      </c>
      <c r="I159" s="6" t="inlineStr">
        <is>
          <t>28/12/2018</t>
        </is>
      </c>
      <c r="J159" s="6" t="inlineStr">
        <is>
          <t>2018</t>
        </is>
      </c>
      <c r="K159" s="6" t="inlineStr">
        <is>
          <t>Patricia Valdivia Franco</t>
        </is>
      </c>
      <c r="L159" s="6" t="inlineStr">
        <is>
          <t>Yucra Quispe</t>
        </is>
      </c>
      <c r="M159" s="6" t="inlineStr">
        <is>
          <t>REVOCADA → INFUNDADA (+ corrección de error material, art. 407 CPC)</t>
        </is>
      </c>
      <c r="N159" s="6" t="n">
        <v>1</v>
      </c>
      <c r="O159" s="6" t="n">
        <v>1</v>
      </c>
      <c r="P159" s="7" t="n"/>
      <c r="Q159" s="7" t="n"/>
      <c r="R159" s="7" t="n"/>
      <c r="S159" s="7" t="n"/>
      <c r="T159" s="7" t="n"/>
      <c r="U159" s="7" t="n"/>
      <c r="V159" s="7" t="n"/>
      <c r="W159" s="7" t="n"/>
      <c r="X159" s="7" t="n"/>
      <c r="Y159" s="7" t="n"/>
      <c r="Z159" s="7" t="n"/>
      <c r="AA159" s="7" t="inlineStr">
        <is>
          <t>DECLARADO — «no siendo prueba fehaciente los autovalúos de los años 1998 y 2008, que simplemente acreditan el pago de los tributos por el lote materia de Litis, mas no demuestran la posesión del predio»</t>
        </is>
      </c>
      <c r="AB159" s="7" t="n"/>
      <c r="AC159" s="7" t="n"/>
      <c r="AD159" s="7" t="n"/>
      <c r="AE159" s="7" t="n"/>
      <c r="AF159" s="7" t="n"/>
      <c r="AG159" s="7" t="n"/>
      <c r="AH159" s="7" t="n"/>
      <c r="AI159" s="7" t="n"/>
      <c r="AJ159" s="7" t="n"/>
      <c r="AK159" s="7" t="n"/>
      <c r="AL159" s="7" t="n"/>
      <c r="AM159" s="7" t="n"/>
      <c r="AN159" s="7" t="n"/>
      <c r="AO159" s="7" t="n"/>
      <c r="AP159" s="7" t="n"/>
      <c r="AQ159" s="7" t="n"/>
      <c r="AR159" s="7" t="n"/>
      <c r="AS159" s="7" t="n"/>
      <c r="AT159" s="7" t="n"/>
      <c r="AU159" s="7" t="n"/>
      <c r="AV159" s="7" t="n"/>
      <c r="AW159" s="7" t="n"/>
      <c r="AX159" s="7" t="n"/>
      <c r="AY159" s="7" t="n"/>
      <c r="AZ159" s="7" t="n"/>
      <c r="BA159" s="7" t="n"/>
      <c r="BB159" s="7" t="inlineStr">
        <is>
          <t>documento_unificadoABR18_SV</t>
        </is>
      </c>
      <c r="BC159" s="7" t="n">
        <v>1</v>
      </c>
      <c r="BD159" s="7" t="inlineStr">
        <is>
          <t>ABREVIADO</t>
        </is>
      </c>
      <c r="BE159" s="7" t="inlineStr">
        <is>
          <t>REVOCADA</t>
        </is>
      </c>
      <c r="BF159" s="7" t="inlineStr">
        <is>
          <t>AR</t>
        </is>
      </c>
    </row>
    <row r="160" ht="42.75" customHeight="1">
      <c r="A160" s="6" t="n">
        <v>159</v>
      </c>
      <c r="B160" s="6" t="inlineStr">
        <is>
          <t>07218-2014</t>
        </is>
      </c>
      <c r="C160" s="6" t="inlineStr">
        <is>
          <t>07218-2014-0-0401-JR-CI-05</t>
        </is>
      </c>
      <c r="D160" s="6" t="inlineStr">
        <is>
          <t>Abreviado — anteriores a 2019 (ABR18_SV)</t>
        </is>
      </c>
      <c r="E160" s="6" t="inlineStr">
        <is>
          <t>Tercería</t>
        </is>
      </c>
      <c r="F160" s="6" t="inlineStr">
        <is>
          <t>1SC</t>
        </is>
      </c>
      <c r="G160" s="6" t="inlineStr">
        <is>
          <t>SV 563-2018</t>
        </is>
      </c>
      <c r="H160" s="6" t="inlineStr">
        <is>
          <t>Res. 23 (seis-1SC)</t>
        </is>
      </c>
      <c r="I160" s="6" t="inlineStr">
        <is>
          <t>28/11/2018</t>
        </is>
      </c>
      <c r="J160" s="6" t="inlineStr">
        <is>
          <t>2018</t>
        </is>
      </c>
      <c r="K160" s="6" t="inlineStr">
        <is>
          <t>Aníbal Maraza Borda</t>
        </is>
      </c>
      <c r="L160" s="6" t="inlineStr">
        <is>
          <t>López Rivera</t>
        </is>
      </c>
      <c r="M160" s="6" t="inlineStr">
        <is>
          <t>REVOCA → IMPROCEDENTE</t>
        </is>
      </c>
      <c r="N160" s="6" t="n">
        <v>0</v>
      </c>
      <c r="O160" s="6" t="n">
        <v>0</v>
      </c>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7" t="n"/>
      <c r="AL160" s="7" t="n"/>
      <c r="AM160" s="7" t="n"/>
      <c r="AN160" s="7" t="n"/>
      <c r="AO160" s="7" t="n"/>
      <c r="AP160" s="7" t="n"/>
      <c r="AQ160" s="7" t="n"/>
      <c r="AR160" s="7" t="n"/>
      <c r="AS160" s="7" t="n"/>
      <c r="AT160" s="7" t="n"/>
      <c r="AU160" s="7" t="n"/>
      <c r="AV160" s="7" t="n"/>
      <c r="AW160" s="7" t="n"/>
      <c r="AX160" s="7" t="n"/>
      <c r="AY160" s="7" t="n"/>
      <c r="AZ160" s="7" t="inlineStr">
        <is>
          <t>Sin vicio procesal declarado. Revocatoria por calificación jurídica de fondo: «la demanda de tercería de pago, devendría en improcedente, toda vez que no reúne los requisitos propios de una acción de tercería de preferente de pago».</t>
        </is>
      </c>
      <c r="BA160" s="7" t="n"/>
      <c r="BB160" s="7" t="inlineStr">
        <is>
          <t>documento_unificadoABR18_SV</t>
        </is>
      </c>
      <c r="BC160" s="7" t="n">
        <v>1</v>
      </c>
      <c r="BD160" s="7" t="inlineStr">
        <is>
          <t>ABREVIADO</t>
        </is>
      </c>
      <c r="BE160" s="7" t="inlineStr">
        <is>
          <t>REVOCADA</t>
        </is>
      </c>
      <c r="BF160" s="7" t="inlineStr">
        <is>
          <t>AR</t>
        </is>
      </c>
    </row>
    <row r="161" ht="63.75" customHeight="1">
      <c r="A161" s="6" t="n">
        <v>160</v>
      </c>
      <c r="B161" s="6" t="inlineStr">
        <is>
          <t>07394-2000</t>
        </is>
      </c>
      <c r="C161" s="6" t="inlineStr">
        <is>
          <t>07394-2000-0-0401-JR-CI-05</t>
        </is>
      </c>
      <c r="D161" s="6" t="inlineStr">
        <is>
          <t>Abreviado — anteriores a 2019 (ABR18_SV)</t>
        </is>
      </c>
      <c r="E161" s="6" t="inlineStr">
        <is>
          <t>División y partición</t>
        </is>
      </c>
      <c r="F161" s="6" t="inlineStr">
        <is>
          <t>2SC</t>
        </is>
      </c>
      <c r="G161" s="6" t="inlineStr">
        <is>
          <t>SV 173-2020-2SC</t>
        </is>
      </c>
      <c r="H161" s="6" t="inlineStr">
        <is>
          <t>Res. 191 (diecinueve-2SC)</t>
        </is>
      </c>
      <c r="I161" s="6" t="inlineStr">
        <is>
          <t>24/09/2020</t>
        </is>
      </c>
      <c r="J161" s="6" t="inlineStr">
        <is>
          <t>2020</t>
        </is>
      </c>
      <c r="K161" s="6" t="inlineStr">
        <is>
          <t>Aníbal Maraza Borda</t>
        </is>
      </c>
      <c r="L161" s="6" t="inlineStr">
        <is>
          <t>Paredes Bedregal</t>
        </is>
      </c>
      <c r="M161" s="6" t="inlineStr">
        <is>
          <t>NULA</t>
        </is>
      </c>
      <c r="N161" s="6" t="n">
        <v>2</v>
      </c>
      <c r="O161" s="6" t="n">
        <v>2</v>
      </c>
      <c r="P161" s="7" t="n"/>
      <c r="Q161" s="7" t="n"/>
      <c r="R161" s="7" t="n"/>
      <c r="S161" s="7" t="n"/>
      <c r="T161" s="7" t="n"/>
      <c r="U161" s="7" t="n"/>
      <c r="V161" s="7" t="n"/>
      <c r="W161" s="7" t="n"/>
      <c r="X161" s="7" t="n"/>
      <c r="Y161" s="7" t="n"/>
      <c r="Z161" s="7" t="n"/>
      <c r="AA161" s="7" t="inlineStr">
        <is>
          <t>DECLARADO — «el A quo ha incurrido en error al analizar el contenido de la escritura pública antes mencionada»</t>
        </is>
      </c>
      <c r="AB161" s="7" t="inlineStr">
        <is>
          <t>DECLARADO — «el juzgador no cumplido con establecer si es que José Alfonso Sánchez Mercado, aún tiene derechos sobre el inmueble materia de partición o no […] conforme a lo ordenado mediante Sentencia de Vista N° 53-2015-2SC»</t>
        </is>
      </c>
      <c r="AC161" s="7" t="n"/>
      <c r="AD161" s="7" t="n"/>
      <c r="AE161" s="7" t="n"/>
      <c r="AF161" s="7" t="n"/>
      <c r="AG161" s="7" t="n"/>
      <c r="AH161" s="7" t="n"/>
      <c r="AI161" s="7" t="n"/>
      <c r="AJ161" s="7" t="n"/>
      <c r="AK161" s="7" t="n"/>
      <c r="AL161" s="7" t="n"/>
      <c r="AM161" s="7" t="inlineStr">
        <is>
          <t>Sí</t>
        </is>
      </c>
      <c r="AN161" s="7" t="n"/>
      <c r="AO161" s="7" t="n"/>
      <c r="AP161" s="7" t="n"/>
      <c r="AQ161" s="7" t="n"/>
      <c r="AR161" s="7" t="n"/>
      <c r="AS161" s="7" t="n"/>
      <c r="AT161" s="7" t="n"/>
      <c r="AU161" s="7" t="n"/>
      <c r="AV161" s="7" t="n"/>
      <c r="AW161" s="7" t="n"/>
      <c r="AX161" s="7" t="n"/>
      <c r="AY161" s="7" t="n"/>
      <c r="AZ161" s="7" t="inlineStr">
        <is>
          <t>D13 refiere al incumplimiento del mandato de una SV anterior (53-2015-2SC), no disponible en el archivo fuente. Se excluye SV 2025 del mismo expediente por ser posterior.</t>
        </is>
      </c>
      <c r="BA161" s="7" t="n"/>
      <c r="BB161" s="7" t="inlineStr">
        <is>
          <t>documento_unificadoABR18_SV</t>
        </is>
      </c>
      <c r="BC161" s="7" t="n">
        <v>1</v>
      </c>
      <c r="BD161" s="7" t="inlineStr">
        <is>
          <t>ABREVIADO</t>
        </is>
      </c>
      <c r="BE161" s="7" t="inlineStr">
        <is>
          <t>NULA</t>
        </is>
      </c>
      <c r="BF161" s="7" t="inlineStr">
        <is>
          <t>AN</t>
        </is>
      </c>
    </row>
    <row r="162" ht="53.25" customHeight="1">
      <c r="A162" s="6" t="n">
        <v>161</v>
      </c>
      <c r="B162" s="6" t="inlineStr">
        <is>
          <t>08011-2014</t>
        </is>
      </c>
      <c r="C162" s="6" t="inlineStr">
        <is>
          <t>08011-2014-0-0401-JR-CI-07</t>
        </is>
      </c>
      <c r="D162" s="6" t="inlineStr">
        <is>
          <t>Abreviado — anteriores a 2019 (ABR18_SV)</t>
        </is>
      </c>
      <c r="E162" s="6" t="inlineStr">
        <is>
          <t>Reivindicación</t>
        </is>
      </c>
      <c r="F162" s="6" t="inlineStr">
        <is>
          <t>2SC</t>
        </is>
      </c>
      <c r="G162" s="6" t="inlineStr">
        <is>
          <t>SV 87-2020-2SC</t>
        </is>
      </c>
      <c r="H162" s="6" t="inlineStr">
        <is>
          <t>Res. 44 (catorce-2SC)</t>
        </is>
      </c>
      <c r="I162" s="6" t="inlineStr">
        <is>
          <t>12/03/2020</t>
        </is>
      </c>
      <c r="J162" s="6" t="inlineStr">
        <is>
          <t>2020</t>
        </is>
      </c>
      <c r="K162" s="6" t="inlineStr">
        <is>
          <t>Carlos Polanco Gutiérrez</t>
        </is>
      </c>
      <c r="L162" s="6" t="inlineStr">
        <is>
          <t>Paredes Bedregal</t>
        </is>
      </c>
      <c r="M162" s="6" t="inlineStr">
        <is>
          <t>REVOCA → IMPROCEDENTE</t>
        </is>
      </c>
      <c r="N162" s="6" t="n">
        <v>2</v>
      </c>
      <c r="O162" s="6" t="n">
        <v>2</v>
      </c>
      <c r="P162" s="7" t="n"/>
      <c r="Q162" s="7" t="n"/>
      <c r="R162" s="7" t="n"/>
      <c r="S162" s="7" t="n"/>
      <c r="T162" s="7" t="n"/>
      <c r="U162" s="7" t="n"/>
      <c r="V162" s="7" t="n"/>
      <c r="W162" s="7" t="n"/>
      <c r="X162" s="7" t="n"/>
      <c r="Y162" s="7" t="n"/>
      <c r="Z162" s="7" t="n"/>
      <c r="AA162" s="7" t="inlineStr">
        <is>
          <t>DECLARADO — «el A quo ha incurrido en error al calcular el área del terreno transferido a favor de Eleuterio Ramos Colque y esposa […] lo cual no ha sido advertido por el juez»</t>
        </is>
      </c>
      <c r="AB162" s="7" t="n"/>
      <c r="AC162" s="7" t="n"/>
      <c r="AD162" s="7" t="n"/>
      <c r="AE162" s="7" t="n"/>
      <c r="AF162" s="7" t="n"/>
      <c r="AG162" s="7" t="n"/>
      <c r="AH162" s="7" t="n"/>
      <c r="AI162" s="7" t="n"/>
      <c r="AJ162" s="7" t="n"/>
      <c r="AK162" s="7" t="n"/>
      <c r="AL162" s="7" t="inlineStr">
        <is>
          <t>DECLARADO — «cada uno de estos fundamentos adolecen de una motivación defectuosa, como se procederá a exponer en los acápites siguientes»</t>
        </is>
      </c>
      <c r="AM162" s="7" t="n"/>
      <c r="AN162" s="7" t="n"/>
      <c r="AO162" s="7" t="n"/>
      <c r="AP162" s="7" t="n"/>
      <c r="AQ162" s="7" t="n"/>
      <c r="AR162" s="7" t="n"/>
      <c r="AS162" s="7" t="n"/>
      <c r="AT162" s="7" t="n"/>
      <c r="AU162" s="7" t="n"/>
      <c r="AV162" s="7" t="n"/>
      <c r="AW162" s="7" t="n"/>
      <c r="AX162" s="7" t="n"/>
      <c r="AY162" s="7" t="n"/>
      <c r="AZ162" s="7" t="inlineStr">
        <is>
          <t>Se excluye SV 2022 del mismo expediente por ser posterior.</t>
        </is>
      </c>
      <c r="BA162" s="7" t="n"/>
      <c r="BB162" s="7" t="inlineStr">
        <is>
          <t>documento_unificadoABR18_SV</t>
        </is>
      </c>
      <c r="BC162" s="7" t="n">
        <v>1</v>
      </c>
      <c r="BD162" s="7" t="inlineStr">
        <is>
          <t>ABREVIADO</t>
        </is>
      </c>
      <c r="BE162" s="7" t="inlineStr">
        <is>
          <t>REVOCADA</t>
        </is>
      </c>
      <c r="BF162" s="7" t="inlineStr">
        <is>
          <t>AR</t>
        </is>
      </c>
    </row>
    <row r="163" ht="53.25" customHeight="1">
      <c r="A163" s="6" t="n">
        <v>162</v>
      </c>
      <c r="B163" s="6" t="inlineStr">
        <is>
          <t>00925-2016</t>
        </is>
      </c>
      <c r="C163" s="6" t="inlineStr">
        <is>
          <t>00925-2016-0-0401-JR-CI-09</t>
        </is>
      </c>
      <c r="D163" s="6" t="inlineStr">
        <is>
          <t>Abreviado — anteriores a 2019 (ABR18_SV)</t>
        </is>
      </c>
      <c r="E163" s="6" t="inlineStr">
        <is>
          <t>Tercería de propiedad</t>
        </is>
      </c>
      <c r="F163" s="6" t="inlineStr">
        <is>
          <t>2SC</t>
        </is>
      </c>
      <c r="G163" s="6" t="inlineStr">
        <is>
          <t>SV 021-2020-2SC</t>
        </is>
      </c>
      <c r="H163" s="6" t="inlineStr">
        <is>
          <t>Res. 47 (diez-2SC)</t>
        </is>
      </c>
      <c r="I163" s="6" t="inlineStr">
        <is>
          <t>10/01/2020</t>
        </is>
      </c>
      <c r="J163" s="6" t="inlineStr">
        <is>
          <t>2020</t>
        </is>
      </c>
      <c r="K163" s="6" t="inlineStr">
        <is>
          <t>Edgard Pineda Gamarra</t>
        </is>
      </c>
      <c r="L163" s="6" t="inlineStr">
        <is>
          <t>Yucra Quispe</t>
        </is>
      </c>
      <c r="M163" s="6" t="inlineStr">
        <is>
          <t>NULA</t>
        </is>
      </c>
      <c r="N163" s="6" t="n">
        <v>1</v>
      </c>
      <c r="O163" s="6" t="n">
        <v>1</v>
      </c>
      <c r="P163" s="7" t="n"/>
      <c r="Q163" s="7" t="n"/>
      <c r="R163" s="7" t="inlineStr">
        <is>
          <t>DECLARADO — «se ha rematado el predio sub-litis a favor del tercero Marco Antonio Barrionuevo Del Castillo sin embargo, no se ha incorporado a dicho tercero al proceso con arreglo a ley»</t>
        </is>
      </c>
      <c r="S163" s="7" t="n"/>
      <c r="T163" s="7" t="n"/>
      <c r="U163" s="7" t="n"/>
      <c r="V163" s="7" t="n"/>
      <c r="W163" s="7" t="n"/>
      <c r="X163" s="7" t="n"/>
      <c r="Y163" s="7" t="n"/>
      <c r="Z163" s="7" t="n"/>
      <c r="AA163" s="7" t="n"/>
      <c r="AB163" s="7" t="n"/>
      <c r="AC163" s="7" t="n"/>
      <c r="AD163" s="7" t="n"/>
      <c r="AE163" s="7" t="n"/>
      <c r="AF163" s="7" t="n"/>
      <c r="AG163" s="7" t="n"/>
      <c r="AH163" s="7" t="n"/>
      <c r="AI163" s="7" t="n"/>
      <c r="AJ163" s="7" t="n"/>
      <c r="AK163" s="7" t="n"/>
      <c r="AL163" s="7" t="n"/>
      <c r="AM163" s="7" t="inlineStr">
        <is>
          <t>Sí</t>
        </is>
      </c>
      <c r="AN163" s="7" t="n"/>
      <c r="AO163" s="7" t="n"/>
      <c r="AP163" s="7" t="n"/>
      <c r="AQ163" s="7" t="n"/>
      <c r="AR163" s="7" t="n"/>
      <c r="AS163" s="7" t="n"/>
      <c r="AT163" s="7" t="n"/>
      <c r="AU163" s="7" t="n"/>
      <c r="AV163" s="7" t="n"/>
      <c r="AW163" s="7" t="n"/>
      <c r="AX163" s="7" t="n"/>
      <c r="AY163" s="7" t="n"/>
      <c r="AZ163" s="7" t="inlineStr">
        <is>
          <t>Se excluyen SV 2023 y 2025 del mismo expediente por ser posteriores.</t>
        </is>
      </c>
      <c r="BA163" s="7" t="n"/>
      <c r="BB163" s="7" t="inlineStr">
        <is>
          <t>documento_unificadoABR18_SV</t>
        </is>
      </c>
      <c r="BC163" s="7" t="n">
        <v>1</v>
      </c>
      <c r="BD163" s="7" t="inlineStr">
        <is>
          <t>ABREVIADO</t>
        </is>
      </c>
      <c r="BE163" s="7" t="inlineStr">
        <is>
          <t>NULA</t>
        </is>
      </c>
      <c r="BF163" s="7" t="inlineStr">
        <is>
          <t>AN</t>
        </is>
      </c>
    </row>
    <row r="164" ht="42.75" customHeight="1">
      <c r="A164" s="6" t="n">
        <v>163</v>
      </c>
      <c r="B164" s="6" t="inlineStr">
        <is>
          <t>00925-2017</t>
        </is>
      </c>
      <c r="C164" s="6" t="inlineStr">
        <is>
          <t>00925-2017-0-0401-JR-CI-05</t>
        </is>
      </c>
      <c r="D164" s="6" t="inlineStr">
        <is>
          <t>Abreviado — anteriores a 2019 (ABR18_SV)</t>
        </is>
      </c>
      <c r="E164" s="6" t="inlineStr">
        <is>
          <t>Prescripción adquisitiva</t>
        </is>
      </c>
      <c r="F164" s="6" t="inlineStr">
        <is>
          <t>2SC</t>
        </is>
      </c>
      <c r="G164" s="6" t="inlineStr">
        <is>
          <t>SV 135-2020-2SC</t>
        </is>
      </c>
      <c r="H164" s="6" t="inlineStr">
        <is>
          <t>Res. 26 (ocho-2SC)</t>
        </is>
      </c>
      <c r="I164" s="6" t="inlineStr">
        <is>
          <t>04/09/2020</t>
        </is>
      </c>
      <c r="J164" s="6" t="inlineStr">
        <is>
          <t>2020</t>
        </is>
      </c>
      <c r="K164" s="6" t="inlineStr">
        <is>
          <t>Yuri Filamir Corrales Cuba</t>
        </is>
      </c>
      <c r="L164" s="6" t="inlineStr">
        <is>
          <t>Cervantes López</t>
        </is>
      </c>
      <c r="M164" s="6" t="inlineStr">
        <is>
          <t>REVOCA → IMPROCEDENTE</t>
        </is>
      </c>
      <c r="N164" s="6" t="n">
        <v>0</v>
      </c>
      <c r="O164" s="6" t="n">
        <v>0</v>
      </c>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7" t="n"/>
      <c r="AL164" s="7" t="n"/>
      <c r="AM164" s="7" t="n"/>
      <c r="AN164" s="7" t="n"/>
      <c r="AO164" s="7" t="n"/>
      <c r="AP164" s="7" t="n"/>
      <c r="AQ164" s="7" t="n"/>
      <c r="AR164" s="7" t="n"/>
      <c r="AS164" s="7" t="n"/>
      <c r="AT164" s="7" t="n"/>
      <c r="AU164" s="7" t="n"/>
      <c r="AV164" s="7" t="n"/>
      <c r="AW164" s="7" t="n"/>
      <c r="AX164" s="7" t="n"/>
      <c r="AY164" s="7" t="n"/>
      <c r="AZ164" s="7" t="inlineStr">
        <is>
          <t>Sin vicio procesal declarado. Revocatoria por aplicación de la Ley 29618 (imprescriptibilidad de bienes de dominio privado estatal): el predio pertenece a la Autoridad Autónoma de Majes. Se excluyen SV 2023 y 2025 del mismo expediente por ser posteriores.</t>
        </is>
      </c>
      <c r="BA164" s="7" t="n"/>
      <c r="BB164" s="7" t="inlineStr">
        <is>
          <t>documento_unificadoABR18_SV</t>
        </is>
      </c>
      <c r="BC164" s="7" t="n">
        <v>1</v>
      </c>
      <c r="BD164" s="7" t="inlineStr">
        <is>
          <t>ABREVIADO</t>
        </is>
      </c>
      <c r="BE164" s="7" t="inlineStr">
        <is>
          <t>REVOCADA</t>
        </is>
      </c>
      <c r="BF164" s="7" t="inlineStr">
        <is>
          <t>AR</t>
        </is>
      </c>
    </row>
  </sheetData>
  <autoFilter ref="A1:BC1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6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5" customWidth="1" min="2" max="2"/>
    <col width="26" customWidth="1" min="3" max="3"/>
    <col width="8" customWidth="1" min="4" max="4"/>
    <col width="7" customWidth="1" min="5" max="5"/>
    <col width="6" customWidth="1" min="6" max="6"/>
    <col width="7" customWidth="1" min="29" max="29"/>
  </cols>
  <sheetData>
    <row r="1" ht="15" customHeight="1">
      <c r="A1" s="14" t="inlineStr">
        <is>
          <t>Solo registros DECLARADOS por la Sala como fundamento de la decisión (ratio). Es la base de conteo recomendada para la tesis.</t>
        </is>
      </c>
    </row>
    <row r="2" ht="33.75" customHeight="1">
      <c r="A2" s="5" t="inlineStr">
        <is>
          <t>N°</t>
        </is>
      </c>
      <c r="B2" s="5" t="inlineStr">
        <is>
          <t>Clave expediente</t>
        </is>
      </c>
      <c r="C2" s="5" t="inlineStr">
        <is>
          <t>Corpus / grupo</t>
        </is>
      </c>
      <c r="D2" s="5" t="inlineStr">
        <is>
          <t>Año SV</t>
        </is>
      </c>
      <c r="E2" s="5" t="inlineStr">
        <is>
          <t>Sala</t>
        </is>
      </c>
      <c r="F2" s="5" t="inlineStr">
        <is>
          <t>D01</t>
        </is>
      </c>
      <c r="G2" s="5" t="inlineStr">
        <is>
          <t>D02</t>
        </is>
      </c>
      <c r="H2" s="5" t="inlineStr">
        <is>
          <t>D03</t>
        </is>
      </c>
      <c r="I2" s="5" t="inlineStr">
        <is>
          <t>D04</t>
        </is>
      </c>
      <c r="J2" s="5" t="inlineStr">
        <is>
          <t>D05</t>
        </is>
      </c>
      <c r="K2" s="5" t="inlineStr">
        <is>
          <t>D06</t>
        </is>
      </c>
      <c r="L2" s="5" t="inlineStr">
        <is>
          <t>D07</t>
        </is>
      </c>
      <c r="M2" s="5" t="inlineStr">
        <is>
          <t>D08</t>
        </is>
      </c>
      <c r="N2" s="5" t="inlineStr">
        <is>
          <t>D09</t>
        </is>
      </c>
      <c r="O2" s="5" t="inlineStr">
        <is>
          <t>D10</t>
        </is>
      </c>
      <c r="P2" s="5" t="inlineStr">
        <is>
          <t>D11</t>
        </is>
      </c>
      <c r="Q2" s="5" t="inlineStr">
        <is>
          <t>D12</t>
        </is>
      </c>
      <c r="R2" s="5" t="inlineStr">
        <is>
          <t>D13</t>
        </is>
      </c>
      <c r="S2" s="5" t="inlineStr">
        <is>
          <t>D14</t>
        </is>
      </c>
      <c r="T2" s="5" t="inlineStr">
        <is>
          <t>D15</t>
        </is>
      </c>
      <c r="U2" s="5" t="inlineStr">
        <is>
          <t>D16</t>
        </is>
      </c>
      <c r="V2" s="5" t="inlineStr">
        <is>
          <t>D17</t>
        </is>
      </c>
      <c r="W2" s="5" t="inlineStr">
        <is>
          <t>D18</t>
        </is>
      </c>
      <c r="X2" s="5" t="inlineStr">
        <is>
          <t>D19</t>
        </is>
      </c>
      <c r="Y2" s="5" t="inlineStr">
        <is>
          <t>D20</t>
        </is>
      </c>
      <c r="Z2" s="5" t="inlineStr">
        <is>
          <t>D21</t>
        </is>
      </c>
      <c r="AA2" s="5" t="inlineStr">
        <is>
          <t>D22</t>
        </is>
      </c>
      <c r="AB2" s="5" t="inlineStr">
        <is>
          <t>D23</t>
        </is>
      </c>
      <c r="AC2" s="5" t="inlineStr">
        <is>
          <t>Total</t>
        </is>
      </c>
    </row>
    <row r="3" ht="15" customHeight="1">
      <c r="A3" s="15" t="n">
        <v>1</v>
      </c>
      <c r="B3" s="15" t="inlineStr">
        <is>
          <t>00001-2018</t>
        </is>
      </c>
      <c r="C3" s="15" t="inlineStr">
        <is>
          <t>Matriz sumarísimos — anteriores a 2019</t>
        </is>
      </c>
      <c r="D3" s="15" t="inlineStr">
        <is>
          <t>2019</t>
        </is>
      </c>
      <c r="E3" s="15" t="inlineStr">
        <is>
          <t>2SC</t>
        </is>
      </c>
      <c r="F3" s="15" t="n">
        <v>0</v>
      </c>
      <c r="G3" s="15" t="n">
        <v>0</v>
      </c>
      <c r="H3" s="15" t="n">
        <v>0</v>
      </c>
      <c r="I3" s="15" t="n">
        <v>0</v>
      </c>
      <c r="J3" s="15" t="n">
        <v>0</v>
      </c>
      <c r="K3" s="15" t="n">
        <v>0</v>
      </c>
      <c r="L3" s="15" t="n">
        <v>0</v>
      </c>
      <c r="M3" s="15" t="n">
        <v>0</v>
      </c>
      <c r="N3" s="15" t="n">
        <v>0</v>
      </c>
      <c r="O3" s="15" t="n">
        <v>0</v>
      </c>
      <c r="P3" s="15" t="n">
        <v>0</v>
      </c>
      <c r="Q3" s="16" t="n">
        <v>1</v>
      </c>
      <c r="R3" s="15" t="n">
        <v>0</v>
      </c>
      <c r="S3" s="15" t="n">
        <v>0</v>
      </c>
      <c r="T3" s="16" t="n">
        <v>1</v>
      </c>
      <c r="U3" s="15" t="n">
        <v>0</v>
      </c>
      <c r="V3" s="15" t="n">
        <v>0</v>
      </c>
      <c r="W3" s="15" t="n">
        <v>0</v>
      </c>
      <c r="X3" s="15" t="n">
        <v>0</v>
      </c>
      <c r="Y3" s="15" t="n">
        <v>0</v>
      </c>
      <c r="Z3" s="15" t="n">
        <v>0</v>
      </c>
      <c r="AA3" s="15" t="n">
        <v>0</v>
      </c>
      <c r="AB3" s="15" t="n">
        <v>0</v>
      </c>
      <c r="AC3" s="17" t="n">
        <v>2</v>
      </c>
    </row>
    <row r="4" ht="15" customHeight="1">
      <c r="A4" s="15" t="n">
        <v>2</v>
      </c>
      <c r="B4" s="15" t="inlineStr">
        <is>
          <t>00072-2023</t>
        </is>
      </c>
      <c r="C4" s="15" t="inlineStr">
        <is>
          <t>Matriz sumarísimos — grupo 2024</t>
        </is>
      </c>
      <c r="D4" s="15" t="inlineStr">
        <is>
          <t>2025</t>
        </is>
      </c>
      <c r="E4" s="15" t="inlineStr">
        <is>
          <t>2SC</t>
        </is>
      </c>
      <c r="F4" s="15" t="n">
        <v>0</v>
      </c>
      <c r="G4" s="15" t="n">
        <v>0</v>
      </c>
      <c r="H4" s="15" t="n">
        <v>0</v>
      </c>
      <c r="I4" s="15" t="n">
        <v>0</v>
      </c>
      <c r="J4" s="15" t="n">
        <v>0</v>
      </c>
      <c r="K4" s="15" t="n">
        <v>0</v>
      </c>
      <c r="L4" s="15" t="n">
        <v>0</v>
      </c>
      <c r="M4" s="15" t="n">
        <v>0</v>
      </c>
      <c r="N4" s="15" t="n">
        <v>0</v>
      </c>
      <c r="O4" s="15" t="n">
        <v>0</v>
      </c>
      <c r="P4" s="16" t="n">
        <v>1</v>
      </c>
      <c r="Q4" s="15" t="n">
        <v>0</v>
      </c>
      <c r="R4" s="15" t="n">
        <v>0</v>
      </c>
      <c r="S4" s="15" t="n">
        <v>0</v>
      </c>
      <c r="T4" s="16" t="n">
        <v>1</v>
      </c>
      <c r="U4" s="16" t="n">
        <v>1</v>
      </c>
      <c r="V4" s="15" t="n">
        <v>0</v>
      </c>
      <c r="W4" s="15" t="n">
        <v>0</v>
      </c>
      <c r="X4" s="15" t="n">
        <v>0</v>
      </c>
      <c r="Y4" s="15" t="n">
        <v>0</v>
      </c>
      <c r="Z4" s="16" t="n">
        <v>1</v>
      </c>
      <c r="AA4" s="15" t="n">
        <v>0</v>
      </c>
      <c r="AB4" s="15" t="n">
        <v>0</v>
      </c>
      <c r="AC4" s="17" t="n">
        <v>4</v>
      </c>
    </row>
    <row r="5" ht="15" customHeight="1">
      <c r="A5" s="15" t="n">
        <v>3</v>
      </c>
      <c r="B5" s="15" t="inlineStr">
        <is>
          <t>00115-2012</t>
        </is>
      </c>
      <c r="C5" s="15" t="inlineStr">
        <is>
          <t>Matriz sumarísimos — anteriores a 2019</t>
        </is>
      </c>
      <c r="D5" s="15" t="inlineStr">
        <is>
          <t>2018</t>
        </is>
      </c>
      <c r="E5" s="15" t="inlineStr">
        <is>
          <t>2SC</t>
        </is>
      </c>
      <c r="F5" s="16" t="n">
        <v>1</v>
      </c>
      <c r="G5" s="15" t="n">
        <v>0</v>
      </c>
      <c r="H5" s="15" t="n">
        <v>0</v>
      </c>
      <c r="I5" s="15" t="n">
        <v>0</v>
      </c>
      <c r="J5" s="15" t="n">
        <v>0</v>
      </c>
      <c r="K5" s="15" t="n">
        <v>0</v>
      </c>
      <c r="L5" s="15" t="n">
        <v>0</v>
      </c>
      <c r="M5" s="15" t="n">
        <v>0</v>
      </c>
      <c r="N5" s="15" t="n">
        <v>0</v>
      </c>
      <c r="O5" s="15" t="n">
        <v>0</v>
      </c>
      <c r="P5" s="15" t="n">
        <v>0</v>
      </c>
      <c r="Q5" s="15" t="n">
        <v>0</v>
      </c>
      <c r="R5" s="15" t="n">
        <v>0</v>
      </c>
      <c r="S5" s="15" t="n">
        <v>0</v>
      </c>
      <c r="T5" s="15" t="n">
        <v>0</v>
      </c>
      <c r="U5" s="15" t="n">
        <v>0</v>
      </c>
      <c r="V5" s="15" t="n">
        <v>0</v>
      </c>
      <c r="W5" s="15" t="n">
        <v>0</v>
      </c>
      <c r="X5" s="15" t="n">
        <v>0</v>
      </c>
      <c r="Y5" s="15" t="n">
        <v>0</v>
      </c>
      <c r="Z5" s="15" t="n">
        <v>0</v>
      </c>
      <c r="AA5" s="15" t="n">
        <v>0</v>
      </c>
      <c r="AB5" s="15" t="n">
        <v>0</v>
      </c>
      <c r="AC5" s="17" t="n">
        <v>1</v>
      </c>
    </row>
    <row r="6" ht="15" customHeight="1">
      <c r="A6" s="15" t="n">
        <v>4</v>
      </c>
      <c r="B6" s="15" t="inlineStr">
        <is>
          <t>00129-2022</t>
        </is>
      </c>
      <c r="C6" s="15" t="inlineStr">
        <is>
          <t>Matriz sumarísimos — grupo 2024</t>
        </is>
      </c>
      <c r="D6" s="15" t="inlineStr">
        <is>
          <t>2024</t>
        </is>
      </c>
      <c r="E6" s="15" t="inlineStr">
        <is>
          <t>2SC</t>
        </is>
      </c>
      <c r="F6" s="15" t="n">
        <v>0</v>
      </c>
      <c r="G6" s="15" t="n">
        <v>0</v>
      </c>
      <c r="H6" s="15" t="n">
        <v>0</v>
      </c>
      <c r="I6" s="15" t="n">
        <v>0</v>
      </c>
      <c r="J6" s="15" t="n">
        <v>0</v>
      </c>
      <c r="K6" s="15" t="n">
        <v>0</v>
      </c>
      <c r="L6" s="15" t="n">
        <v>0</v>
      </c>
      <c r="M6" s="15" t="n">
        <v>0</v>
      </c>
      <c r="N6" s="15" t="n">
        <v>0</v>
      </c>
      <c r="O6" s="15" t="n">
        <v>0</v>
      </c>
      <c r="P6" s="15" t="n">
        <v>0</v>
      </c>
      <c r="Q6" s="15" t="n">
        <v>0</v>
      </c>
      <c r="R6" s="15" t="n">
        <v>0</v>
      </c>
      <c r="S6" s="15" t="n">
        <v>0</v>
      </c>
      <c r="T6" s="15" t="n">
        <v>0</v>
      </c>
      <c r="U6" s="15" t="n">
        <v>0</v>
      </c>
      <c r="V6" s="15" t="n">
        <v>0</v>
      </c>
      <c r="W6" s="15" t="n">
        <v>0</v>
      </c>
      <c r="X6" s="15" t="n">
        <v>0</v>
      </c>
      <c r="Y6" s="15" t="n">
        <v>0</v>
      </c>
      <c r="Z6" s="15" t="n">
        <v>0</v>
      </c>
      <c r="AA6" s="15" t="n">
        <v>0</v>
      </c>
      <c r="AB6" s="15" t="n">
        <v>0</v>
      </c>
      <c r="AC6" s="15" t="n">
        <v>0</v>
      </c>
    </row>
    <row r="7" ht="15" customHeight="1">
      <c r="A7" s="15" t="n">
        <v>5</v>
      </c>
      <c r="B7" s="15" t="inlineStr">
        <is>
          <t>00132-2015</t>
        </is>
      </c>
      <c r="C7" s="15" t="inlineStr">
        <is>
          <t>Pre-2019</t>
        </is>
      </c>
      <c r="D7" s="15" t="inlineStr">
        <is>
          <t>2018</t>
        </is>
      </c>
      <c r="E7" s="15" t="inlineStr">
        <is>
          <t>2SC</t>
        </is>
      </c>
      <c r="F7" s="15" t="n">
        <v>0</v>
      </c>
      <c r="G7" s="15" t="n">
        <v>0</v>
      </c>
      <c r="H7" s="15" t="n">
        <v>0</v>
      </c>
      <c r="I7" s="15" t="n">
        <v>0</v>
      </c>
      <c r="J7" s="15" t="n">
        <v>0</v>
      </c>
      <c r="K7" s="15" t="n">
        <v>0</v>
      </c>
      <c r="L7" s="15" t="n">
        <v>0</v>
      </c>
      <c r="M7" s="15" t="n">
        <v>0</v>
      </c>
      <c r="N7" s="15" t="n">
        <v>0</v>
      </c>
      <c r="O7" s="15" t="n">
        <v>0</v>
      </c>
      <c r="P7" s="15" t="n">
        <v>0</v>
      </c>
      <c r="Q7" s="15" t="n">
        <v>0</v>
      </c>
      <c r="R7" s="15" t="n">
        <v>0</v>
      </c>
      <c r="S7" s="15" t="n">
        <v>0</v>
      </c>
      <c r="T7" s="15" t="n">
        <v>0</v>
      </c>
      <c r="U7" s="15" t="n">
        <v>0</v>
      </c>
      <c r="V7" s="15" t="n">
        <v>0</v>
      </c>
      <c r="W7" s="15" t="n">
        <v>0</v>
      </c>
      <c r="X7" s="15" t="n">
        <v>0</v>
      </c>
      <c r="Y7" s="15" t="n">
        <v>0</v>
      </c>
      <c r="Z7" s="15" t="n">
        <v>0</v>
      </c>
      <c r="AA7" s="15" t="n">
        <v>0</v>
      </c>
      <c r="AB7" s="15" t="n">
        <v>0</v>
      </c>
      <c r="AC7" s="15" t="n">
        <v>0</v>
      </c>
    </row>
    <row r="8" ht="15" customHeight="1">
      <c r="A8" s="15" t="n">
        <v>6</v>
      </c>
      <c r="B8" s="15" t="inlineStr">
        <is>
          <t>00153-2022</t>
        </is>
      </c>
      <c r="C8" s="15" t="inlineStr">
        <is>
          <t>Matriz sumarísimos — grupo 2024</t>
        </is>
      </c>
      <c r="D8" s="15" t="inlineStr">
        <is>
          <t>2025</t>
        </is>
      </c>
      <c r="E8" s="15" t="inlineStr">
        <is>
          <t>3SC</t>
        </is>
      </c>
      <c r="F8" s="15" t="n">
        <v>0</v>
      </c>
      <c r="G8" s="15" t="n">
        <v>0</v>
      </c>
      <c r="H8" s="15" t="n">
        <v>0</v>
      </c>
      <c r="I8" s="15" t="n">
        <v>0</v>
      </c>
      <c r="J8" s="15" t="n">
        <v>0</v>
      </c>
      <c r="K8" s="15" t="n">
        <v>0</v>
      </c>
      <c r="L8" s="15" t="n">
        <v>0</v>
      </c>
      <c r="M8" s="15" t="n">
        <v>0</v>
      </c>
      <c r="N8" s="15" t="n">
        <v>0</v>
      </c>
      <c r="O8" s="15" t="n">
        <v>0</v>
      </c>
      <c r="P8" s="15" t="n">
        <v>0</v>
      </c>
      <c r="Q8" s="15" t="n">
        <v>0</v>
      </c>
      <c r="R8" s="15" t="n">
        <v>0</v>
      </c>
      <c r="S8" s="15" t="n">
        <v>0</v>
      </c>
      <c r="T8" s="15" t="n">
        <v>0</v>
      </c>
      <c r="U8" s="15" t="n">
        <v>0</v>
      </c>
      <c r="V8" s="15" t="n">
        <v>0</v>
      </c>
      <c r="W8" s="15" t="n">
        <v>0</v>
      </c>
      <c r="X8" s="15" t="n">
        <v>0</v>
      </c>
      <c r="Y8" s="15" t="n">
        <v>0</v>
      </c>
      <c r="Z8" s="15" t="n">
        <v>0</v>
      </c>
      <c r="AA8" s="15" t="n">
        <v>0</v>
      </c>
      <c r="AB8" s="15" t="n">
        <v>0</v>
      </c>
      <c r="AC8" s="15" t="n">
        <v>0</v>
      </c>
    </row>
    <row r="9" ht="15" customHeight="1">
      <c r="A9" s="15" t="n">
        <v>7</v>
      </c>
      <c r="B9" s="15" t="inlineStr">
        <is>
          <t>00192-2021</t>
        </is>
      </c>
      <c r="C9" s="15" t="inlineStr">
        <is>
          <t>2024</t>
        </is>
      </c>
      <c r="D9" s="15" t="inlineStr">
        <is>
          <t>2026</t>
        </is>
      </c>
      <c r="E9" s="15" t="n"/>
      <c r="F9" s="15" t="n">
        <v>0</v>
      </c>
      <c r="G9" s="15" t="n">
        <v>0</v>
      </c>
      <c r="H9" s="15" t="n">
        <v>0</v>
      </c>
      <c r="I9" s="15" t="n">
        <v>0</v>
      </c>
      <c r="J9" s="15" t="n">
        <v>0</v>
      </c>
      <c r="K9" s="15" t="n">
        <v>0</v>
      </c>
      <c r="L9" s="15" t="n">
        <v>0</v>
      </c>
      <c r="M9" s="15" t="n">
        <v>0</v>
      </c>
      <c r="N9" s="15" t="n">
        <v>0</v>
      </c>
      <c r="O9" s="15" t="n">
        <v>0</v>
      </c>
      <c r="P9" s="15" t="n">
        <v>0</v>
      </c>
      <c r="Q9" s="15" t="n">
        <v>0</v>
      </c>
      <c r="R9" s="15" t="n">
        <v>0</v>
      </c>
      <c r="S9" s="15" t="n">
        <v>0</v>
      </c>
      <c r="T9" s="15" t="n">
        <v>0</v>
      </c>
      <c r="U9" s="15" t="n">
        <v>0</v>
      </c>
      <c r="V9" s="15" t="n">
        <v>0</v>
      </c>
      <c r="W9" s="15" t="n">
        <v>0</v>
      </c>
      <c r="X9" s="15" t="n">
        <v>0</v>
      </c>
      <c r="Y9" s="15" t="n">
        <v>0</v>
      </c>
      <c r="Z9" s="15" t="n">
        <v>0</v>
      </c>
      <c r="AA9" s="15" t="n">
        <v>0</v>
      </c>
      <c r="AB9" s="15" t="n">
        <v>0</v>
      </c>
      <c r="AC9" s="15" t="n">
        <v>0</v>
      </c>
    </row>
    <row r="10" ht="15" customHeight="1">
      <c r="A10" s="15" t="n">
        <v>8</v>
      </c>
      <c r="B10" s="15" t="inlineStr">
        <is>
          <t>00234-2018</t>
        </is>
      </c>
      <c r="C10" s="15" t="inlineStr">
        <is>
          <t>Matriz sumarísimos — anteriores a 2019</t>
        </is>
      </c>
      <c r="D10" s="15" t="inlineStr">
        <is>
          <t>2019</t>
        </is>
      </c>
      <c r="E10" s="15" t="inlineStr">
        <is>
          <t>3SC</t>
        </is>
      </c>
      <c r="F10" s="15" t="n">
        <v>0</v>
      </c>
      <c r="G10" s="15" t="n">
        <v>0</v>
      </c>
      <c r="H10" s="15" t="n">
        <v>0</v>
      </c>
      <c r="I10" s="15" t="n">
        <v>0</v>
      </c>
      <c r="J10" s="15" t="n">
        <v>0</v>
      </c>
      <c r="K10" s="15" t="n">
        <v>0</v>
      </c>
      <c r="L10" s="15" t="n">
        <v>0</v>
      </c>
      <c r="M10" s="15" t="n">
        <v>0</v>
      </c>
      <c r="N10" s="15" t="n">
        <v>0</v>
      </c>
      <c r="O10" s="15" t="n">
        <v>0</v>
      </c>
      <c r="P10" s="15" t="n">
        <v>0</v>
      </c>
      <c r="Q10" s="15" t="n">
        <v>0</v>
      </c>
      <c r="R10" s="15" t="n">
        <v>0</v>
      </c>
      <c r="S10" s="15" t="n">
        <v>0</v>
      </c>
      <c r="T10" s="15" t="n">
        <v>0</v>
      </c>
      <c r="U10" s="15" t="n">
        <v>0</v>
      </c>
      <c r="V10" s="15" t="n">
        <v>0</v>
      </c>
      <c r="W10" s="15" t="n">
        <v>0</v>
      </c>
      <c r="X10" s="15" t="n">
        <v>0</v>
      </c>
      <c r="Y10" s="15" t="n">
        <v>0</v>
      </c>
      <c r="Z10" s="15" t="n">
        <v>0</v>
      </c>
      <c r="AA10" s="15" t="n">
        <v>0</v>
      </c>
      <c r="AB10" s="15" t="n">
        <v>0</v>
      </c>
      <c r="AC10" s="15" t="n">
        <v>0</v>
      </c>
    </row>
    <row r="11" ht="15" customHeight="1">
      <c r="A11" s="15" t="n">
        <v>9</v>
      </c>
      <c r="B11" s="15" t="inlineStr">
        <is>
          <t>00320-2023</t>
        </is>
      </c>
      <c r="C11" s="15" t="inlineStr">
        <is>
          <t>2024</t>
        </is>
      </c>
      <c r="D11" s="15" t="inlineStr">
        <is>
          <t>2025</t>
        </is>
      </c>
      <c r="E11" s="15" t="inlineStr">
        <is>
          <t>2SC</t>
        </is>
      </c>
      <c r="F11" s="15" t="n">
        <v>0</v>
      </c>
      <c r="G11" s="15" t="n">
        <v>0</v>
      </c>
      <c r="H11" s="15" t="n">
        <v>0</v>
      </c>
      <c r="I11" s="15" t="n">
        <v>0</v>
      </c>
      <c r="J11" s="15" t="n">
        <v>0</v>
      </c>
      <c r="K11" s="15" t="n">
        <v>0</v>
      </c>
      <c r="L11" s="15" t="n">
        <v>0</v>
      </c>
      <c r="M11" s="15" t="n">
        <v>0</v>
      </c>
      <c r="N11" s="15" t="n">
        <v>0</v>
      </c>
      <c r="O11" s="15" t="n">
        <v>0</v>
      </c>
      <c r="P11" s="15" t="n">
        <v>0</v>
      </c>
      <c r="Q11" s="15" t="n">
        <v>0</v>
      </c>
      <c r="R11" s="16" t="n">
        <v>1</v>
      </c>
      <c r="S11" s="15" t="n">
        <v>0</v>
      </c>
      <c r="T11" s="15" t="n">
        <v>0</v>
      </c>
      <c r="U11" s="15" t="n">
        <v>0</v>
      </c>
      <c r="V11" s="15" t="n">
        <v>0</v>
      </c>
      <c r="W11" s="15" t="n">
        <v>0</v>
      </c>
      <c r="X11" s="15" t="n">
        <v>0</v>
      </c>
      <c r="Y11" s="15" t="n">
        <v>0</v>
      </c>
      <c r="Z11" s="15" t="n">
        <v>0</v>
      </c>
      <c r="AA11" s="15" t="n">
        <v>0</v>
      </c>
      <c r="AB11" s="15" t="n">
        <v>0</v>
      </c>
      <c r="AC11" s="17" t="n">
        <v>1</v>
      </c>
    </row>
    <row r="12" ht="15" customHeight="1">
      <c r="A12" s="15" t="n">
        <v>10</v>
      </c>
      <c r="B12" s="15" t="inlineStr">
        <is>
          <t>00340-2002</t>
        </is>
      </c>
      <c r="C12" s="15" t="inlineStr">
        <is>
          <t>Pre-2019</t>
        </is>
      </c>
      <c r="D12" s="15" t="inlineStr">
        <is>
          <t>2018</t>
        </is>
      </c>
      <c r="E12" s="15" t="inlineStr">
        <is>
          <t>2SC</t>
        </is>
      </c>
      <c r="F12" s="15" t="n">
        <v>0</v>
      </c>
      <c r="G12" s="16" t="n">
        <v>1</v>
      </c>
      <c r="H12" s="15" t="n">
        <v>0</v>
      </c>
      <c r="I12" s="15" t="n">
        <v>0</v>
      </c>
      <c r="J12" s="15" t="n">
        <v>0</v>
      </c>
      <c r="K12" s="15" t="n">
        <v>0</v>
      </c>
      <c r="L12" s="15" t="n">
        <v>0</v>
      </c>
      <c r="M12" s="15" t="n">
        <v>0</v>
      </c>
      <c r="N12" s="15" t="n">
        <v>0</v>
      </c>
      <c r="O12" s="15" t="n">
        <v>0</v>
      </c>
      <c r="P12" s="15" t="n">
        <v>0</v>
      </c>
      <c r="Q12" s="15" t="n">
        <v>0</v>
      </c>
      <c r="R12" s="15" t="n">
        <v>0</v>
      </c>
      <c r="S12" s="15" t="n">
        <v>0</v>
      </c>
      <c r="T12" s="15" t="n">
        <v>0</v>
      </c>
      <c r="U12" s="16" t="n">
        <v>1</v>
      </c>
      <c r="V12" s="15" t="n">
        <v>0</v>
      </c>
      <c r="W12" s="15" t="n">
        <v>0</v>
      </c>
      <c r="X12" s="15" t="n">
        <v>0</v>
      </c>
      <c r="Y12" s="15" t="n">
        <v>0</v>
      </c>
      <c r="Z12" s="15" t="n">
        <v>0</v>
      </c>
      <c r="AA12" s="15" t="n">
        <v>0</v>
      </c>
      <c r="AB12" s="15" t="n">
        <v>0</v>
      </c>
      <c r="AC12" s="17" t="n">
        <v>2</v>
      </c>
    </row>
    <row r="13" ht="15" customHeight="1">
      <c r="A13" s="15" t="n">
        <v>11</v>
      </c>
      <c r="B13" s="15" t="inlineStr">
        <is>
          <t>00367-2024</t>
        </is>
      </c>
      <c r="C13" s="15" t="inlineStr">
        <is>
          <t>Matriz sumarísimos — grupo 2024</t>
        </is>
      </c>
      <c r="D13" s="15" t="inlineStr">
        <is>
          <t>2024</t>
        </is>
      </c>
      <c r="E13" s="15" t="inlineStr">
        <is>
          <t>1SC</t>
        </is>
      </c>
      <c r="F13" s="15" t="n">
        <v>0</v>
      </c>
      <c r="G13" s="15" t="n">
        <v>0</v>
      </c>
      <c r="H13" s="15" t="n">
        <v>0</v>
      </c>
      <c r="I13" s="15" t="n">
        <v>0</v>
      </c>
      <c r="J13" s="15" t="n">
        <v>0</v>
      </c>
      <c r="K13" s="15" t="n">
        <v>0</v>
      </c>
      <c r="L13" s="15" t="n">
        <v>0</v>
      </c>
      <c r="M13" s="15" t="n">
        <v>0</v>
      </c>
      <c r="N13" s="15" t="n">
        <v>0</v>
      </c>
      <c r="O13" s="15" t="n">
        <v>0</v>
      </c>
      <c r="P13" s="15" t="n">
        <v>0</v>
      </c>
      <c r="Q13" s="15" t="n">
        <v>0</v>
      </c>
      <c r="R13" s="15" t="n">
        <v>0</v>
      </c>
      <c r="S13" s="15" t="n">
        <v>0</v>
      </c>
      <c r="T13" s="15" t="n">
        <v>0</v>
      </c>
      <c r="U13" s="15" t="n">
        <v>0</v>
      </c>
      <c r="V13" s="15" t="n">
        <v>0</v>
      </c>
      <c r="W13" s="15" t="n">
        <v>0</v>
      </c>
      <c r="X13" s="15" t="n">
        <v>0</v>
      </c>
      <c r="Y13" s="15" t="n">
        <v>0</v>
      </c>
      <c r="Z13" s="15" t="n">
        <v>0</v>
      </c>
      <c r="AA13" s="15" t="n">
        <v>0</v>
      </c>
      <c r="AB13" s="15" t="n">
        <v>0</v>
      </c>
      <c r="AC13" s="15" t="n">
        <v>0</v>
      </c>
    </row>
    <row r="14" ht="15" customHeight="1">
      <c r="A14" s="15" t="n">
        <v>12</v>
      </c>
      <c r="B14" s="15" t="inlineStr">
        <is>
          <t>00414-2023</t>
        </is>
      </c>
      <c r="C14" s="15" t="inlineStr">
        <is>
          <t>Llamoja — SV de control (2021-2023)</t>
        </is>
      </c>
      <c r="D14" s="15" t="inlineStr">
        <is>
          <t>2025</t>
        </is>
      </c>
      <c r="E14" s="15" t="inlineStr">
        <is>
          <t>3SC</t>
        </is>
      </c>
      <c r="F14" s="15" t="n">
        <v>0</v>
      </c>
      <c r="G14" s="15" t="n">
        <v>0</v>
      </c>
      <c r="H14" s="15" t="n">
        <v>0</v>
      </c>
      <c r="I14" s="15" t="n">
        <v>0</v>
      </c>
      <c r="J14" s="15" t="n">
        <v>0</v>
      </c>
      <c r="K14" s="15" t="n">
        <v>0</v>
      </c>
      <c r="L14" s="15" t="n">
        <v>0</v>
      </c>
      <c r="M14" s="15" t="n">
        <v>0</v>
      </c>
      <c r="N14" s="15" t="n">
        <v>0</v>
      </c>
      <c r="O14" s="15" t="n">
        <v>0</v>
      </c>
      <c r="P14" s="15" t="n">
        <v>0</v>
      </c>
      <c r="Q14" s="15" t="n">
        <v>0</v>
      </c>
      <c r="R14" s="16" t="n">
        <v>1</v>
      </c>
      <c r="S14" s="15" t="n">
        <v>0</v>
      </c>
      <c r="T14" s="15" t="n">
        <v>0</v>
      </c>
      <c r="U14" s="16" t="n">
        <v>1</v>
      </c>
      <c r="V14" s="15" t="n">
        <v>0</v>
      </c>
      <c r="W14" s="15" t="n">
        <v>0</v>
      </c>
      <c r="X14" s="15" t="n">
        <v>0</v>
      </c>
      <c r="Y14" s="15" t="n">
        <v>0</v>
      </c>
      <c r="Z14" s="15" t="n">
        <v>0</v>
      </c>
      <c r="AA14" s="15" t="n">
        <v>0</v>
      </c>
      <c r="AB14" s="15" t="n">
        <v>0</v>
      </c>
      <c r="AC14" s="17" t="n">
        <v>2</v>
      </c>
    </row>
    <row r="15" ht="15" customHeight="1">
      <c r="A15" s="15" t="n">
        <v>13</v>
      </c>
      <c r="B15" s="15" t="inlineStr">
        <is>
          <t>00428-2017</t>
        </is>
      </c>
      <c r="C15" s="15" t="inlineStr">
        <is>
          <t>Matriz sumarísimos — anteriores a 2019</t>
        </is>
      </c>
      <c r="D15" s="15" t="inlineStr">
        <is>
          <t>2020</t>
        </is>
      </c>
      <c r="E15" s="15" t="inlineStr">
        <is>
          <t>2SC</t>
        </is>
      </c>
      <c r="F15" s="15" t="n">
        <v>0</v>
      </c>
      <c r="G15" s="15" t="n">
        <v>0</v>
      </c>
      <c r="H15" s="15" t="n">
        <v>0</v>
      </c>
      <c r="I15" s="15" t="n">
        <v>0</v>
      </c>
      <c r="J15" s="15" t="n">
        <v>0</v>
      </c>
      <c r="K15" s="15" t="n">
        <v>0</v>
      </c>
      <c r="L15" s="15" t="n">
        <v>0</v>
      </c>
      <c r="M15" s="15" t="n">
        <v>0</v>
      </c>
      <c r="N15" s="15" t="n">
        <v>0</v>
      </c>
      <c r="O15" s="15" t="n">
        <v>0</v>
      </c>
      <c r="P15" s="15" t="n">
        <v>0</v>
      </c>
      <c r="Q15" s="15" t="n">
        <v>0</v>
      </c>
      <c r="R15" s="15" t="n">
        <v>0</v>
      </c>
      <c r="S15" s="15" t="n">
        <v>0</v>
      </c>
      <c r="T15" s="15" t="n">
        <v>0</v>
      </c>
      <c r="U15" s="15" t="n">
        <v>0</v>
      </c>
      <c r="V15" s="15" t="n">
        <v>0</v>
      </c>
      <c r="W15" s="15" t="n">
        <v>0</v>
      </c>
      <c r="X15" s="15" t="n">
        <v>0</v>
      </c>
      <c r="Y15" s="15" t="n">
        <v>0</v>
      </c>
      <c r="Z15" s="15" t="n">
        <v>0</v>
      </c>
      <c r="AA15" s="15" t="n">
        <v>0</v>
      </c>
      <c r="AB15" s="15" t="n">
        <v>0</v>
      </c>
      <c r="AC15" s="15" t="n">
        <v>0</v>
      </c>
    </row>
    <row r="16" ht="15" customHeight="1">
      <c r="A16" s="15" t="n">
        <v>14</v>
      </c>
      <c r="B16" s="15" t="inlineStr">
        <is>
          <t>00598-2022</t>
        </is>
      </c>
      <c r="C16" s="15" t="inlineStr">
        <is>
          <t>2024</t>
        </is>
      </c>
      <c r="D16" s="15" t="inlineStr">
        <is>
          <t>2025</t>
        </is>
      </c>
      <c r="E16" s="15" t="inlineStr">
        <is>
          <t>3SC</t>
        </is>
      </c>
      <c r="F16" s="15" t="n">
        <v>0</v>
      </c>
      <c r="G16" s="15" t="n">
        <v>0</v>
      </c>
      <c r="H16" s="15" t="n">
        <v>0</v>
      </c>
      <c r="I16" s="15" t="n">
        <v>0</v>
      </c>
      <c r="J16" s="15" t="n">
        <v>0</v>
      </c>
      <c r="K16" s="15" t="n">
        <v>0</v>
      </c>
      <c r="L16" s="15" t="n">
        <v>0</v>
      </c>
      <c r="M16" s="15" t="n">
        <v>0</v>
      </c>
      <c r="N16" s="15" t="n">
        <v>0</v>
      </c>
      <c r="O16" s="15" t="n">
        <v>0</v>
      </c>
      <c r="P16" s="15" t="n">
        <v>0</v>
      </c>
      <c r="Q16" s="16" t="n">
        <v>1</v>
      </c>
      <c r="R16" s="16" t="n">
        <v>1</v>
      </c>
      <c r="S16" s="15" t="n">
        <v>0</v>
      </c>
      <c r="T16" s="15" t="n">
        <v>0</v>
      </c>
      <c r="U16" s="15" t="n">
        <v>0</v>
      </c>
      <c r="V16" s="15" t="n">
        <v>0</v>
      </c>
      <c r="W16" s="15" t="n">
        <v>0</v>
      </c>
      <c r="X16" s="15" t="n">
        <v>0</v>
      </c>
      <c r="Y16" s="15" t="n">
        <v>0</v>
      </c>
      <c r="Z16" s="15" t="n">
        <v>0</v>
      </c>
      <c r="AA16" s="15" t="n">
        <v>0</v>
      </c>
      <c r="AB16" s="15" t="n">
        <v>0</v>
      </c>
      <c r="AC16" s="17" t="n">
        <v>2</v>
      </c>
    </row>
    <row r="17" ht="15" customHeight="1">
      <c r="A17" s="15" t="n">
        <v>15</v>
      </c>
      <c r="B17" s="15" t="inlineStr">
        <is>
          <t>00646-2024</t>
        </is>
      </c>
      <c r="C17" s="15" t="inlineStr">
        <is>
          <t>Matriz sumarísimos — grupo 2024</t>
        </is>
      </c>
      <c r="D17" s="15" t="inlineStr">
        <is>
          <t>2025</t>
        </is>
      </c>
      <c r="E17" s="15" t="inlineStr">
        <is>
          <t>2SC</t>
        </is>
      </c>
      <c r="F17" s="15" t="n">
        <v>0</v>
      </c>
      <c r="G17" s="15" t="n">
        <v>0</v>
      </c>
      <c r="H17" s="15" t="n">
        <v>0</v>
      </c>
      <c r="I17" s="15" t="n">
        <v>0</v>
      </c>
      <c r="J17" s="15" t="n">
        <v>0</v>
      </c>
      <c r="K17" s="15" t="n">
        <v>0</v>
      </c>
      <c r="L17" s="15" t="n">
        <v>0</v>
      </c>
      <c r="M17" s="15" t="n">
        <v>0</v>
      </c>
      <c r="N17" s="15" t="n">
        <v>0</v>
      </c>
      <c r="O17" s="15" t="n">
        <v>0</v>
      </c>
      <c r="P17" s="15" t="n">
        <v>0</v>
      </c>
      <c r="Q17" s="16" t="n">
        <v>1</v>
      </c>
      <c r="R17" s="15" t="n">
        <v>0</v>
      </c>
      <c r="S17" s="15" t="n">
        <v>0</v>
      </c>
      <c r="T17" s="15" t="n">
        <v>0</v>
      </c>
      <c r="U17" s="16" t="n">
        <v>1</v>
      </c>
      <c r="V17" s="15" t="n">
        <v>0</v>
      </c>
      <c r="W17" s="15" t="n">
        <v>0</v>
      </c>
      <c r="X17" s="15" t="n">
        <v>0</v>
      </c>
      <c r="Y17" s="15" t="n">
        <v>0</v>
      </c>
      <c r="Z17" s="15" t="n">
        <v>0</v>
      </c>
      <c r="AA17" s="15" t="n">
        <v>0</v>
      </c>
      <c r="AB17" s="16" t="n">
        <v>1</v>
      </c>
      <c r="AC17" s="17" t="n">
        <v>3</v>
      </c>
    </row>
    <row r="18" ht="15" customHeight="1">
      <c r="A18" s="15" t="n">
        <v>16</v>
      </c>
      <c r="B18" s="15" t="inlineStr">
        <is>
          <t>00661-2023</t>
        </is>
      </c>
      <c r="C18" s="15" t="inlineStr">
        <is>
          <t>Matriz sumarísimos — grupo 2024</t>
        </is>
      </c>
      <c r="D18" s="15" t="inlineStr">
        <is>
          <t>2025</t>
        </is>
      </c>
      <c r="E18" s="15" t="inlineStr">
        <is>
          <t>2SC</t>
        </is>
      </c>
      <c r="F18" s="15" t="n">
        <v>0</v>
      </c>
      <c r="G18" s="15" t="n">
        <v>0</v>
      </c>
      <c r="H18" s="15" t="n">
        <v>0</v>
      </c>
      <c r="I18" s="15" t="n">
        <v>0</v>
      </c>
      <c r="J18" s="15" t="n">
        <v>0</v>
      </c>
      <c r="K18" s="15" t="n">
        <v>0</v>
      </c>
      <c r="L18" s="15" t="n">
        <v>0</v>
      </c>
      <c r="M18" s="15" t="n">
        <v>0</v>
      </c>
      <c r="N18" s="15" t="n">
        <v>0</v>
      </c>
      <c r="O18" s="15" t="n">
        <v>0</v>
      </c>
      <c r="P18" s="15" t="n">
        <v>0</v>
      </c>
      <c r="Q18" s="16" t="n">
        <v>1</v>
      </c>
      <c r="R18" s="16" t="n">
        <v>1</v>
      </c>
      <c r="S18" s="15" t="n">
        <v>0</v>
      </c>
      <c r="T18" s="15" t="n">
        <v>0</v>
      </c>
      <c r="U18" s="15" t="n">
        <v>0</v>
      </c>
      <c r="V18" s="15" t="n">
        <v>0</v>
      </c>
      <c r="W18" s="15" t="n">
        <v>0</v>
      </c>
      <c r="X18" s="15" t="n">
        <v>0</v>
      </c>
      <c r="Y18" s="15" t="n">
        <v>0</v>
      </c>
      <c r="Z18" s="15" t="n">
        <v>0</v>
      </c>
      <c r="AA18" s="15" t="n">
        <v>0</v>
      </c>
      <c r="AB18" s="15" t="n">
        <v>0</v>
      </c>
      <c r="AC18" s="17" t="n">
        <v>2</v>
      </c>
    </row>
    <row r="19" ht="15" customHeight="1">
      <c r="A19" s="15" t="n">
        <v>17</v>
      </c>
      <c r="B19" s="15" t="inlineStr">
        <is>
          <t>00742-2022</t>
        </is>
      </c>
      <c r="C19" s="15" t="inlineStr">
        <is>
          <t>2024</t>
        </is>
      </c>
      <c r="D19" s="15" t="inlineStr">
        <is>
          <t>2025</t>
        </is>
      </c>
      <c r="E19" s="15" t="n"/>
      <c r="F19" s="15" t="n">
        <v>0</v>
      </c>
      <c r="G19" s="16" t="n">
        <v>1</v>
      </c>
      <c r="H19" s="15" t="n">
        <v>0</v>
      </c>
      <c r="I19" s="16" t="n">
        <v>1</v>
      </c>
      <c r="J19" s="15" t="n">
        <v>0</v>
      </c>
      <c r="K19" s="15" t="n">
        <v>0</v>
      </c>
      <c r="L19" s="15" t="n">
        <v>0</v>
      </c>
      <c r="M19" s="15" t="n">
        <v>0</v>
      </c>
      <c r="N19" s="15" t="n">
        <v>0</v>
      </c>
      <c r="O19" s="15" t="n">
        <v>0</v>
      </c>
      <c r="P19" s="16" t="n">
        <v>1</v>
      </c>
      <c r="Q19" s="15" t="n">
        <v>0</v>
      </c>
      <c r="R19" s="15" t="n">
        <v>0</v>
      </c>
      <c r="S19" s="15" t="n">
        <v>0</v>
      </c>
      <c r="T19" s="15" t="n">
        <v>0</v>
      </c>
      <c r="U19" s="16" t="n">
        <v>1</v>
      </c>
      <c r="V19" s="15" t="n">
        <v>0</v>
      </c>
      <c r="W19" s="15" t="n">
        <v>0</v>
      </c>
      <c r="X19" s="15" t="n">
        <v>0</v>
      </c>
      <c r="Y19" s="15" t="n">
        <v>0</v>
      </c>
      <c r="Z19" s="15" t="n">
        <v>0</v>
      </c>
      <c r="AA19" s="15" t="n">
        <v>0</v>
      </c>
      <c r="AB19" s="15" t="n">
        <v>0</v>
      </c>
      <c r="AC19" s="17" t="n">
        <v>4</v>
      </c>
    </row>
    <row r="20" ht="15" customHeight="1">
      <c r="A20" s="15" t="n">
        <v>18</v>
      </c>
      <c r="B20" s="15" t="inlineStr">
        <is>
          <t>00748-2013</t>
        </is>
      </c>
      <c r="C20" s="15" t="inlineStr">
        <is>
          <t>Pre-2019</t>
        </is>
      </c>
      <c r="D20" s="15" t="inlineStr">
        <is>
          <t>2018</t>
        </is>
      </c>
      <c r="E20" s="15" t="inlineStr">
        <is>
          <t>2SC</t>
        </is>
      </c>
      <c r="F20" s="15" t="n">
        <v>0</v>
      </c>
      <c r="G20" s="15" t="n">
        <v>0</v>
      </c>
      <c r="H20" s="15" t="n">
        <v>0</v>
      </c>
      <c r="I20" s="15" t="n">
        <v>0</v>
      </c>
      <c r="J20" s="15" t="n">
        <v>0</v>
      </c>
      <c r="K20" s="15" t="n">
        <v>0</v>
      </c>
      <c r="L20" s="15" t="n">
        <v>0</v>
      </c>
      <c r="M20" s="15" t="n">
        <v>0</v>
      </c>
      <c r="N20" s="15" t="n">
        <v>0</v>
      </c>
      <c r="O20" s="15" t="n">
        <v>0</v>
      </c>
      <c r="P20" s="15" t="n">
        <v>0</v>
      </c>
      <c r="Q20" s="15" t="n">
        <v>0</v>
      </c>
      <c r="R20" s="15" t="n">
        <v>0</v>
      </c>
      <c r="S20" s="15" t="n">
        <v>0</v>
      </c>
      <c r="T20" s="16" t="n">
        <v>1</v>
      </c>
      <c r="U20" s="15" t="n">
        <v>0</v>
      </c>
      <c r="V20" s="15" t="n">
        <v>0</v>
      </c>
      <c r="W20" s="15" t="n">
        <v>0</v>
      </c>
      <c r="X20" s="15" t="n">
        <v>0</v>
      </c>
      <c r="Y20" s="15" t="n">
        <v>0</v>
      </c>
      <c r="Z20" s="15" t="n">
        <v>0</v>
      </c>
      <c r="AA20" s="15" t="n">
        <v>0</v>
      </c>
      <c r="AB20" s="15" t="n">
        <v>0</v>
      </c>
      <c r="AC20" s="17" t="n">
        <v>1</v>
      </c>
    </row>
    <row r="21" ht="15" customHeight="1">
      <c r="A21" s="15" t="n">
        <v>19</v>
      </c>
      <c r="B21" s="15" t="inlineStr">
        <is>
          <t>00760-2021</t>
        </is>
      </c>
      <c r="C21" s="15" t="inlineStr">
        <is>
          <t>Llamoja — SV de control (2021-2023)</t>
        </is>
      </c>
      <c r="D21" s="15" t="inlineStr">
        <is>
          <t>2025</t>
        </is>
      </c>
      <c r="E21" s="15" t="inlineStr">
        <is>
          <t>3SC</t>
        </is>
      </c>
      <c r="F21" s="15" t="n">
        <v>0</v>
      </c>
      <c r="G21" s="15" t="n">
        <v>0</v>
      </c>
      <c r="H21" s="15" t="n">
        <v>0</v>
      </c>
      <c r="I21" s="15" t="n">
        <v>0</v>
      </c>
      <c r="J21" s="15" t="n">
        <v>0</v>
      </c>
      <c r="K21" s="15" t="n">
        <v>0</v>
      </c>
      <c r="L21" s="15" t="n">
        <v>0</v>
      </c>
      <c r="M21" s="16" t="n">
        <v>1</v>
      </c>
      <c r="N21" s="15" t="n">
        <v>0</v>
      </c>
      <c r="O21" s="16" t="n">
        <v>1</v>
      </c>
      <c r="P21" s="15" t="n">
        <v>0</v>
      </c>
      <c r="Q21" s="15" t="n">
        <v>0</v>
      </c>
      <c r="R21" s="15" t="n">
        <v>0</v>
      </c>
      <c r="S21" s="15" t="n">
        <v>0</v>
      </c>
      <c r="T21" s="15" t="n">
        <v>0</v>
      </c>
      <c r="U21" s="15" t="n">
        <v>0</v>
      </c>
      <c r="V21" s="15" t="n">
        <v>0</v>
      </c>
      <c r="W21" s="15" t="n">
        <v>0</v>
      </c>
      <c r="X21" s="15" t="n">
        <v>0</v>
      </c>
      <c r="Y21" s="15" t="n">
        <v>0</v>
      </c>
      <c r="Z21" s="15" t="n">
        <v>0</v>
      </c>
      <c r="AA21" s="15" t="n">
        <v>0</v>
      </c>
      <c r="AB21" s="15" t="n">
        <v>0</v>
      </c>
      <c r="AC21" s="17" t="n">
        <v>2</v>
      </c>
    </row>
    <row r="22" ht="15" customHeight="1">
      <c r="A22" s="15" t="n">
        <v>20</v>
      </c>
      <c r="B22" s="15" t="inlineStr">
        <is>
          <t>00774-2021</t>
        </is>
      </c>
      <c r="C22" s="15" t="inlineStr">
        <is>
          <t>Llamoja — SV de control (2021-2023)</t>
        </is>
      </c>
      <c r="D22" s="15" t="inlineStr">
        <is>
          <t>2025</t>
        </is>
      </c>
      <c r="E22" s="15" t="inlineStr">
        <is>
          <t>2SC</t>
        </is>
      </c>
      <c r="F22" s="15" t="n">
        <v>0</v>
      </c>
      <c r="G22" s="15" t="n">
        <v>0</v>
      </c>
      <c r="H22" s="15" t="n">
        <v>0</v>
      </c>
      <c r="I22" s="15" t="n">
        <v>0</v>
      </c>
      <c r="J22" s="15" t="n">
        <v>0</v>
      </c>
      <c r="K22" s="15" t="n">
        <v>0</v>
      </c>
      <c r="L22" s="15" t="n">
        <v>0</v>
      </c>
      <c r="M22" s="15" t="n">
        <v>0</v>
      </c>
      <c r="N22" s="15" t="n">
        <v>0</v>
      </c>
      <c r="O22" s="15" t="n">
        <v>0</v>
      </c>
      <c r="P22" s="15" t="n">
        <v>0</v>
      </c>
      <c r="Q22" s="15" t="n">
        <v>0</v>
      </c>
      <c r="R22" s="15" t="n">
        <v>0</v>
      </c>
      <c r="S22" s="15" t="n">
        <v>0</v>
      </c>
      <c r="T22" s="15" t="n">
        <v>0</v>
      </c>
      <c r="U22" s="16" t="n">
        <v>1</v>
      </c>
      <c r="V22" s="15" t="n">
        <v>0</v>
      </c>
      <c r="W22" s="15" t="n">
        <v>0</v>
      </c>
      <c r="X22" s="15" t="n">
        <v>0</v>
      </c>
      <c r="Y22" s="15" t="n">
        <v>0</v>
      </c>
      <c r="Z22" s="16" t="n">
        <v>1</v>
      </c>
      <c r="AA22" s="15" t="n">
        <v>0</v>
      </c>
      <c r="AB22" s="15" t="n">
        <v>0</v>
      </c>
      <c r="AC22" s="17" t="n">
        <v>2</v>
      </c>
    </row>
    <row r="23" ht="15" customHeight="1">
      <c r="A23" s="15" t="n">
        <v>21</v>
      </c>
      <c r="B23" s="15" t="inlineStr">
        <is>
          <t>00788-2013</t>
        </is>
      </c>
      <c r="C23" s="15" t="inlineStr">
        <is>
          <t>Pre-2019</t>
        </is>
      </c>
      <c r="D23" s="15" t="inlineStr">
        <is>
          <t>2021</t>
        </is>
      </c>
      <c r="E23" s="15" t="inlineStr">
        <is>
          <t>2SC</t>
        </is>
      </c>
      <c r="F23" s="15" t="n">
        <v>0</v>
      </c>
      <c r="G23" s="15" t="n">
        <v>0</v>
      </c>
      <c r="H23" s="15" t="n">
        <v>0</v>
      </c>
      <c r="I23" s="15" t="n">
        <v>0</v>
      </c>
      <c r="J23" s="15" t="n">
        <v>0</v>
      </c>
      <c r="K23" s="15" t="n">
        <v>0</v>
      </c>
      <c r="L23" s="15" t="n">
        <v>0</v>
      </c>
      <c r="M23" s="15" t="n">
        <v>0</v>
      </c>
      <c r="N23" s="15" t="n">
        <v>0</v>
      </c>
      <c r="O23" s="15" t="n">
        <v>0</v>
      </c>
      <c r="P23" s="15" t="n">
        <v>0</v>
      </c>
      <c r="Q23" s="15" t="n">
        <v>0</v>
      </c>
      <c r="R23" s="15" t="n">
        <v>0</v>
      </c>
      <c r="S23" s="15" t="n">
        <v>0</v>
      </c>
      <c r="T23" s="15" t="n">
        <v>0</v>
      </c>
      <c r="U23" s="16" t="n">
        <v>1</v>
      </c>
      <c r="V23" s="15" t="n">
        <v>0</v>
      </c>
      <c r="W23" s="15" t="n">
        <v>0</v>
      </c>
      <c r="X23" s="15" t="n">
        <v>0</v>
      </c>
      <c r="Y23" s="15" t="n">
        <v>0</v>
      </c>
      <c r="Z23" s="15" t="n">
        <v>0</v>
      </c>
      <c r="AA23" s="15" t="n">
        <v>0</v>
      </c>
      <c r="AB23" s="15" t="n">
        <v>0</v>
      </c>
      <c r="AC23" s="17" t="n">
        <v>1</v>
      </c>
    </row>
    <row r="24" ht="15" customHeight="1">
      <c r="A24" s="15" t="n">
        <v>22</v>
      </c>
      <c r="B24" s="15" t="inlineStr">
        <is>
          <t>00848-2011</t>
        </is>
      </c>
      <c r="C24" s="15" t="inlineStr">
        <is>
          <t>Matriz sumarísimos — anteriores a 2019</t>
        </is>
      </c>
      <c r="D24" s="15" t="inlineStr">
        <is>
          <t>2019</t>
        </is>
      </c>
      <c r="E24" s="15" t="inlineStr">
        <is>
          <t>3SC</t>
        </is>
      </c>
      <c r="F24" s="15" t="n">
        <v>0</v>
      </c>
      <c r="G24" s="15" t="n">
        <v>0</v>
      </c>
      <c r="H24" s="15" t="n">
        <v>0</v>
      </c>
      <c r="I24" s="15" t="n">
        <v>0</v>
      </c>
      <c r="J24" s="15" t="n">
        <v>0</v>
      </c>
      <c r="K24" s="15" t="n">
        <v>0</v>
      </c>
      <c r="L24" s="15" t="n">
        <v>0</v>
      </c>
      <c r="M24" s="15" t="n">
        <v>0</v>
      </c>
      <c r="N24" s="15" t="n">
        <v>0</v>
      </c>
      <c r="O24" s="15" t="n">
        <v>0</v>
      </c>
      <c r="P24" s="15" t="n">
        <v>0</v>
      </c>
      <c r="Q24" s="15" t="n">
        <v>0</v>
      </c>
      <c r="R24" s="15" t="n">
        <v>0</v>
      </c>
      <c r="S24" s="15" t="n">
        <v>0</v>
      </c>
      <c r="T24" s="15" t="n">
        <v>0</v>
      </c>
      <c r="U24" s="15" t="n">
        <v>0</v>
      </c>
      <c r="V24" s="15" t="n">
        <v>0</v>
      </c>
      <c r="W24" s="15" t="n">
        <v>0</v>
      </c>
      <c r="X24" s="15" t="n">
        <v>0</v>
      </c>
      <c r="Y24" s="15" t="n">
        <v>0</v>
      </c>
      <c r="Z24" s="15" t="n">
        <v>0</v>
      </c>
      <c r="AA24" s="15" t="n">
        <v>0</v>
      </c>
      <c r="AB24" s="15" t="n">
        <v>0</v>
      </c>
      <c r="AC24" s="15" t="n">
        <v>0</v>
      </c>
    </row>
    <row r="25" ht="15" customHeight="1">
      <c r="A25" s="15" t="n">
        <v>23</v>
      </c>
      <c r="B25" s="15" t="inlineStr">
        <is>
          <t>00856-2017</t>
        </is>
      </c>
      <c r="C25" s="15" t="inlineStr">
        <is>
          <t>Pre-2019</t>
        </is>
      </c>
      <c r="D25" s="15" t="inlineStr">
        <is>
          <t>2019</t>
        </is>
      </c>
      <c r="E25" s="15" t="inlineStr">
        <is>
          <t>1SC</t>
        </is>
      </c>
      <c r="F25" s="15" t="n">
        <v>0</v>
      </c>
      <c r="G25" s="15" t="n">
        <v>0</v>
      </c>
      <c r="H25" s="15" t="n">
        <v>0</v>
      </c>
      <c r="I25" s="15" t="n">
        <v>0</v>
      </c>
      <c r="J25" s="15" t="n">
        <v>0</v>
      </c>
      <c r="K25" s="15" t="n">
        <v>0</v>
      </c>
      <c r="L25" s="15" t="n">
        <v>0</v>
      </c>
      <c r="M25" s="15" t="n">
        <v>0</v>
      </c>
      <c r="N25" s="15" t="n">
        <v>0</v>
      </c>
      <c r="O25" s="15" t="n">
        <v>0</v>
      </c>
      <c r="P25" s="15" t="n">
        <v>0</v>
      </c>
      <c r="Q25" s="15" t="n">
        <v>0</v>
      </c>
      <c r="R25" s="15" t="n">
        <v>0</v>
      </c>
      <c r="S25" s="15" t="n">
        <v>0</v>
      </c>
      <c r="T25" s="15" t="n">
        <v>0</v>
      </c>
      <c r="U25" s="16" t="n">
        <v>1</v>
      </c>
      <c r="V25" s="15" t="n">
        <v>0</v>
      </c>
      <c r="W25" s="15" t="n">
        <v>0</v>
      </c>
      <c r="X25" s="15" t="n">
        <v>0</v>
      </c>
      <c r="Y25" s="15" t="n">
        <v>0</v>
      </c>
      <c r="Z25" s="15" t="n">
        <v>0</v>
      </c>
      <c r="AA25" s="15" t="n">
        <v>0</v>
      </c>
      <c r="AB25" s="15" t="n">
        <v>0</v>
      </c>
      <c r="AC25" s="17" t="n">
        <v>1</v>
      </c>
    </row>
    <row r="26" ht="15" customHeight="1">
      <c r="A26" s="15" t="n">
        <v>24</v>
      </c>
      <c r="B26" s="15" t="inlineStr">
        <is>
          <t>00879-2022</t>
        </is>
      </c>
      <c r="C26" s="15" t="inlineStr">
        <is>
          <t>Llamoja — SV de control (2021-2023)</t>
        </is>
      </c>
      <c r="D26" s="15" t="inlineStr">
        <is>
          <t>2025</t>
        </is>
      </c>
      <c r="E26" s="15" t="inlineStr">
        <is>
          <t>1SC</t>
        </is>
      </c>
      <c r="F26" s="15" t="n">
        <v>0</v>
      </c>
      <c r="G26" s="15" t="n">
        <v>0</v>
      </c>
      <c r="H26" s="15" t="n">
        <v>0</v>
      </c>
      <c r="I26" s="15" t="n">
        <v>0</v>
      </c>
      <c r="J26" s="15" t="n">
        <v>0</v>
      </c>
      <c r="K26" s="15" t="n">
        <v>0</v>
      </c>
      <c r="L26" s="15" t="n">
        <v>0</v>
      </c>
      <c r="M26" s="15" t="n">
        <v>0</v>
      </c>
      <c r="N26" s="15" t="n">
        <v>0</v>
      </c>
      <c r="O26" s="15" t="n">
        <v>0</v>
      </c>
      <c r="P26" s="15" t="n">
        <v>0</v>
      </c>
      <c r="Q26" s="15" t="n">
        <v>0</v>
      </c>
      <c r="R26" s="15" t="n">
        <v>0</v>
      </c>
      <c r="S26" s="15" t="n">
        <v>0</v>
      </c>
      <c r="T26" s="16" t="n">
        <v>1</v>
      </c>
      <c r="U26" s="16" t="n">
        <v>1</v>
      </c>
      <c r="V26" s="15" t="n">
        <v>0</v>
      </c>
      <c r="W26" s="15" t="n">
        <v>0</v>
      </c>
      <c r="X26" s="15" t="n">
        <v>0</v>
      </c>
      <c r="Y26" s="15" t="n">
        <v>0</v>
      </c>
      <c r="Z26" s="15" t="n">
        <v>0</v>
      </c>
      <c r="AA26" s="15" t="n">
        <v>0</v>
      </c>
      <c r="AB26" s="15" t="n">
        <v>0</v>
      </c>
      <c r="AC26" s="17" t="n">
        <v>2</v>
      </c>
    </row>
    <row r="27" ht="15" customHeight="1">
      <c r="A27" s="15" t="n">
        <v>25</v>
      </c>
      <c r="B27" s="15" t="inlineStr">
        <is>
          <t>00898-2013</t>
        </is>
      </c>
      <c r="C27" s="15" t="inlineStr">
        <is>
          <t>Pre-2019</t>
        </is>
      </c>
      <c r="D27" s="15" t="inlineStr">
        <is>
          <t>2018</t>
        </is>
      </c>
      <c r="E27" s="15" t="inlineStr">
        <is>
          <t>3SC</t>
        </is>
      </c>
      <c r="F27" s="15" t="n">
        <v>0</v>
      </c>
      <c r="G27" s="15" t="n">
        <v>0</v>
      </c>
      <c r="H27" s="15" t="n">
        <v>0</v>
      </c>
      <c r="I27" s="15" t="n">
        <v>0</v>
      </c>
      <c r="J27" s="15" t="n">
        <v>0</v>
      </c>
      <c r="K27" s="15" t="n">
        <v>0</v>
      </c>
      <c r="L27" s="15" t="n">
        <v>0</v>
      </c>
      <c r="M27" s="15" t="n">
        <v>0</v>
      </c>
      <c r="N27" s="15" t="n">
        <v>0</v>
      </c>
      <c r="O27" s="15" t="n">
        <v>0</v>
      </c>
      <c r="P27" s="15" t="n">
        <v>0</v>
      </c>
      <c r="Q27" s="15" t="n">
        <v>0</v>
      </c>
      <c r="R27" s="15" t="n">
        <v>0</v>
      </c>
      <c r="S27" s="15" t="n">
        <v>0</v>
      </c>
      <c r="T27" s="15" t="n">
        <v>0</v>
      </c>
      <c r="U27" s="15" t="n">
        <v>0</v>
      </c>
      <c r="V27" s="15" t="n">
        <v>0</v>
      </c>
      <c r="W27" s="15" t="n">
        <v>0</v>
      </c>
      <c r="X27" s="15" t="n">
        <v>0</v>
      </c>
      <c r="Y27" s="15" t="n">
        <v>0</v>
      </c>
      <c r="Z27" s="15" t="n">
        <v>0</v>
      </c>
      <c r="AA27" s="15" t="n">
        <v>0</v>
      </c>
      <c r="AB27" s="15" t="n">
        <v>0</v>
      </c>
      <c r="AC27" s="15" t="n">
        <v>0</v>
      </c>
    </row>
    <row r="28" ht="15" customHeight="1">
      <c r="A28" s="15" t="n">
        <v>26</v>
      </c>
      <c r="B28" s="15" t="inlineStr">
        <is>
          <t>00933-2022</t>
        </is>
      </c>
      <c r="C28" s="15" t="inlineStr">
        <is>
          <t>Llamoja — SV de control (2021-2023)</t>
        </is>
      </c>
      <c r="D28" s="15" t="inlineStr">
        <is>
          <t>2024</t>
        </is>
      </c>
      <c r="E28" s="15" t="inlineStr">
        <is>
          <t>3SC</t>
        </is>
      </c>
      <c r="F28" s="15" t="n">
        <v>0</v>
      </c>
      <c r="G28" s="15" t="n">
        <v>0</v>
      </c>
      <c r="H28" s="15" t="n">
        <v>0</v>
      </c>
      <c r="I28" s="15" t="n">
        <v>0</v>
      </c>
      <c r="J28" s="15" t="n">
        <v>0</v>
      </c>
      <c r="K28" s="15" t="n">
        <v>0</v>
      </c>
      <c r="L28" s="15" t="n">
        <v>0</v>
      </c>
      <c r="M28" s="15" t="n">
        <v>0</v>
      </c>
      <c r="N28" s="15" t="n">
        <v>0</v>
      </c>
      <c r="O28" s="15" t="n">
        <v>0</v>
      </c>
      <c r="P28" s="15" t="n">
        <v>0</v>
      </c>
      <c r="Q28" s="15" t="n">
        <v>0</v>
      </c>
      <c r="R28" s="15" t="n">
        <v>0</v>
      </c>
      <c r="S28" s="16" t="n">
        <v>1</v>
      </c>
      <c r="T28" s="15" t="n">
        <v>0</v>
      </c>
      <c r="U28" s="16" t="n">
        <v>1</v>
      </c>
      <c r="V28" s="15" t="n">
        <v>0</v>
      </c>
      <c r="W28" s="15" t="n">
        <v>0</v>
      </c>
      <c r="X28" s="15" t="n">
        <v>0</v>
      </c>
      <c r="Y28" s="15" t="n">
        <v>0</v>
      </c>
      <c r="Z28" s="15" t="n">
        <v>0</v>
      </c>
      <c r="AA28" s="15" t="n">
        <v>0</v>
      </c>
      <c r="AB28" s="15" t="n">
        <v>0</v>
      </c>
      <c r="AC28" s="17" t="n">
        <v>2</v>
      </c>
    </row>
    <row r="29" ht="15" customHeight="1">
      <c r="A29" s="15" t="n">
        <v>27</v>
      </c>
      <c r="B29" s="15" t="inlineStr">
        <is>
          <t>00965-2015</t>
        </is>
      </c>
      <c r="C29" s="15" t="inlineStr">
        <is>
          <t>Pre-2019</t>
        </is>
      </c>
      <c r="D29" s="15" t="inlineStr">
        <is>
          <t>2019</t>
        </is>
      </c>
      <c r="E29" s="15" t="inlineStr">
        <is>
          <t>3SC</t>
        </is>
      </c>
      <c r="F29" s="15" t="n">
        <v>0</v>
      </c>
      <c r="G29" s="15" t="n">
        <v>0</v>
      </c>
      <c r="H29" s="15" t="n">
        <v>0</v>
      </c>
      <c r="I29" s="15" t="n">
        <v>0</v>
      </c>
      <c r="J29" s="15" t="n">
        <v>0</v>
      </c>
      <c r="K29" s="16" t="n">
        <v>1</v>
      </c>
      <c r="L29" s="15" t="n">
        <v>0</v>
      </c>
      <c r="M29" s="15" t="n">
        <v>0</v>
      </c>
      <c r="N29" s="15" t="n">
        <v>0</v>
      </c>
      <c r="O29" s="15" t="n">
        <v>0</v>
      </c>
      <c r="P29" s="15" t="n">
        <v>0</v>
      </c>
      <c r="Q29" s="15" t="n">
        <v>0</v>
      </c>
      <c r="R29" s="15" t="n">
        <v>0</v>
      </c>
      <c r="S29" s="15" t="n">
        <v>0</v>
      </c>
      <c r="T29" s="15" t="n">
        <v>0</v>
      </c>
      <c r="U29" s="15" t="n">
        <v>0</v>
      </c>
      <c r="V29" s="15" t="n">
        <v>0</v>
      </c>
      <c r="W29" s="15" t="n">
        <v>0</v>
      </c>
      <c r="X29" s="15" t="n">
        <v>0</v>
      </c>
      <c r="Y29" s="15" t="n">
        <v>0</v>
      </c>
      <c r="Z29" s="15" t="n">
        <v>0</v>
      </c>
      <c r="AA29" s="15" t="n">
        <v>0</v>
      </c>
      <c r="AB29" s="16" t="n">
        <v>1</v>
      </c>
      <c r="AC29" s="17" t="n">
        <v>2</v>
      </c>
    </row>
    <row r="30" ht="15" customHeight="1">
      <c r="A30" s="15" t="n">
        <v>28</v>
      </c>
      <c r="B30" s="15" t="inlineStr">
        <is>
          <t>00979-2024</t>
        </is>
      </c>
      <c r="C30" s="15" t="inlineStr">
        <is>
          <t>Matriz sumarísimos — grupo 2024</t>
        </is>
      </c>
      <c r="D30" s="15" t="inlineStr">
        <is>
          <t>2025</t>
        </is>
      </c>
      <c r="E30" s="15" t="inlineStr">
        <is>
          <t>1SC</t>
        </is>
      </c>
      <c r="F30" s="15" t="n">
        <v>0</v>
      </c>
      <c r="G30" s="15" t="n">
        <v>0</v>
      </c>
      <c r="H30" s="15" t="n">
        <v>0</v>
      </c>
      <c r="I30" s="15" t="n">
        <v>0</v>
      </c>
      <c r="J30" s="15" t="n">
        <v>0</v>
      </c>
      <c r="K30" s="15" t="n">
        <v>0</v>
      </c>
      <c r="L30" s="15" t="n">
        <v>0</v>
      </c>
      <c r="M30" s="15" t="n">
        <v>0</v>
      </c>
      <c r="N30" s="15" t="n">
        <v>0</v>
      </c>
      <c r="O30" s="15" t="n">
        <v>0</v>
      </c>
      <c r="P30" s="15" t="n">
        <v>0</v>
      </c>
      <c r="Q30" s="15" t="n">
        <v>0</v>
      </c>
      <c r="R30" s="15" t="n">
        <v>0</v>
      </c>
      <c r="S30" s="15" t="n">
        <v>0</v>
      </c>
      <c r="T30" s="15" t="n">
        <v>0</v>
      </c>
      <c r="U30" s="15" t="n">
        <v>0</v>
      </c>
      <c r="V30" s="15" t="n">
        <v>0</v>
      </c>
      <c r="W30" s="15" t="n">
        <v>0</v>
      </c>
      <c r="X30" s="15" t="n">
        <v>0</v>
      </c>
      <c r="Y30" s="15" t="n">
        <v>0</v>
      </c>
      <c r="Z30" s="15" t="n">
        <v>0</v>
      </c>
      <c r="AA30" s="15" t="n">
        <v>0</v>
      </c>
      <c r="AB30" s="15" t="n">
        <v>0</v>
      </c>
      <c r="AC30" s="15" t="n">
        <v>0</v>
      </c>
    </row>
    <row r="31" ht="15" customHeight="1">
      <c r="A31" s="15" t="n">
        <v>29</v>
      </c>
      <c r="B31" s="15" t="inlineStr">
        <is>
          <t>00992-2016</t>
        </is>
      </c>
      <c r="C31" s="15" t="inlineStr">
        <is>
          <t>Pre-2019</t>
        </is>
      </c>
      <c r="D31" s="15" t="inlineStr">
        <is>
          <t>2019</t>
        </is>
      </c>
      <c r="E31" s="15" t="inlineStr">
        <is>
          <t>3SC</t>
        </is>
      </c>
      <c r="F31" s="15" t="n">
        <v>0</v>
      </c>
      <c r="G31" s="15" t="n">
        <v>0</v>
      </c>
      <c r="H31" s="15" t="n">
        <v>0</v>
      </c>
      <c r="I31" s="15" t="n">
        <v>0</v>
      </c>
      <c r="J31" s="15" t="n">
        <v>0</v>
      </c>
      <c r="K31" s="15" t="n">
        <v>0</v>
      </c>
      <c r="L31" s="15" t="n">
        <v>0</v>
      </c>
      <c r="M31" s="15" t="n">
        <v>0</v>
      </c>
      <c r="N31" s="15" t="n">
        <v>0</v>
      </c>
      <c r="O31" s="15" t="n">
        <v>0</v>
      </c>
      <c r="P31" s="15" t="n">
        <v>0</v>
      </c>
      <c r="Q31" s="15" t="n">
        <v>0</v>
      </c>
      <c r="R31" s="15" t="n">
        <v>0</v>
      </c>
      <c r="S31" s="15" t="n">
        <v>0</v>
      </c>
      <c r="T31" s="15" t="n">
        <v>0</v>
      </c>
      <c r="U31" s="16" t="n">
        <v>1</v>
      </c>
      <c r="V31" s="15" t="n">
        <v>0</v>
      </c>
      <c r="W31" s="15" t="n">
        <v>0</v>
      </c>
      <c r="X31" s="15" t="n">
        <v>0</v>
      </c>
      <c r="Y31" s="15" t="n">
        <v>0</v>
      </c>
      <c r="Z31" s="15" t="n">
        <v>0</v>
      </c>
      <c r="AA31" s="15" t="n">
        <v>0</v>
      </c>
      <c r="AB31" s="16" t="n">
        <v>1</v>
      </c>
      <c r="AC31" s="17" t="n">
        <v>2</v>
      </c>
    </row>
    <row r="32" ht="15" customHeight="1">
      <c r="A32" s="15" t="n">
        <v>30</v>
      </c>
      <c r="B32" s="15" t="inlineStr">
        <is>
          <t>01033-2023</t>
        </is>
      </c>
      <c r="C32" s="15" t="inlineStr">
        <is>
          <t>Llamoja — SV de control (2021-2023)</t>
        </is>
      </c>
      <c r="D32" s="15" t="inlineStr">
        <is>
          <t>2025</t>
        </is>
      </c>
      <c r="E32" s="15" t="inlineStr">
        <is>
          <t>2SC</t>
        </is>
      </c>
      <c r="F32" s="15" t="n">
        <v>0</v>
      </c>
      <c r="G32" s="15" t="n">
        <v>0</v>
      </c>
      <c r="H32" s="15" t="n">
        <v>0</v>
      </c>
      <c r="I32" s="15" t="n">
        <v>0</v>
      </c>
      <c r="J32" s="15" t="n">
        <v>0</v>
      </c>
      <c r="K32" s="15" t="n">
        <v>0</v>
      </c>
      <c r="L32" s="15" t="n">
        <v>0</v>
      </c>
      <c r="M32" s="15" t="n">
        <v>0</v>
      </c>
      <c r="N32" s="15" t="n">
        <v>0</v>
      </c>
      <c r="O32" s="15" t="n">
        <v>0</v>
      </c>
      <c r="P32" s="15" t="n">
        <v>0</v>
      </c>
      <c r="Q32" s="15" t="n">
        <v>0</v>
      </c>
      <c r="R32" s="15" t="n">
        <v>0</v>
      </c>
      <c r="S32" s="15" t="n">
        <v>0</v>
      </c>
      <c r="T32" s="15" t="n">
        <v>0</v>
      </c>
      <c r="U32" s="16" t="n">
        <v>1</v>
      </c>
      <c r="V32" s="15" t="n">
        <v>0</v>
      </c>
      <c r="W32" s="15" t="n">
        <v>0</v>
      </c>
      <c r="X32" s="15" t="n">
        <v>0</v>
      </c>
      <c r="Y32" s="15" t="n">
        <v>0</v>
      </c>
      <c r="Z32" s="15" t="n">
        <v>0</v>
      </c>
      <c r="AA32" s="15" t="n">
        <v>0</v>
      </c>
      <c r="AB32" s="15" t="n">
        <v>0</v>
      </c>
      <c r="AC32" s="17" t="n">
        <v>1</v>
      </c>
    </row>
    <row r="33" ht="15" customHeight="1">
      <c r="A33" s="15" t="n">
        <v>31</v>
      </c>
      <c r="B33" s="15" t="inlineStr">
        <is>
          <t>01101-2022</t>
        </is>
      </c>
      <c r="C33" s="15" t="inlineStr">
        <is>
          <t>2024</t>
        </is>
      </c>
      <c r="D33" s="15" t="inlineStr">
        <is>
          <t>2025</t>
        </is>
      </c>
      <c r="E33" s="15" t="inlineStr">
        <is>
          <t>2SC</t>
        </is>
      </c>
      <c r="F33" s="15" t="n">
        <v>0</v>
      </c>
      <c r="G33" s="15" t="n">
        <v>0</v>
      </c>
      <c r="H33" s="15" t="n">
        <v>0</v>
      </c>
      <c r="I33" s="15" t="n">
        <v>0</v>
      </c>
      <c r="J33" s="15" t="n">
        <v>0</v>
      </c>
      <c r="K33" s="15" t="n">
        <v>0</v>
      </c>
      <c r="L33" s="15" t="n">
        <v>0</v>
      </c>
      <c r="M33" s="15" t="n">
        <v>0</v>
      </c>
      <c r="N33" s="15" t="n">
        <v>0</v>
      </c>
      <c r="O33" s="15" t="n">
        <v>0</v>
      </c>
      <c r="P33" s="15" t="n">
        <v>0</v>
      </c>
      <c r="Q33" s="15" t="n">
        <v>0</v>
      </c>
      <c r="R33" s="15" t="n">
        <v>0</v>
      </c>
      <c r="S33" s="15" t="n">
        <v>0</v>
      </c>
      <c r="T33" s="15" t="n">
        <v>0</v>
      </c>
      <c r="U33" s="15" t="n">
        <v>0</v>
      </c>
      <c r="V33" s="15" t="n">
        <v>0</v>
      </c>
      <c r="W33" s="15" t="n">
        <v>0</v>
      </c>
      <c r="X33" s="15" t="n">
        <v>0</v>
      </c>
      <c r="Y33" s="15" t="n">
        <v>0</v>
      </c>
      <c r="Z33" s="15" t="n">
        <v>0</v>
      </c>
      <c r="AA33" s="15" t="n">
        <v>0</v>
      </c>
      <c r="AB33" s="16" t="n">
        <v>1</v>
      </c>
      <c r="AC33" s="17" t="n">
        <v>1</v>
      </c>
    </row>
    <row r="34" ht="15" customHeight="1">
      <c r="A34" s="15" t="n">
        <v>32</v>
      </c>
      <c r="B34" s="15" t="inlineStr">
        <is>
          <t>01286-2022</t>
        </is>
      </c>
      <c r="C34" s="15" t="inlineStr">
        <is>
          <t>2024</t>
        </is>
      </c>
      <c r="D34" s="15" t="inlineStr">
        <is>
          <t>2025</t>
        </is>
      </c>
      <c r="E34" s="15" t="inlineStr">
        <is>
          <t>2SC</t>
        </is>
      </c>
      <c r="F34" s="16" t="n">
        <v>1</v>
      </c>
      <c r="G34" s="15" t="n">
        <v>0</v>
      </c>
      <c r="H34" s="15" t="n">
        <v>0</v>
      </c>
      <c r="I34" s="16" t="n">
        <v>1</v>
      </c>
      <c r="J34" s="15" t="n">
        <v>0</v>
      </c>
      <c r="K34" s="15" t="n">
        <v>0</v>
      </c>
      <c r="L34" s="15" t="n">
        <v>0</v>
      </c>
      <c r="M34" s="15" t="n">
        <v>0</v>
      </c>
      <c r="N34" s="15" t="n">
        <v>0</v>
      </c>
      <c r="O34" s="15" t="n">
        <v>0</v>
      </c>
      <c r="P34" s="15" t="n">
        <v>0</v>
      </c>
      <c r="Q34" s="15" t="n">
        <v>0</v>
      </c>
      <c r="R34" s="15" t="n">
        <v>0</v>
      </c>
      <c r="S34" s="15" t="n">
        <v>0</v>
      </c>
      <c r="T34" s="15" t="n">
        <v>0</v>
      </c>
      <c r="U34" s="15" t="n">
        <v>0</v>
      </c>
      <c r="V34" s="15" t="n">
        <v>0</v>
      </c>
      <c r="W34" s="15" t="n">
        <v>0</v>
      </c>
      <c r="X34" s="15" t="n">
        <v>0</v>
      </c>
      <c r="Y34" s="15" t="n">
        <v>0</v>
      </c>
      <c r="Z34" s="15" t="n">
        <v>0</v>
      </c>
      <c r="AA34" s="15" t="n">
        <v>0</v>
      </c>
      <c r="AB34" s="15" t="n">
        <v>0</v>
      </c>
      <c r="AC34" s="17" t="n">
        <v>2</v>
      </c>
    </row>
    <row r="35" ht="15" customHeight="1">
      <c r="A35" s="15" t="n">
        <v>33</v>
      </c>
      <c r="B35" s="15" t="inlineStr">
        <is>
          <t>01328-2023</t>
        </is>
      </c>
      <c r="C35" s="15" t="inlineStr">
        <is>
          <t>2024</t>
        </is>
      </c>
      <c r="D35" s="15" t="inlineStr">
        <is>
          <t>2025</t>
        </is>
      </c>
      <c r="E35" s="15" t="inlineStr">
        <is>
          <t>2SC</t>
        </is>
      </c>
      <c r="F35" s="15" t="n">
        <v>0</v>
      </c>
      <c r="G35" s="15" t="n">
        <v>0</v>
      </c>
      <c r="H35" s="15" t="n">
        <v>0</v>
      </c>
      <c r="I35" s="15" t="n">
        <v>0</v>
      </c>
      <c r="J35" s="15" t="n">
        <v>0</v>
      </c>
      <c r="K35" s="15" t="n">
        <v>0</v>
      </c>
      <c r="L35" s="15" t="n">
        <v>0</v>
      </c>
      <c r="M35" s="15" t="n">
        <v>0</v>
      </c>
      <c r="N35" s="15" t="n">
        <v>0</v>
      </c>
      <c r="O35" s="15" t="n">
        <v>0</v>
      </c>
      <c r="P35" s="15" t="n">
        <v>0</v>
      </c>
      <c r="Q35" s="15" t="n">
        <v>0</v>
      </c>
      <c r="R35" s="15" t="n">
        <v>0</v>
      </c>
      <c r="S35" s="15" t="n">
        <v>0</v>
      </c>
      <c r="T35" s="15" t="n">
        <v>0</v>
      </c>
      <c r="U35" s="15" t="n">
        <v>0</v>
      </c>
      <c r="V35" s="15" t="n">
        <v>0</v>
      </c>
      <c r="W35" s="15" t="n">
        <v>0</v>
      </c>
      <c r="X35" s="15" t="n">
        <v>0</v>
      </c>
      <c r="Y35" s="15" t="n">
        <v>0</v>
      </c>
      <c r="Z35" s="15" t="n">
        <v>0</v>
      </c>
      <c r="AA35" s="15" t="n">
        <v>0</v>
      </c>
      <c r="AB35" s="15" t="n">
        <v>0</v>
      </c>
      <c r="AC35" s="15" t="n">
        <v>0</v>
      </c>
    </row>
    <row r="36" ht="15" customHeight="1">
      <c r="A36" s="15" t="n">
        <v>34</v>
      </c>
      <c r="B36" s="15" t="inlineStr">
        <is>
          <t>01376-2023</t>
        </is>
      </c>
      <c r="C36" s="15" t="inlineStr">
        <is>
          <t>2024</t>
        </is>
      </c>
      <c r="D36" s="15" t="inlineStr">
        <is>
          <t>2026</t>
        </is>
      </c>
      <c r="E36" s="15" t="inlineStr">
        <is>
          <t>2SC</t>
        </is>
      </c>
      <c r="F36" s="15" t="n">
        <v>0</v>
      </c>
      <c r="G36" s="15" t="n">
        <v>0</v>
      </c>
      <c r="H36" s="15" t="n">
        <v>0</v>
      </c>
      <c r="I36" s="15" t="n">
        <v>0</v>
      </c>
      <c r="J36" s="15" t="n">
        <v>0</v>
      </c>
      <c r="K36" s="15" t="n">
        <v>0</v>
      </c>
      <c r="L36" s="15" t="n">
        <v>0</v>
      </c>
      <c r="M36" s="15" t="n">
        <v>0</v>
      </c>
      <c r="N36" s="15" t="n">
        <v>0</v>
      </c>
      <c r="O36" s="15" t="n">
        <v>0</v>
      </c>
      <c r="P36" s="15" t="n">
        <v>0</v>
      </c>
      <c r="Q36" s="16" t="n">
        <v>1</v>
      </c>
      <c r="R36" s="15" t="n">
        <v>0</v>
      </c>
      <c r="S36" s="15" t="n">
        <v>0</v>
      </c>
      <c r="T36" s="15" t="n">
        <v>0</v>
      </c>
      <c r="U36" s="15" t="n">
        <v>0</v>
      </c>
      <c r="V36" s="15" t="n">
        <v>0</v>
      </c>
      <c r="W36" s="15" t="n">
        <v>0</v>
      </c>
      <c r="X36" s="16" t="n">
        <v>1</v>
      </c>
      <c r="Y36" s="15" t="n">
        <v>0</v>
      </c>
      <c r="Z36" s="15" t="n">
        <v>0</v>
      </c>
      <c r="AA36" s="15" t="n">
        <v>0</v>
      </c>
      <c r="AB36" s="15" t="n">
        <v>0</v>
      </c>
      <c r="AC36" s="17" t="n">
        <v>2</v>
      </c>
    </row>
    <row r="37" ht="15" customHeight="1">
      <c r="A37" s="15" t="n">
        <v>35</v>
      </c>
      <c r="B37" s="15" t="inlineStr">
        <is>
          <t>01417-2017</t>
        </is>
      </c>
      <c r="C37" s="15" t="inlineStr">
        <is>
          <t>Pre-2019</t>
        </is>
      </c>
      <c r="D37" s="15" t="inlineStr">
        <is>
          <t>2020</t>
        </is>
      </c>
      <c r="E37" s="15" t="inlineStr">
        <is>
          <t>2SC</t>
        </is>
      </c>
      <c r="F37" s="15" t="n">
        <v>0</v>
      </c>
      <c r="G37" s="15" t="n">
        <v>0</v>
      </c>
      <c r="H37" s="15" t="n">
        <v>0</v>
      </c>
      <c r="I37" s="15" t="n">
        <v>0</v>
      </c>
      <c r="J37" s="15" t="n">
        <v>0</v>
      </c>
      <c r="K37" s="15" t="n">
        <v>0</v>
      </c>
      <c r="L37" s="15" t="n">
        <v>0</v>
      </c>
      <c r="M37" s="15" t="n">
        <v>0</v>
      </c>
      <c r="N37" s="15" t="n">
        <v>0</v>
      </c>
      <c r="O37" s="15" t="n">
        <v>0</v>
      </c>
      <c r="P37" s="15" t="n">
        <v>0</v>
      </c>
      <c r="Q37" s="15" t="n">
        <v>0</v>
      </c>
      <c r="R37" s="15" t="n">
        <v>0</v>
      </c>
      <c r="S37" s="15" t="n">
        <v>0</v>
      </c>
      <c r="T37" s="15" t="n">
        <v>0</v>
      </c>
      <c r="U37" s="15" t="n">
        <v>0</v>
      </c>
      <c r="V37" s="15" t="n">
        <v>0</v>
      </c>
      <c r="W37" s="15" t="n">
        <v>0</v>
      </c>
      <c r="X37" s="15" t="n">
        <v>0</v>
      </c>
      <c r="Y37" s="15" t="n">
        <v>0</v>
      </c>
      <c r="Z37" s="15" t="n">
        <v>0</v>
      </c>
      <c r="AA37" s="15" t="n">
        <v>0</v>
      </c>
      <c r="AB37" s="16" t="n">
        <v>1</v>
      </c>
      <c r="AC37" s="17" t="n">
        <v>1</v>
      </c>
    </row>
    <row r="38" ht="15" customHeight="1">
      <c r="A38" s="15" t="n">
        <v>36</v>
      </c>
      <c r="B38" s="15" t="inlineStr">
        <is>
          <t>01535-2022</t>
        </is>
      </c>
      <c r="C38" s="15" t="inlineStr">
        <is>
          <t>2024</t>
        </is>
      </c>
      <c r="D38" s="15" t="inlineStr">
        <is>
          <t>2024</t>
        </is>
      </c>
      <c r="E38" s="15" t="inlineStr">
        <is>
          <t>2SC</t>
        </is>
      </c>
      <c r="F38" s="15" t="n">
        <v>0</v>
      </c>
      <c r="G38" s="15" t="n">
        <v>0</v>
      </c>
      <c r="H38" s="15" t="n">
        <v>0</v>
      </c>
      <c r="I38" s="15" t="n">
        <v>0</v>
      </c>
      <c r="J38" s="15" t="n">
        <v>0</v>
      </c>
      <c r="K38" s="15" t="n">
        <v>0</v>
      </c>
      <c r="L38" s="15" t="n">
        <v>0</v>
      </c>
      <c r="M38" s="15" t="n">
        <v>0</v>
      </c>
      <c r="N38" s="15" t="n">
        <v>0</v>
      </c>
      <c r="O38" s="15" t="n">
        <v>0</v>
      </c>
      <c r="P38" s="16" t="n">
        <v>1</v>
      </c>
      <c r="Q38" s="15" t="n">
        <v>0</v>
      </c>
      <c r="R38" s="15" t="n">
        <v>0</v>
      </c>
      <c r="S38" s="16" t="n">
        <v>1</v>
      </c>
      <c r="T38" s="15" t="n">
        <v>0</v>
      </c>
      <c r="U38" s="15" t="n">
        <v>0</v>
      </c>
      <c r="V38" s="15" t="n">
        <v>0</v>
      </c>
      <c r="W38" s="15" t="n">
        <v>0</v>
      </c>
      <c r="X38" s="15" t="n">
        <v>0</v>
      </c>
      <c r="Y38" s="15" t="n">
        <v>0</v>
      </c>
      <c r="Z38" s="15" t="n">
        <v>0</v>
      </c>
      <c r="AA38" s="15" t="n">
        <v>0</v>
      </c>
      <c r="AB38" s="15" t="n">
        <v>0</v>
      </c>
      <c r="AC38" s="17" t="n">
        <v>2</v>
      </c>
    </row>
    <row r="39" ht="15" customHeight="1">
      <c r="A39" s="15" t="n">
        <v>37</v>
      </c>
      <c r="B39" s="15" t="inlineStr">
        <is>
          <t>01549-2017</t>
        </is>
      </c>
      <c r="C39" s="15" t="inlineStr">
        <is>
          <t>Matriz sumarísimos — anteriores a 2019</t>
        </is>
      </c>
      <c r="D39" s="15" t="inlineStr">
        <is>
          <t>2019</t>
        </is>
      </c>
      <c r="E39" s="15" t="inlineStr">
        <is>
          <t>2SC</t>
        </is>
      </c>
      <c r="F39" s="15" t="n">
        <v>0</v>
      </c>
      <c r="G39" s="15" t="n">
        <v>0</v>
      </c>
      <c r="H39" s="15" t="n">
        <v>0</v>
      </c>
      <c r="I39" s="15" t="n">
        <v>0</v>
      </c>
      <c r="J39" s="15" t="n">
        <v>0</v>
      </c>
      <c r="K39" s="15" t="n">
        <v>0</v>
      </c>
      <c r="L39" s="15" t="n">
        <v>0</v>
      </c>
      <c r="M39" s="15" t="n">
        <v>0</v>
      </c>
      <c r="N39" s="15" t="n">
        <v>0</v>
      </c>
      <c r="O39" s="15" t="n">
        <v>0</v>
      </c>
      <c r="P39" s="15" t="n">
        <v>0</v>
      </c>
      <c r="Q39" s="15" t="n">
        <v>0</v>
      </c>
      <c r="R39" s="15" t="n">
        <v>0</v>
      </c>
      <c r="S39" s="15" t="n">
        <v>0</v>
      </c>
      <c r="T39" s="15" t="n">
        <v>0</v>
      </c>
      <c r="U39" s="15" t="n">
        <v>0</v>
      </c>
      <c r="V39" s="15" t="n">
        <v>0</v>
      </c>
      <c r="W39" s="15" t="n">
        <v>0</v>
      </c>
      <c r="X39" s="15" t="n">
        <v>0</v>
      </c>
      <c r="Y39" s="15" t="n">
        <v>0</v>
      </c>
      <c r="Z39" s="15" t="n">
        <v>0</v>
      </c>
      <c r="AA39" s="15" t="n">
        <v>0</v>
      </c>
      <c r="AB39" s="15" t="n">
        <v>0</v>
      </c>
      <c r="AC39" s="15" t="n">
        <v>0</v>
      </c>
    </row>
    <row r="40" ht="15" customHeight="1">
      <c r="A40" s="15" t="n">
        <v>38</v>
      </c>
      <c r="B40" s="15" t="inlineStr">
        <is>
          <t>01647-2019</t>
        </is>
      </c>
      <c r="C40" s="15" t="inlineStr">
        <is>
          <t>2024</t>
        </is>
      </c>
      <c r="D40" s="15" t="inlineStr">
        <is>
          <t>2026</t>
        </is>
      </c>
      <c r="E40" s="15" t="inlineStr">
        <is>
          <t>2SC</t>
        </is>
      </c>
      <c r="F40" s="15" t="n">
        <v>0</v>
      </c>
      <c r="G40" s="15" t="n">
        <v>0</v>
      </c>
      <c r="H40" s="15" t="n">
        <v>0</v>
      </c>
      <c r="I40" s="15" t="n">
        <v>0</v>
      </c>
      <c r="J40" s="15" t="n">
        <v>0</v>
      </c>
      <c r="K40" s="15" t="n">
        <v>0</v>
      </c>
      <c r="L40" s="15" t="n">
        <v>0</v>
      </c>
      <c r="M40" s="15" t="n">
        <v>0</v>
      </c>
      <c r="N40" s="15" t="n">
        <v>0</v>
      </c>
      <c r="O40" s="15" t="n">
        <v>0</v>
      </c>
      <c r="P40" s="15" t="n">
        <v>0</v>
      </c>
      <c r="Q40" s="16" t="n">
        <v>1</v>
      </c>
      <c r="R40" s="15" t="n">
        <v>0</v>
      </c>
      <c r="S40" s="16" t="n">
        <v>1</v>
      </c>
      <c r="T40" s="15" t="n">
        <v>0</v>
      </c>
      <c r="U40" s="15" t="n">
        <v>0</v>
      </c>
      <c r="V40" s="15" t="n">
        <v>0</v>
      </c>
      <c r="W40" s="15" t="n">
        <v>0</v>
      </c>
      <c r="X40" s="15" t="n">
        <v>0</v>
      </c>
      <c r="Y40" s="15" t="n">
        <v>0</v>
      </c>
      <c r="Z40" s="15" t="n">
        <v>0</v>
      </c>
      <c r="AA40" s="15" t="n">
        <v>0</v>
      </c>
      <c r="AB40" s="15" t="n">
        <v>0</v>
      </c>
      <c r="AC40" s="17" t="n">
        <v>2</v>
      </c>
    </row>
    <row r="41" ht="15" customHeight="1">
      <c r="A41" s="15" t="n">
        <v>39</v>
      </c>
      <c r="B41" s="15" t="inlineStr">
        <is>
          <t>01650-2023</t>
        </is>
      </c>
      <c r="C41" s="15" t="inlineStr">
        <is>
          <t>2024</t>
        </is>
      </c>
      <c r="D41" s="15" t="inlineStr">
        <is>
          <t>2025</t>
        </is>
      </c>
      <c r="E41" s="15" t="n"/>
      <c r="F41" s="15" t="n">
        <v>0</v>
      </c>
      <c r="G41" s="15" t="n">
        <v>0</v>
      </c>
      <c r="H41" s="15" t="n">
        <v>0</v>
      </c>
      <c r="I41" s="15" t="n">
        <v>0</v>
      </c>
      <c r="J41" s="15" t="n">
        <v>0</v>
      </c>
      <c r="K41" s="15" t="n">
        <v>0</v>
      </c>
      <c r="L41" s="15" t="n">
        <v>0</v>
      </c>
      <c r="M41" s="15" t="n">
        <v>0</v>
      </c>
      <c r="N41" s="15" t="n">
        <v>0</v>
      </c>
      <c r="O41" s="15" t="n">
        <v>0</v>
      </c>
      <c r="P41" s="15" t="n">
        <v>0</v>
      </c>
      <c r="Q41" s="15" t="n">
        <v>0</v>
      </c>
      <c r="R41" s="15" t="n">
        <v>0</v>
      </c>
      <c r="S41" s="15" t="n">
        <v>0</v>
      </c>
      <c r="T41" s="15" t="n">
        <v>0</v>
      </c>
      <c r="U41" s="15" t="n">
        <v>0</v>
      </c>
      <c r="V41" s="15" t="n">
        <v>0</v>
      </c>
      <c r="W41" s="15" t="n">
        <v>0</v>
      </c>
      <c r="X41" s="15" t="n">
        <v>0</v>
      </c>
      <c r="Y41" s="15" t="n">
        <v>0</v>
      </c>
      <c r="Z41" s="15" t="n">
        <v>0</v>
      </c>
      <c r="AA41" s="15" t="n">
        <v>0</v>
      </c>
      <c r="AB41" s="15" t="n">
        <v>0</v>
      </c>
      <c r="AC41" s="15" t="n">
        <v>0</v>
      </c>
    </row>
    <row r="42" ht="15" customHeight="1">
      <c r="A42" s="15" t="n">
        <v>40</v>
      </c>
      <c r="B42" s="15" t="inlineStr">
        <is>
          <t>01681-2023</t>
        </is>
      </c>
      <c r="C42" s="15" t="inlineStr">
        <is>
          <t>Llamoja — SV de control (2021-2023)</t>
        </is>
      </c>
      <c r="D42" s="15" t="inlineStr">
        <is>
          <t>2025</t>
        </is>
      </c>
      <c r="E42" s="15" t="inlineStr">
        <is>
          <t>3SC</t>
        </is>
      </c>
      <c r="F42" s="15" t="n">
        <v>0</v>
      </c>
      <c r="G42" s="15" t="n">
        <v>0</v>
      </c>
      <c r="H42" s="15" t="n">
        <v>0</v>
      </c>
      <c r="I42" s="15" t="n">
        <v>0</v>
      </c>
      <c r="J42" s="15" t="n">
        <v>0</v>
      </c>
      <c r="K42" s="16" t="n">
        <v>1</v>
      </c>
      <c r="L42" s="15" t="n">
        <v>0</v>
      </c>
      <c r="M42" s="15" t="n">
        <v>0</v>
      </c>
      <c r="N42" s="15" t="n">
        <v>0</v>
      </c>
      <c r="O42" s="15" t="n">
        <v>0</v>
      </c>
      <c r="P42" s="15" t="n">
        <v>0</v>
      </c>
      <c r="Q42" s="15" t="n">
        <v>0</v>
      </c>
      <c r="R42" s="15" t="n">
        <v>0</v>
      </c>
      <c r="S42" s="15" t="n">
        <v>0</v>
      </c>
      <c r="T42" s="16" t="n">
        <v>1</v>
      </c>
      <c r="U42" s="15" t="n">
        <v>0</v>
      </c>
      <c r="V42" s="15" t="n">
        <v>0</v>
      </c>
      <c r="W42" s="15" t="n">
        <v>0</v>
      </c>
      <c r="X42" s="15" t="n">
        <v>0</v>
      </c>
      <c r="Y42" s="15" t="n">
        <v>0</v>
      </c>
      <c r="Z42" s="15" t="n">
        <v>0</v>
      </c>
      <c r="AA42" s="15" t="n">
        <v>0</v>
      </c>
      <c r="AB42" s="15" t="n">
        <v>0</v>
      </c>
      <c r="AC42" s="17" t="n">
        <v>2</v>
      </c>
    </row>
    <row r="43" ht="15" customHeight="1">
      <c r="A43" s="15" t="n">
        <v>41</v>
      </c>
      <c r="B43" s="15" t="inlineStr">
        <is>
          <t>01723-2022</t>
        </is>
      </c>
      <c r="C43" s="15" t="inlineStr">
        <is>
          <t>Llamoja — SV de control (2021-2023)</t>
        </is>
      </c>
      <c r="D43" s="15" t="inlineStr">
        <is>
          <t>2025</t>
        </is>
      </c>
      <c r="E43" s="15" t="inlineStr">
        <is>
          <t>2SC</t>
        </is>
      </c>
      <c r="F43" s="15" t="n">
        <v>0</v>
      </c>
      <c r="G43" s="15" t="n">
        <v>0</v>
      </c>
      <c r="H43" s="15" t="n">
        <v>0</v>
      </c>
      <c r="I43" s="15" t="n">
        <v>0</v>
      </c>
      <c r="J43" s="15" t="n">
        <v>0</v>
      </c>
      <c r="K43" s="15" t="n">
        <v>0</v>
      </c>
      <c r="L43" s="15" t="n">
        <v>0</v>
      </c>
      <c r="M43" s="15" t="n">
        <v>0</v>
      </c>
      <c r="N43" s="15" t="n">
        <v>0</v>
      </c>
      <c r="O43" s="15" t="n">
        <v>0</v>
      </c>
      <c r="P43" s="15" t="n">
        <v>0</v>
      </c>
      <c r="Q43" s="15" t="n">
        <v>0</v>
      </c>
      <c r="R43" s="15" t="n">
        <v>0</v>
      </c>
      <c r="S43" s="15" t="n">
        <v>0</v>
      </c>
      <c r="T43" s="15" t="n">
        <v>0</v>
      </c>
      <c r="U43" s="15" t="n">
        <v>0</v>
      </c>
      <c r="V43" s="15" t="n">
        <v>0</v>
      </c>
      <c r="W43" s="15" t="n">
        <v>0</v>
      </c>
      <c r="X43" s="15" t="n">
        <v>0</v>
      </c>
      <c r="Y43" s="15" t="n">
        <v>0</v>
      </c>
      <c r="Z43" s="15" t="n">
        <v>0</v>
      </c>
      <c r="AA43" s="15" t="n">
        <v>0</v>
      </c>
      <c r="AB43" s="15" t="n">
        <v>0</v>
      </c>
      <c r="AC43" s="15" t="n">
        <v>0</v>
      </c>
    </row>
    <row r="44" ht="15" customHeight="1">
      <c r="A44" s="15" t="n">
        <v>42</v>
      </c>
      <c r="B44" s="15" t="inlineStr">
        <is>
          <t>01734-2017</t>
        </is>
      </c>
      <c r="C44" s="15" t="inlineStr">
        <is>
          <t>Pre-2019</t>
        </is>
      </c>
      <c r="D44" s="15" t="inlineStr">
        <is>
          <t>2019</t>
        </is>
      </c>
      <c r="E44" s="15" t="inlineStr">
        <is>
          <t>2SC</t>
        </is>
      </c>
      <c r="F44" s="15" t="n">
        <v>0</v>
      </c>
      <c r="G44" s="15" t="n">
        <v>0</v>
      </c>
      <c r="H44" s="15" t="n">
        <v>0</v>
      </c>
      <c r="I44" s="15" t="n">
        <v>0</v>
      </c>
      <c r="J44" s="15" t="n">
        <v>0</v>
      </c>
      <c r="K44" s="15" t="n">
        <v>0</v>
      </c>
      <c r="L44" s="15" t="n">
        <v>0</v>
      </c>
      <c r="M44" s="15" t="n">
        <v>0</v>
      </c>
      <c r="N44" s="15" t="n">
        <v>0</v>
      </c>
      <c r="O44" s="15" t="n">
        <v>0</v>
      </c>
      <c r="P44" s="15" t="n">
        <v>0</v>
      </c>
      <c r="Q44" s="15" t="n">
        <v>0</v>
      </c>
      <c r="R44" s="15" t="n">
        <v>0</v>
      </c>
      <c r="S44" s="15" t="n">
        <v>0</v>
      </c>
      <c r="T44" s="16" t="n">
        <v>1</v>
      </c>
      <c r="U44" s="15" t="n">
        <v>0</v>
      </c>
      <c r="V44" s="15" t="n">
        <v>0</v>
      </c>
      <c r="W44" s="15" t="n">
        <v>0</v>
      </c>
      <c r="X44" s="15" t="n">
        <v>0</v>
      </c>
      <c r="Y44" s="15" t="n">
        <v>0</v>
      </c>
      <c r="Z44" s="15" t="n">
        <v>0</v>
      </c>
      <c r="AA44" s="15" t="n">
        <v>0</v>
      </c>
      <c r="AB44" s="15" t="n">
        <v>0</v>
      </c>
      <c r="AC44" s="17" t="n">
        <v>1</v>
      </c>
    </row>
    <row r="45" ht="15" customHeight="1">
      <c r="A45" s="15" t="n">
        <v>43</v>
      </c>
      <c r="B45" s="15" t="inlineStr">
        <is>
          <t>01835-2024</t>
        </is>
      </c>
      <c r="C45" s="15" t="inlineStr">
        <is>
          <t>2024</t>
        </is>
      </c>
      <c r="D45" s="15" t="inlineStr">
        <is>
          <t>2025</t>
        </is>
      </c>
      <c r="E45" s="15" t="inlineStr">
        <is>
          <t>1SC</t>
        </is>
      </c>
      <c r="F45" s="15" t="n">
        <v>0</v>
      </c>
      <c r="G45" s="15" t="n">
        <v>0</v>
      </c>
      <c r="H45" s="15" t="n">
        <v>0</v>
      </c>
      <c r="I45" s="15" t="n">
        <v>0</v>
      </c>
      <c r="J45" s="15" t="n">
        <v>0</v>
      </c>
      <c r="K45" s="15" t="n">
        <v>0</v>
      </c>
      <c r="L45" s="15" t="n">
        <v>0</v>
      </c>
      <c r="M45" s="15" t="n">
        <v>0</v>
      </c>
      <c r="N45" s="15" t="n">
        <v>0</v>
      </c>
      <c r="O45" s="15" t="n">
        <v>0</v>
      </c>
      <c r="P45" s="15" t="n">
        <v>0</v>
      </c>
      <c r="Q45" s="15" t="n">
        <v>0</v>
      </c>
      <c r="R45" s="15" t="n">
        <v>0</v>
      </c>
      <c r="S45" s="15" t="n">
        <v>0</v>
      </c>
      <c r="T45" s="15" t="n">
        <v>0</v>
      </c>
      <c r="U45" s="15" t="n">
        <v>0</v>
      </c>
      <c r="V45" s="15" t="n">
        <v>0</v>
      </c>
      <c r="W45" s="15" t="n">
        <v>0</v>
      </c>
      <c r="X45" s="15" t="n">
        <v>0</v>
      </c>
      <c r="Y45" s="15" t="n">
        <v>0</v>
      </c>
      <c r="Z45" s="15" t="n">
        <v>0</v>
      </c>
      <c r="AA45" s="15" t="n">
        <v>0</v>
      </c>
      <c r="AB45" s="15" t="n">
        <v>0</v>
      </c>
      <c r="AC45" s="15" t="n">
        <v>0</v>
      </c>
    </row>
    <row r="46" ht="15" customHeight="1">
      <c r="A46" s="15" t="n">
        <v>44</v>
      </c>
      <c r="B46" s="15" t="inlineStr">
        <is>
          <t>01869-2023</t>
        </is>
      </c>
      <c r="C46" s="15" t="inlineStr">
        <is>
          <t>Llamoja — SV de control (2021-2023)</t>
        </is>
      </c>
      <c r="D46" s="15" t="inlineStr">
        <is>
          <t>2026</t>
        </is>
      </c>
      <c r="E46" s="15" t="inlineStr">
        <is>
          <t>2SC</t>
        </is>
      </c>
      <c r="F46" s="15" t="n">
        <v>0</v>
      </c>
      <c r="G46" s="15" t="n">
        <v>0</v>
      </c>
      <c r="H46" s="15" t="n">
        <v>0</v>
      </c>
      <c r="I46" s="15" t="n">
        <v>0</v>
      </c>
      <c r="J46" s="15" t="n">
        <v>0</v>
      </c>
      <c r="K46" s="15" t="n">
        <v>0</v>
      </c>
      <c r="L46" s="15" t="n">
        <v>0</v>
      </c>
      <c r="M46" s="15" t="n">
        <v>0</v>
      </c>
      <c r="N46" s="15" t="n">
        <v>0</v>
      </c>
      <c r="O46" s="15" t="n">
        <v>0</v>
      </c>
      <c r="P46" s="15" t="n">
        <v>0</v>
      </c>
      <c r="Q46" s="16" t="n">
        <v>1</v>
      </c>
      <c r="R46" s="16" t="n">
        <v>1</v>
      </c>
      <c r="S46" s="15" t="n">
        <v>0</v>
      </c>
      <c r="T46" s="15" t="n">
        <v>0</v>
      </c>
      <c r="U46" s="15" t="n">
        <v>0</v>
      </c>
      <c r="V46" s="15" t="n">
        <v>0</v>
      </c>
      <c r="W46" s="15" t="n">
        <v>0</v>
      </c>
      <c r="X46" s="15" t="n">
        <v>0</v>
      </c>
      <c r="Y46" s="15" t="n">
        <v>0</v>
      </c>
      <c r="Z46" s="16" t="n">
        <v>1</v>
      </c>
      <c r="AA46" s="15" t="n">
        <v>0</v>
      </c>
      <c r="AB46" s="15" t="n">
        <v>0</v>
      </c>
      <c r="AC46" s="17" t="n">
        <v>3</v>
      </c>
    </row>
    <row r="47" ht="15" customHeight="1">
      <c r="A47" s="15" t="n">
        <v>45</v>
      </c>
      <c r="B47" s="15" t="inlineStr">
        <is>
          <t>01879-2022</t>
        </is>
      </c>
      <c r="C47" s="15" t="inlineStr">
        <is>
          <t>2024</t>
        </is>
      </c>
      <c r="D47" s="15" t="inlineStr">
        <is>
          <t>2025</t>
        </is>
      </c>
      <c r="E47" s="15" t="inlineStr">
        <is>
          <t>2SC</t>
        </is>
      </c>
      <c r="F47" s="15" t="n">
        <v>0</v>
      </c>
      <c r="G47" s="15" t="n">
        <v>0</v>
      </c>
      <c r="H47" s="15" t="n">
        <v>0</v>
      </c>
      <c r="I47" s="15" t="n">
        <v>0</v>
      </c>
      <c r="J47" s="15" t="n">
        <v>0</v>
      </c>
      <c r="K47" s="15" t="n">
        <v>0</v>
      </c>
      <c r="L47" s="15" t="n">
        <v>0</v>
      </c>
      <c r="M47" s="15" t="n">
        <v>0</v>
      </c>
      <c r="N47" s="15" t="n">
        <v>0</v>
      </c>
      <c r="O47" s="15" t="n">
        <v>0</v>
      </c>
      <c r="P47" s="15" t="n">
        <v>0</v>
      </c>
      <c r="Q47" s="15" t="n">
        <v>0</v>
      </c>
      <c r="R47" s="15" t="n">
        <v>0</v>
      </c>
      <c r="S47" s="15" t="n">
        <v>0</v>
      </c>
      <c r="T47" s="15" t="n">
        <v>0</v>
      </c>
      <c r="U47" s="15" t="n">
        <v>0</v>
      </c>
      <c r="V47" s="15" t="n">
        <v>0</v>
      </c>
      <c r="W47" s="15" t="n">
        <v>0</v>
      </c>
      <c r="X47" s="15" t="n">
        <v>0</v>
      </c>
      <c r="Y47" s="15" t="n">
        <v>0</v>
      </c>
      <c r="Z47" s="15" t="n">
        <v>0</v>
      </c>
      <c r="AA47" s="15" t="n">
        <v>0</v>
      </c>
      <c r="AB47" s="16" t="n">
        <v>1</v>
      </c>
      <c r="AC47" s="17" t="n">
        <v>1</v>
      </c>
    </row>
    <row r="48" ht="15" customHeight="1">
      <c r="A48" s="15" t="n">
        <v>46</v>
      </c>
      <c r="B48" s="15" t="inlineStr">
        <is>
          <t>01888-2011</t>
        </is>
      </c>
      <c r="C48" s="15" t="inlineStr">
        <is>
          <t>Pre-2019</t>
        </is>
      </c>
      <c r="D48" s="15" t="inlineStr">
        <is>
          <t>2020</t>
        </is>
      </c>
      <c r="E48" s="15" t="inlineStr">
        <is>
          <t>2SC</t>
        </is>
      </c>
      <c r="F48" s="15" t="n">
        <v>0</v>
      </c>
      <c r="G48" s="15" t="n">
        <v>0</v>
      </c>
      <c r="H48" s="15" t="n">
        <v>0</v>
      </c>
      <c r="I48" s="15" t="n">
        <v>0</v>
      </c>
      <c r="J48" s="15" t="n">
        <v>0</v>
      </c>
      <c r="K48" s="15" t="n">
        <v>0</v>
      </c>
      <c r="L48" s="15" t="n">
        <v>0</v>
      </c>
      <c r="M48" s="15" t="n">
        <v>0</v>
      </c>
      <c r="N48" s="15" t="n">
        <v>0</v>
      </c>
      <c r="O48" s="15" t="n">
        <v>0</v>
      </c>
      <c r="P48" s="15" t="n">
        <v>0</v>
      </c>
      <c r="Q48" s="15" t="n">
        <v>0</v>
      </c>
      <c r="R48" s="15" t="n">
        <v>0</v>
      </c>
      <c r="S48" s="15" t="n">
        <v>0</v>
      </c>
      <c r="T48" s="15" t="n">
        <v>0</v>
      </c>
      <c r="U48" s="15" t="n">
        <v>0</v>
      </c>
      <c r="V48" s="15" t="n">
        <v>0</v>
      </c>
      <c r="W48" s="15" t="n">
        <v>0</v>
      </c>
      <c r="X48" s="16" t="n">
        <v>1</v>
      </c>
      <c r="Y48" s="15" t="n">
        <v>0</v>
      </c>
      <c r="Z48" s="15" t="n">
        <v>0</v>
      </c>
      <c r="AA48" s="15" t="n">
        <v>0</v>
      </c>
      <c r="AB48" s="15" t="n">
        <v>0</v>
      </c>
      <c r="AC48" s="17" t="n">
        <v>1</v>
      </c>
    </row>
    <row r="49" ht="15" customHeight="1">
      <c r="A49" s="15" t="n">
        <v>47</v>
      </c>
      <c r="B49" s="15" t="inlineStr">
        <is>
          <t>01946-2016</t>
        </is>
      </c>
      <c r="C49" s="15" t="inlineStr">
        <is>
          <t>Pre-2019</t>
        </is>
      </c>
      <c r="D49" s="15" t="inlineStr">
        <is>
          <t>2019</t>
        </is>
      </c>
      <c r="E49" s="15" t="inlineStr">
        <is>
          <t>3SC</t>
        </is>
      </c>
      <c r="F49" s="15" t="n">
        <v>0</v>
      </c>
      <c r="G49" s="15" t="n">
        <v>0</v>
      </c>
      <c r="H49" s="15" t="n">
        <v>0</v>
      </c>
      <c r="I49" s="15" t="n">
        <v>0</v>
      </c>
      <c r="J49" s="15" t="n">
        <v>0</v>
      </c>
      <c r="K49" s="15" t="n">
        <v>0</v>
      </c>
      <c r="L49" s="15" t="n">
        <v>0</v>
      </c>
      <c r="M49" s="15" t="n">
        <v>0</v>
      </c>
      <c r="N49" s="15" t="n">
        <v>0</v>
      </c>
      <c r="O49" s="15" t="n">
        <v>0</v>
      </c>
      <c r="P49" s="15" t="n">
        <v>0</v>
      </c>
      <c r="Q49" s="15" t="n">
        <v>0</v>
      </c>
      <c r="R49" s="15" t="n">
        <v>0</v>
      </c>
      <c r="S49" s="15" t="n">
        <v>0</v>
      </c>
      <c r="T49" s="15" t="n">
        <v>0</v>
      </c>
      <c r="U49" s="15" t="n">
        <v>0</v>
      </c>
      <c r="V49" s="15" t="n">
        <v>0</v>
      </c>
      <c r="W49" s="15" t="n">
        <v>0</v>
      </c>
      <c r="X49" s="15" t="n">
        <v>0</v>
      </c>
      <c r="Y49" s="15" t="n">
        <v>0</v>
      </c>
      <c r="Z49" s="15" t="n">
        <v>0</v>
      </c>
      <c r="AA49" s="15" t="n">
        <v>0</v>
      </c>
      <c r="AB49" s="15" t="n">
        <v>0</v>
      </c>
      <c r="AC49" s="15" t="n">
        <v>0</v>
      </c>
    </row>
    <row r="50" ht="15" customHeight="1">
      <c r="A50" s="15" t="n">
        <v>48</v>
      </c>
      <c r="B50" s="15" t="inlineStr">
        <is>
          <t>02167-2023</t>
        </is>
      </c>
      <c r="C50" s="15" t="inlineStr">
        <is>
          <t>Matriz sumarísimos — grupo 2024</t>
        </is>
      </c>
      <c r="D50" s="15" t="inlineStr">
        <is>
          <t>2025</t>
        </is>
      </c>
      <c r="E50" s="15" t="inlineStr">
        <is>
          <t>2SC</t>
        </is>
      </c>
      <c r="F50" s="15" t="n">
        <v>0</v>
      </c>
      <c r="G50" s="15" t="n">
        <v>0</v>
      </c>
      <c r="H50" s="15" t="n">
        <v>0</v>
      </c>
      <c r="I50" s="15" t="n">
        <v>0</v>
      </c>
      <c r="J50" s="15" t="n">
        <v>0</v>
      </c>
      <c r="K50" s="15" t="n">
        <v>0</v>
      </c>
      <c r="L50" s="15" t="n">
        <v>0</v>
      </c>
      <c r="M50" s="15" t="n">
        <v>0</v>
      </c>
      <c r="N50" s="15" t="n">
        <v>0</v>
      </c>
      <c r="O50" s="15" t="n">
        <v>0</v>
      </c>
      <c r="P50" s="15" t="n">
        <v>0</v>
      </c>
      <c r="Q50" s="15" t="n">
        <v>0</v>
      </c>
      <c r="R50" s="15" t="n">
        <v>0</v>
      </c>
      <c r="S50" s="15" t="n">
        <v>0</v>
      </c>
      <c r="T50" s="15" t="n">
        <v>0</v>
      </c>
      <c r="U50" s="15" t="n">
        <v>0</v>
      </c>
      <c r="V50" s="15" t="n">
        <v>0</v>
      </c>
      <c r="W50" s="15" t="n">
        <v>0</v>
      </c>
      <c r="X50" s="15" t="n">
        <v>0</v>
      </c>
      <c r="Y50" s="15" t="n">
        <v>0</v>
      </c>
      <c r="Z50" s="15" t="n">
        <v>0</v>
      </c>
      <c r="AA50" s="15" t="n">
        <v>0</v>
      </c>
      <c r="AB50" s="15" t="n">
        <v>0</v>
      </c>
      <c r="AC50" s="15" t="n">
        <v>0</v>
      </c>
    </row>
    <row r="51" ht="15" customHeight="1">
      <c r="A51" s="15" t="n">
        <v>49</v>
      </c>
      <c r="B51" s="15" t="inlineStr">
        <is>
          <t>02275-2023</t>
        </is>
      </c>
      <c r="C51" s="15" t="inlineStr">
        <is>
          <t>Llamoja — SV de control (2021-2023)</t>
        </is>
      </c>
      <c r="D51" s="15" t="inlineStr">
        <is>
          <t>2025</t>
        </is>
      </c>
      <c r="E51" s="15" t="inlineStr">
        <is>
          <t>3SC</t>
        </is>
      </c>
      <c r="F51" s="16" t="n">
        <v>1</v>
      </c>
      <c r="G51" s="15" t="n">
        <v>0</v>
      </c>
      <c r="H51" s="15" t="n">
        <v>0</v>
      </c>
      <c r="I51" s="16" t="n">
        <v>1</v>
      </c>
      <c r="J51" s="15" t="n">
        <v>0</v>
      </c>
      <c r="K51" s="15" t="n">
        <v>0</v>
      </c>
      <c r="L51" s="15" t="n">
        <v>0</v>
      </c>
      <c r="M51" s="15" t="n">
        <v>0</v>
      </c>
      <c r="N51" s="15" t="n">
        <v>0</v>
      </c>
      <c r="O51" s="15" t="n">
        <v>0</v>
      </c>
      <c r="P51" s="15" t="n">
        <v>0</v>
      </c>
      <c r="Q51" s="15" t="n">
        <v>0</v>
      </c>
      <c r="R51" s="15" t="n">
        <v>0</v>
      </c>
      <c r="S51" s="15" t="n">
        <v>0</v>
      </c>
      <c r="T51" s="15" t="n">
        <v>0</v>
      </c>
      <c r="U51" s="15" t="n">
        <v>0</v>
      </c>
      <c r="V51" s="15" t="n">
        <v>0</v>
      </c>
      <c r="W51" s="15" t="n">
        <v>0</v>
      </c>
      <c r="X51" s="15" t="n">
        <v>0</v>
      </c>
      <c r="Y51" s="15" t="n">
        <v>0</v>
      </c>
      <c r="Z51" s="15" t="n">
        <v>0</v>
      </c>
      <c r="AA51" s="15" t="n">
        <v>0</v>
      </c>
      <c r="AB51" s="15" t="n">
        <v>0</v>
      </c>
      <c r="AC51" s="17" t="n">
        <v>2</v>
      </c>
    </row>
    <row r="52" ht="15" customHeight="1">
      <c r="A52" s="15" t="n">
        <v>50</v>
      </c>
      <c r="B52" s="15" t="inlineStr">
        <is>
          <t>02371-2021</t>
        </is>
      </c>
      <c r="C52" s="15" t="inlineStr">
        <is>
          <t>2024</t>
        </is>
      </c>
      <c r="D52" s="15" t="inlineStr">
        <is>
          <t>2025</t>
        </is>
      </c>
      <c r="E52" s="15" t="n"/>
      <c r="F52" s="15" t="n">
        <v>0</v>
      </c>
      <c r="G52" s="15" t="n">
        <v>0</v>
      </c>
      <c r="H52" s="15" t="n">
        <v>0</v>
      </c>
      <c r="I52" s="15" t="n">
        <v>0</v>
      </c>
      <c r="J52" s="15" t="n">
        <v>0</v>
      </c>
      <c r="K52" s="15" t="n">
        <v>0</v>
      </c>
      <c r="L52" s="15" t="n">
        <v>0</v>
      </c>
      <c r="M52" s="15" t="n">
        <v>0</v>
      </c>
      <c r="N52" s="15" t="n">
        <v>0</v>
      </c>
      <c r="O52" s="15" t="n">
        <v>0</v>
      </c>
      <c r="P52" s="15" t="n">
        <v>0</v>
      </c>
      <c r="Q52" s="15" t="n">
        <v>0</v>
      </c>
      <c r="R52" s="15" t="n">
        <v>0</v>
      </c>
      <c r="S52" s="15" t="n">
        <v>0</v>
      </c>
      <c r="T52" s="15" t="n">
        <v>0</v>
      </c>
      <c r="U52" s="15" t="n">
        <v>0</v>
      </c>
      <c r="V52" s="15" t="n">
        <v>0</v>
      </c>
      <c r="W52" s="15" t="n">
        <v>0</v>
      </c>
      <c r="X52" s="15" t="n">
        <v>0</v>
      </c>
      <c r="Y52" s="15" t="n">
        <v>0</v>
      </c>
      <c r="Z52" s="15" t="n">
        <v>0</v>
      </c>
      <c r="AA52" s="15" t="n">
        <v>0</v>
      </c>
      <c r="AB52" s="15" t="n">
        <v>0</v>
      </c>
      <c r="AC52" s="15" t="n">
        <v>0</v>
      </c>
    </row>
    <row r="53" ht="15" customHeight="1">
      <c r="A53" s="15" t="n">
        <v>51</v>
      </c>
      <c r="B53" s="15" t="inlineStr">
        <is>
          <t>02483-2021</t>
        </is>
      </c>
      <c r="C53" s="15" t="inlineStr">
        <is>
          <t>Llamoja — SV de control (2021-2023)</t>
        </is>
      </c>
      <c r="D53" s="15" t="inlineStr">
        <is>
          <t>2023</t>
        </is>
      </c>
      <c r="E53" s="15" t="inlineStr">
        <is>
          <t>2SC</t>
        </is>
      </c>
      <c r="F53" s="15" t="n">
        <v>0</v>
      </c>
      <c r="G53" s="15" t="n">
        <v>0</v>
      </c>
      <c r="H53" s="16" t="n">
        <v>1</v>
      </c>
      <c r="I53" s="15" t="n">
        <v>0</v>
      </c>
      <c r="J53" s="15" t="n">
        <v>0</v>
      </c>
      <c r="K53" s="15" t="n">
        <v>0</v>
      </c>
      <c r="L53" s="15" t="n">
        <v>0</v>
      </c>
      <c r="M53" s="15" t="n">
        <v>0</v>
      </c>
      <c r="N53" s="15" t="n">
        <v>0</v>
      </c>
      <c r="O53" s="15" t="n">
        <v>0</v>
      </c>
      <c r="P53" s="15" t="n">
        <v>0</v>
      </c>
      <c r="Q53" s="15" t="n">
        <v>0</v>
      </c>
      <c r="R53" s="15" t="n">
        <v>0</v>
      </c>
      <c r="S53" s="15" t="n">
        <v>0</v>
      </c>
      <c r="T53" s="15" t="n">
        <v>0</v>
      </c>
      <c r="U53" s="15" t="n">
        <v>0</v>
      </c>
      <c r="V53" s="15" t="n">
        <v>0</v>
      </c>
      <c r="W53" s="15" t="n">
        <v>0</v>
      </c>
      <c r="X53" s="15" t="n">
        <v>0</v>
      </c>
      <c r="Y53" s="15" t="n">
        <v>0</v>
      </c>
      <c r="Z53" s="15" t="n">
        <v>0</v>
      </c>
      <c r="AA53" s="15" t="n">
        <v>0</v>
      </c>
      <c r="AB53" s="15" t="n">
        <v>0</v>
      </c>
      <c r="AC53" s="17" t="n">
        <v>1</v>
      </c>
    </row>
    <row r="54" ht="15" customHeight="1">
      <c r="A54" s="15" t="n">
        <v>52</v>
      </c>
      <c r="B54" s="15" t="inlineStr">
        <is>
          <t>02505-2009</t>
        </is>
      </c>
      <c r="C54" s="15" t="inlineStr">
        <is>
          <t>Pre-2019</t>
        </is>
      </c>
      <c r="D54" s="15" t="inlineStr">
        <is>
          <t>2019</t>
        </is>
      </c>
      <c r="E54" s="15" t="inlineStr">
        <is>
          <t>3SC</t>
        </is>
      </c>
      <c r="F54" s="15" t="n">
        <v>0</v>
      </c>
      <c r="G54" s="16" t="n">
        <v>1</v>
      </c>
      <c r="H54" s="15" t="n">
        <v>0</v>
      </c>
      <c r="I54" s="15" t="n">
        <v>0</v>
      </c>
      <c r="J54" s="15" t="n">
        <v>0</v>
      </c>
      <c r="K54" s="15" t="n">
        <v>0</v>
      </c>
      <c r="L54" s="15" t="n">
        <v>0</v>
      </c>
      <c r="M54" s="15" t="n">
        <v>0</v>
      </c>
      <c r="N54" s="15" t="n">
        <v>0</v>
      </c>
      <c r="O54" s="15" t="n">
        <v>0</v>
      </c>
      <c r="P54" s="15" t="n">
        <v>0</v>
      </c>
      <c r="Q54" s="15" t="n">
        <v>0</v>
      </c>
      <c r="R54" s="15" t="n">
        <v>0</v>
      </c>
      <c r="S54" s="15" t="n">
        <v>0</v>
      </c>
      <c r="T54" s="15" t="n">
        <v>0</v>
      </c>
      <c r="U54" s="16" t="n">
        <v>1</v>
      </c>
      <c r="V54" s="15" t="n">
        <v>0</v>
      </c>
      <c r="W54" s="15" t="n">
        <v>0</v>
      </c>
      <c r="X54" s="15" t="n">
        <v>0</v>
      </c>
      <c r="Y54" s="15" t="n">
        <v>0</v>
      </c>
      <c r="Z54" s="15" t="n">
        <v>0</v>
      </c>
      <c r="AA54" s="15" t="n">
        <v>0</v>
      </c>
      <c r="AB54" s="15" t="n">
        <v>0</v>
      </c>
      <c r="AC54" s="17" t="n">
        <v>2</v>
      </c>
    </row>
    <row r="55" ht="15" customHeight="1">
      <c r="A55" s="15" t="n">
        <v>53</v>
      </c>
      <c r="B55" s="15" t="inlineStr">
        <is>
          <t>02532-2017</t>
        </is>
      </c>
      <c r="C55" s="15" t="inlineStr">
        <is>
          <t>Matriz sumarísimos — anteriores a 2019</t>
        </is>
      </c>
      <c r="D55" s="15" t="inlineStr">
        <is>
          <t>2018</t>
        </is>
      </c>
      <c r="E55" s="15" t="inlineStr">
        <is>
          <t>1SC</t>
        </is>
      </c>
      <c r="F55" s="16" t="n">
        <v>1</v>
      </c>
      <c r="G55" s="15" t="n">
        <v>0</v>
      </c>
      <c r="H55" s="16" t="n">
        <v>1</v>
      </c>
      <c r="I55" s="15" t="n">
        <v>0</v>
      </c>
      <c r="J55" s="15" t="n">
        <v>0</v>
      </c>
      <c r="K55" s="15" t="n">
        <v>0</v>
      </c>
      <c r="L55" s="15" t="n">
        <v>0</v>
      </c>
      <c r="M55" s="15" t="n">
        <v>0</v>
      </c>
      <c r="N55" s="15" t="n">
        <v>0</v>
      </c>
      <c r="O55" s="15" t="n">
        <v>0</v>
      </c>
      <c r="P55" s="15" t="n">
        <v>0</v>
      </c>
      <c r="Q55" s="15" t="n">
        <v>0</v>
      </c>
      <c r="R55" s="15" t="n">
        <v>0</v>
      </c>
      <c r="S55" s="15" t="n">
        <v>0</v>
      </c>
      <c r="T55" s="15" t="n">
        <v>0</v>
      </c>
      <c r="U55" s="15" t="n">
        <v>0</v>
      </c>
      <c r="V55" s="15" t="n">
        <v>0</v>
      </c>
      <c r="W55" s="15" t="n">
        <v>0</v>
      </c>
      <c r="X55" s="15" t="n">
        <v>0</v>
      </c>
      <c r="Y55" s="15" t="n">
        <v>0</v>
      </c>
      <c r="Z55" s="15" t="n">
        <v>0</v>
      </c>
      <c r="AA55" s="15" t="n">
        <v>0</v>
      </c>
      <c r="AB55" s="15" t="n">
        <v>0</v>
      </c>
      <c r="AC55" s="17" t="n">
        <v>2</v>
      </c>
    </row>
    <row r="56" ht="15" customHeight="1">
      <c r="A56" s="15" t="n">
        <v>54</v>
      </c>
      <c r="B56" s="15" t="inlineStr">
        <is>
          <t>02635-2019</t>
        </is>
      </c>
      <c r="C56" s="15" t="inlineStr">
        <is>
          <t>2024</t>
        </is>
      </c>
      <c r="D56" s="15" t="inlineStr">
        <is>
          <t>2023</t>
        </is>
      </c>
      <c r="E56" s="15" t="n"/>
      <c r="F56" s="15" t="n">
        <v>0</v>
      </c>
      <c r="G56" s="15" t="n">
        <v>0</v>
      </c>
      <c r="H56" s="15" t="n">
        <v>0</v>
      </c>
      <c r="I56" s="15" t="n">
        <v>0</v>
      </c>
      <c r="J56" s="15" t="n">
        <v>0</v>
      </c>
      <c r="K56" s="15" t="n">
        <v>0</v>
      </c>
      <c r="L56" s="15" t="n">
        <v>0</v>
      </c>
      <c r="M56" s="15" t="n">
        <v>0</v>
      </c>
      <c r="N56" s="15" t="n">
        <v>0</v>
      </c>
      <c r="O56" s="15" t="n">
        <v>0</v>
      </c>
      <c r="P56" s="16" t="n">
        <v>1</v>
      </c>
      <c r="Q56" s="15" t="n">
        <v>0</v>
      </c>
      <c r="R56" s="15" t="n">
        <v>0</v>
      </c>
      <c r="S56" s="16" t="n">
        <v>1</v>
      </c>
      <c r="T56" s="15" t="n">
        <v>0</v>
      </c>
      <c r="U56" s="15" t="n">
        <v>0</v>
      </c>
      <c r="V56" s="15" t="n">
        <v>0</v>
      </c>
      <c r="W56" s="15" t="n">
        <v>0</v>
      </c>
      <c r="X56" s="15" t="n">
        <v>0</v>
      </c>
      <c r="Y56" s="15" t="n">
        <v>0</v>
      </c>
      <c r="Z56" s="15" t="n">
        <v>0</v>
      </c>
      <c r="AA56" s="15" t="n">
        <v>0</v>
      </c>
      <c r="AB56" s="15" t="n">
        <v>0</v>
      </c>
      <c r="AC56" s="17" t="n">
        <v>2</v>
      </c>
    </row>
    <row r="57" ht="15" customHeight="1">
      <c r="A57" s="15" t="n">
        <v>55</v>
      </c>
      <c r="B57" s="15" t="inlineStr">
        <is>
          <t>02641-2010</t>
        </is>
      </c>
      <c r="C57" s="15" t="inlineStr">
        <is>
          <t>Pre-2019</t>
        </is>
      </c>
      <c r="D57" s="15" t="inlineStr">
        <is>
          <t>2018</t>
        </is>
      </c>
      <c r="E57" s="15" t="inlineStr">
        <is>
          <t>1SC</t>
        </is>
      </c>
      <c r="F57" s="15" t="n">
        <v>0</v>
      </c>
      <c r="G57" s="15" t="n">
        <v>0</v>
      </c>
      <c r="H57" s="15" t="n">
        <v>0</v>
      </c>
      <c r="I57" s="15" t="n">
        <v>0</v>
      </c>
      <c r="J57" s="15" t="n">
        <v>0</v>
      </c>
      <c r="K57" s="15" t="n">
        <v>0</v>
      </c>
      <c r="L57" s="16" t="n">
        <v>1</v>
      </c>
      <c r="M57" s="15" t="n">
        <v>0</v>
      </c>
      <c r="N57" s="15" t="n">
        <v>0</v>
      </c>
      <c r="O57" s="15" t="n">
        <v>0</v>
      </c>
      <c r="P57" s="15" t="n">
        <v>0</v>
      </c>
      <c r="Q57" s="15" t="n">
        <v>0</v>
      </c>
      <c r="R57" s="15" t="n">
        <v>0</v>
      </c>
      <c r="S57" s="15" t="n">
        <v>0</v>
      </c>
      <c r="T57" s="15" t="n">
        <v>0</v>
      </c>
      <c r="U57" s="15" t="n">
        <v>0</v>
      </c>
      <c r="V57" s="15" t="n">
        <v>0</v>
      </c>
      <c r="W57" s="15" t="n">
        <v>0</v>
      </c>
      <c r="X57" s="15" t="n">
        <v>0</v>
      </c>
      <c r="Y57" s="15" t="n">
        <v>0</v>
      </c>
      <c r="Z57" s="15" t="n">
        <v>0</v>
      </c>
      <c r="AA57" s="15" t="n">
        <v>0</v>
      </c>
      <c r="AB57" s="15" t="n">
        <v>0</v>
      </c>
      <c r="AC57" s="17" t="n">
        <v>1</v>
      </c>
    </row>
    <row r="58" ht="15" customHeight="1">
      <c r="A58" s="15" t="n">
        <v>56</v>
      </c>
      <c r="B58" s="15" t="inlineStr">
        <is>
          <t>02706-2015</t>
        </is>
      </c>
      <c r="C58" s="15" t="inlineStr">
        <is>
          <t>Pre-2019</t>
        </is>
      </c>
      <c r="D58" s="15" t="inlineStr">
        <is>
          <t>2019</t>
        </is>
      </c>
      <c r="E58" s="15" t="inlineStr">
        <is>
          <t>2SC</t>
        </is>
      </c>
      <c r="F58" s="15" t="n">
        <v>0</v>
      </c>
      <c r="G58" s="15" t="n">
        <v>0</v>
      </c>
      <c r="H58" s="16" t="n">
        <v>1</v>
      </c>
      <c r="I58" s="15" t="n">
        <v>0</v>
      </c>
      <c r="J58" s="15" t="n">
        <v>0</v>
      </c>
      <c r="K58" s="15" t="n">
        <v>0</v>
      </c>
      <c r="L58" s="15" t="n">
        <v>0</v>
      </c>
      <c r="M58" s="15" t="n">
        <v>0</v>
      </c>
      <c r="N58" s="15" t="n">
        <v>0</v>
      </c>
      <c r="O58" s="15" t="n">
        <v>0</v>
      </c>
      <c r="P58" s="15" t="n">
        <v>0</v>
      </c>
      <c r="Q58" s="15" t="n">
        <v>0</v>
      </c>
      <c r="R58" s="15" t="n">
        <v>0</v>
      </c>
      <c r="S58" s="15" t="n">
        <v>0</v>
      </c>
      <c r="T58" s="15" t="n">
        <v>0</v>
      </c>
      <c r="U58" s="15" t="n">
        <v>0</v>
      </c>
      <c r="V58" s="15" t="n">
        <v>0</v>
      </c>
      <c r="W58" s="15" t="n">
        <v>0</v>
      </c>
      <c r="X58" s="15" t="n">
        <v>0</v>
      </c>
      <c r="Y58" s="15" t="n">
        <v>0</v>
      </c>
      <c r="Z58" s="15" t="n">
        <v>0</v>
      </c>
      <c r="AA58" s="15" t="n">
        <v>0</v>
      </c>
      <c r="AB58" s="15" t="n">
        <v>0</v>
      </c>
      <c r="AC58" s="17" t="n">
        <v>1</v>
      </c>
    </row>
    <row r="59" ht="15" customHeight="1">
      <c r="A59" s="15" t="n">
        <v>57</v>
      </c>
      <c r="B59" s="15" t="inlineStr">
        <is>
          <t>02706-2016</t>
        </is>
      </c>
      <c r="C59" s="15" t="inlineStr">
        <is>
          <t>Matriz sumarísimos — anteriores a 2019</t>
        </is>
      </c>
      <c r="D59" s="15" t="inlineStr">
        <is>
          <t>2021</t>
        </is>
      </c>
      <c r="E59" s="15" t="inlineStr">
        <is>
          <t>2SC</t>
        </is>
      </c>
      <c r="F59" s="15" t="n">
        <v>0</v>
      </c>
      <c r="G59" s="15" t="n">
        <v>0</v>
      </c>
      <c r="H59" s="15" t="n">
        <v>0</v>
      </c>
      <c r="I59" s="15" t="n">
        <v>0</v>
      </c>
      <c r="J59" s="15" t="n">
        <v>0</v>
      </c>
      <c r="K59" s="15" t="n">
        <v>0</v>
      </c>
      <c r="L59" s="15" t="n">
        <v>0</v>
      </c>
      <c r="M59" s="15" t="n">
        <v>0</v>
      </c>
      <c r="N59" s="15" t="n">
        <v>0</v>
      </c>
      <c r="O59" s="15" t="n">
        <v>0</v>
      </c>
      <c r="P59" s="15" t="n">
        <v>0</v>
      </c>
      <c r="Q59" s="15" t="n">
        <v>0</v>
      </c>
      <c r="R59" s="15" t="n">
        <v>0</v>
      </c>
      <c r="S59" s="15" t="n">
        <v>0</v>
      </c>
      <c r="T59" s="15" t="n">
        <v>0</v>
      </c>
      <c r="U59" s="15" t="n">
        <v>0</v>
      </c>
      <c r="V59" s="15" t="n">
        <v>0</v>
      </c>
      <c r="W59" s="15" t="n">
        <v>0</v>
      </c>
      <c r="X59" s="15" t="n">
        <v>0</v>
      </c>
      <c r="Y59" s="15" t="n">
        <v>0</v>
      </c>
      <c r="Z59" s="15" t="n">
        <v>0</v>
      </c>
      <c r="AA59" s="15" t="n">
        <v>0</v>
      </c>
      <c r="AB59" s="15" t="n">
        <v>0</v>
      </c>
      <c r="AC59" s="15" t="n">
        <v>0</v>
      </c>
    </row>
    <row r="60" ht="15" customHeight="1">
      <c r="A60" s="15" t="n">
        <v>58</v>
      </c>
      <c r="B60" s="15" t="inlineStr">
        <is>
          <t>02712-2023</t>
        </is>
      </c>
      <c r="C60" s="15" t="inlineStr">
        <is>
          <t>Llamoja — SV de control (2021-2023)</t>
        </is>
      </c>
      <c r="D60" s="15" t="inlineStr">
        <is>
          <t>2025</t>
        </is>
      </c>
      <c r="E60" s="15" t="inlineStr">
        <is>
          <t>2SC</t>
        </is>
      </c>
      <c r="F60" s="15" t="n">
        <v>0</v>
      </c>
      <c r="G60" s="15" t="n">
        <v>0</v>
      </c>
      <c r="H60" s="15" t="n">
        <v>0</v>
      </c>
      <c r="I60" s="15" t="n">
        <v>0</v>
      </c>
      <c r="J60" s="15" t="n">
        <v>0</v>
      </c>
      <c r="K60" s="15" t="n">
        <v>0</v>
      </c>
      <c r="L60" s="15" t="n">
        <v>0</v>
      </c>
      <c r="M60" s="15" t="n">
        <v>0</v>
      </c>
      <c r="N60" s="15" t="n">
        <v>0</v>
      </c>
      <c r="O60" s="15" t="n">
        <v>0</v>
      </c>
      <c r="P60" s="15" t="n">
        <v>0</v>
      </c>
      <c r="Q60" s="15" t="n">
        <v>0</v>
      </c>
      <c r="R60" s="15" t="n">
        <v>0</v>
      </c>
      <c r="S60" s="15" t="n">
        <v>0</v>
      </c>
      <c r="T60" s="15" t="n">
        <v>0</v>
      </c>
      <c r="U60" s="15" t="n">
        <v>0</v>
      </c>
      <c r="V60" s="15" t="n">
        <v>0</v>
      </c>
      <c r="W60" s="15" t="n">
        <v>0</v>
      </c>
      <c r="X60" s="15" t="n">
        <v>0</v>
      </c>
      <c r="Y60" s="15" t="n">
        <v>0</v>
      </c>
      <c r="Z60" s="15" t="n">
        <v>0</v>
      </c>
      <c r="AA60" s="15" t="n">
        <v>0</v>
      </c>
      <c r="AB60" s="15" t="n">
        <v>0</v>
      </c>
      <c r="AC60" s="15" t="n">
        <v>0</v>
      </c>
    </row>
    <row r="61" ht="15" customHeight="1">
      <c r="A61" s="15" t="n">
        <v>59</v>
      </c>
      <c r="B61" s="15" t="inlineStr">
        <is>
          <t>02718-2015</t>
        </is>
      </c>
      <c r="C61" s="15" t="inlineStr">
        <is>
          <t>Matriz sumarísimos — anteriores a 2019</t>
        </is>
      </c>
      <c r="D61" s="15" t="inlineStr">
        <is>
          <t>2018</t>
        </is>
      </c>
      <c r="E61" s="15" t="inlineStr">
        <is>
          <t>1SC</t>
        </is>
      </c>
      <c r="F61" s="15" t="n">
        <v>0</v>
      </c>
      <c r="G61" s="15" t="n">
        <v>0</v>
      </c>
      <c r="H61" s="15" t="n">
        <v>0</v>
      </c>
      <c r="I61" s="15" t="n">
        <v>0</v>
      </c>
      <c r="J61" s="15" t="n">
        <v>0</v>
      </c>
      <c r="K61" s="15" t="n">
        <v>0</v>
      </c>
      <c r="L61" s="16" t="n">
        <v>1</v>
      </c>
      <c r="M61" s="15" t="n">
        <v>0</v>
      </c>
      <c r="N61" s="15" t="n">
        <v>0</v>
      </c>
      <c r="O61" s="15" t="n">
        <v>0</v>
      </c>
      <c r="P61" s="15" t="n">
        <v>0</v>
      </c>
      <c r="Q61" s="15" t="n">
        <v>0</v>
      </c>
      <c r="R61" s="15" t="n">
        <v>0</v>
      </c>
      <c r="S61" s="15" t="n">
        <v>0</v>
      </c>
      <c r="T61" s="15" t="n">
        <v>0</v>
      </c>
      <c r="U61" s="16" t="n">
        <v>1</v>
      </c>
      <c r="V61" s="15" t="n">
        <v>0</v>
      </c>
      <c r="W61" s="15" t="n">
        <v>0</v>
      </c>
      <c r="X61" s="15" t="n">
        <v>0</v>
      </c>
      <c r="Y61" s="15" t="n">
        <v>0</v>
      </c>
      <c r="Z61" s="15" t="n">
        <v>0</v>
      </c>
      <c r="AA61" s="15" t="n">
        <v>0</v>
      </c>
      <c r="AB61" s="16" t="n">
        <v>1</v>
      </c>
      <c r="AC61" s="17" t="n">
        <v>3</v>
      </c>
    </row>
    <row r="62" ht="15" customHeight="1">
      <c r="A62" s="15" t="n">
        <v>60</v>
      </c>
      <c r="B62" s="15" t="inlineStr">
        <is>
          <t>02723-2023</t>
        </is>
      </c>
      <c r="C62" s="15" t="inlineStr">
        <is>
          <t>Llamoja — SV de control (2021-2023)</t>
        </is>
      </c>
      <c r="D62" s="15" t="inlineStr">
        <is>
          <t>2025</t>
        </is>
      </c>
      <c r="E62" s="15" t="inlineStr">
        <is>
          <t>2SC</t>
        </is>
      </c>
      <c r="F62" s="15" t="n">
        <v>0</v>
      </c>
      <c r="G62" s="15" t="n">
        <v>0</v>
      </c>
      <c r="H62" s="15" t="n">
        <v>0</v>
      </c>
      <c r="I62" s="15" t="n">
        <v>0</v>
      </c>
      <c r="J62" s="15" t="n">
        <v>0</v>
      </c>
      <c r="K62" s="15" t="n">
        <v>0</v>
      </c>
      <c r="L62" s="15" t="n">
        <v>0</v>
      </c>
      <c r="M62" s="15" t="n">
        <v>0</v>
      </c>
      <c r="N62" s="15" t="n">
        <v>0</v>
      </c>
      <c r="O62" s="15" t="n">
        <v>0</v>
      </c>
      <c r="P62" s="15" t="n">
        <v>0</v>
      </c>
      <c r="Q62" s="15" t="n">
        <v>0</v>
      </c>
      <c r="R62" s="15" t="n">
        <v>0</v>
      </c>
      <c r="S62" s="15" t="n">
        <v>0</v>
      </c>
      <c r="T62" s="15" t="n">
        <v>0</v>
      </c>
      <c r="U62" s="15" t="n">
        <v>0</v>
      </c>
      <c r="V62" s="15" t="n">
        <v>0</v>
      </c>
      <c r="W62" s="15" t="n">
        <v>0</v>
      </c>
      <c r="X62" s="15" t="n">
        <v>0</v>
      </c>
      <c r="Y62" s="15" t="n">
        <v>0</v>
      </c>
      <c r="Z62" s="15" t="n">
        <v>0</v>
      </c>
      <c r="AA62" s="15" t="n">
        <v>0</v>
      </c>
      <c r="AB62" s="15" t="n">
        <v>0</v>
      </c>
      <c r="AC62" s="15" t="n">
        <v>0</v>
      </c>
    </row>
    <row r="63" ht="15" customHeight="1">
      <c r="A63" s="15" t="n">
        <v>61</v>
      </c>
      <c r="B63" s="15" t="inlineStr">
        <is>
          <t>02792-2023</t>
        </is>
      </c>
      <c r="C63" s="15" t="inlineStr">
        <is>
          <t>Llamoja — SV de control (2021-2023)</t>
        </is>
      </c>
      <c r="D63" s="15" t="inlineStr">
        <is>
          <t>2025</t>
        </is>
      </c>
      <c r="E63" s="15" t="inlineStr">
        <is>
          <t>1SC</t>
        </is>
      </c>
      <c r="F63" s="15" t="n">
        <v>0</v>
      </c>
      <c r="G63" s="15" t="n">
        <v>0</v>
      </c>
      <c r="H63" s="15" t="n">
        <v>0</v>
      </c>
      <c r="I63" s="15" t="n">
        <v>0</v>
      </c>
      <c r="J63" s="15" t="n">
        <v>0</v>
      </c>
      <c r="K63" s="15" t="n">
        <v>0</v>
      </c>
      <c r="L63" s="15" t="n">
        <v>0</v>
      </c>
      <c r="M63" s="15" t="n">
        <v>0</v>
      </c>
      <c r="N63" s="15" t="n">
        <v>0</v>
      </c>
      <c r="O63" s="15" t="n">
        <v>0</v>
      </c>
      <c r="P63" s="15" t="n">
        <v>0</v>
      </c>
      <c r="Q63" s="15" t="n">
        <v>0</v>
      </c>
      <c r="R63" s="15" t="n">
        <v>0</v>
      </c>
      <c r="S63" s="15" t="n">
        <v>0</v>
      </c>
      <c r="T63" s="15" t="n">
        <v>0</v>
      </c>
      <c r="U63" s="15" t="n">
        <v>0</v>
      </c>
      <c r="V63" s="15" t="n">
        <v>0</v>
      </c>
      <c r="W63" s="15" t="n">
        <v>0</v>
      </c>
      <c r="X63" s="15" t="n">
        <v>0</v>
      </c>
      <c r="Y63" s="15" t="n">
        <v>0</v>
      </c>
      <c r="Z63" s="15" t="n">
        <v>0</v>
      </c>
      <c r="AA63" s="15" t="n">
        <v>0</v>
      </c>
      <c r="AB63" s="15" t="n">
        <v>0</v>
      </c>
      <c r="AC63" s="15" t="n">
        <v>0</v>
      </c>
    </row>
    <row r="64" ht="15" customHeight="1">
      <c r="A64" s="15" t="n">
        <v>62</v>
      </c>
      <c r="B64" s="15" t="inlineStr">
        <is>
          <t>02814-2015</t>
        </is>
      </c>
      <c r="C64" s="15" t="inlineStr">
        <is>
          <t>Pre-2019</t>
        </is>
      </c>
      <c r="D64" s="15" t="inlineStr">
        <is>
          <t>2019</t>
        </is>
      </c>
      <c r="E64" s="15" t="inlineStr">
        <is>
          <t>3SC</t>
        </is>
      </c>
      <c r="F64" s="15" t="n">
        <v>0</v>
      </c>
      <c r="G64" s="15" t="n">
        <v>0</v>
      </c>
      <c r="H64" s="15" t="n">
        <v>0</v>
      </c>
      <c r="I64" s="15" t="n">
        <v>0</v>
      </c>
      <c r="J64" s="15" t="n">
        <v>0</v>
      </c>
      <c r="K64" s="15" t="n">
        <v>0</v>
      </c>
      <c r="L64" s="15" t="n">
        <v>0</v>
      </c>
      <c r="M64" s="15" t="n">
        <v>0</v>
      </c>
      <c r="N64" s="15" t="n">
        <v>0</v>
      </c>
      <c r="O64" s="15" t="n">
        <v>0</v>
      </c>
      <c r="P64" s="15" t="n">
        <v>0</v>
      </c>
      <c r="Q64" s="15" t="n">
        <v>0</v>
      </c>
      <c r="R64" s="15" t="n">
        <v>0</v>
      </c>
      <c r="S64" s="16" t="n">
        <v>1</v>
      </c>
      <c r="T64" s="15" t="n">
        <v>0</v>
      </c>
      <c r="U64" s="15" t="n">
        <v>0</v>
      </c>
      <c r="V64" s="15" t="n">
        <v>0</v>
      </c>
      <c r="W64" s="15" t="n">
        <v>0</v>
      </c>
      <c r="X64" s="15" t="n">
        <v>0</v>
      </c>
      <c r="Y64" s="15" t="n">
        <v>0</v>
      </c>
      <c r="Z64" s="15" t="n">
        <v>0</v>
      </c>
      <c r="AA64" s="15" t="n">
        <v>0</v>
      </c>
      <c r="AB64" s="15" t="n">
        <v>0</v>
      </c>
      <c r="AC64" s="17" t="n">
        <v>1</v>
      </c>
    </row>
    <row r="65" ht="15" customHeight="1">
      <c r="A65" s="15" t="n">
        <v>63</v>
      </c>
      <c r="B65" s="15" t="inlineStr">
        <is>
          <t>02851-2023</t>
        </is>
      </c>
      <c r="C65" s="15" t="inlineStr">
        <is>
          <t>Llamoja — SV de control (2021-2023)</t>
        </is>
      </c>
      <c r="D65" s="15" t="inlineStr">
        <is>
          <t>2025</t>
        </is>
      </c>
      <c r="E65" s="15" t="inlineStr">
        <is>
          <t>1SC</t>
        </is>
      </c>
      <c r="F65" s="15" t="n">
        <v>0</v>
      </c>
      <c r="G65" s="15" t="n">
        <v>0</v>
      </c>
      <c r="H65" s="15" t="n">
        <v>0</v>
      </c>
      <c r="I65" s="15" t="n">
        <v>0</v>
      </c>
      <c r="J65" s="15" t="n">
        <v>0</v>
      </c>
      <c r="K65" s="15" t="n">
        <v>0</v>
      </c>
      <c r="L65" s="15" t="n">
        <v>0</v>
      </c>
      <c r="M65" s="15" t="n">
        <v>0</v>
      </c>
      <c r="N65" s="15" t="n">
        <v>0</v>
      </c>
      <c r="O65" s="15" t="n">
        <v>0</v>
      </c>
      <c r="P65" s="15" t="n">
        <v>0</v>
      </c>
      <c r="Q65" s="15" t="n">
        <v>0</v>
      </c>
      <c r="R65" s="15" t="n">
        <v>0</v>
      </c>
      <c r="S65" s="15" t="n">
        <v>0</v>
      </c>
      <c r="T65" s="15" t="n">
        <v>0</v>
      </c>
      <c r="U65" s="15" t="n">
        <v>0</v>
      </c>
      <c r="V65" s="15" t="n">
        <v>0</v>
      </c>
      <c r="W65" s="15" t="n">
        <v>0</v>
      </c>
      <c r="X65" s="16" t="n">
        <v>1</v>
      </c>
      <c r="Y65" s="15" t="n">
        <v>0</v>
      </c>
      <c r="Z65" s="15" t="n">
        <v>0</v>
      </c>
      <c r="AA65" s="16" t="n">
        <v>1</v>
      </c>
      <c r="AB65" s="15" t="n">
        <v>0</v>
      </c>
      <c r="AC65" s="17" t="n">
        <v>2</v>
      </c>
    </row>
    <row r="66" ht="15" customHeight="1">
      <c r="A66" s="15" t="n">
        <v>64</v>
      </c>
      <c r="B66" s="15" t="inlineStr">
        <is>
          <t>02943-2016</t>
        </is>
      </c>
      <c r="C66" s="15" t="inlineStr">
        <is>
          <t>Pre-2019</t>
        </is>
      </c>
      <c r="D66" s="15" t="inlineStr">
        <is>
          <t>2018</t>
        </is>
      </c>
      <c r="E66" s="15" t="inlineStr">
        <is>
          <t>2SC</t>
        </is>
      </c>
      <c r="F66" s="15" t="n">
        <v>0</v>
      </c>
      <c r="G66" s="15" t="n">
        <v>0</v>
      </c>
      <c r="H66" s="15" t="n">
        <v>0</v>
      </c>
      <c r="I66" s="15" t="n">
        <v>0</v>
      </c>
      <c r="J66" s="15" t="n">
        <v>0</v>
      </c>
      <c r="K66" s="15" t="n">
        <v>0</v>
      </c>
      <c r="L66" s="15" t="n">
        <v>0</v>
      </c>
      <c r="M66" s="15" t="n">
        <v>0</v>
      </c>
      <c r="N66" s="15" t="n">
        <v>0</v>
      </c>
      <c r="O66" s="15" t="n">
        <v>0</v>
      </c>
      <c r="P66" s="15" t="n">
        <v>0</v>
      </c>
      <c r="Q66" s="15" t="n">
        <v>0</v>
      </c>
      <c r="R66" s="15" t="n">
        <v>0</v>
      </c>
      <c r="S66" s="15" t="n">
        <v>0</v>
      </c>
      <c r="T66" s="15" t="n">
        <v>0</v>
      </c>
      <c r="U66" s="16" t="n">
        <v>1</v>
      </c>
      <c r="V66" s="15" t="n">
        <v>0</v>
      </c>
      <c r="W66" s="15" t="n">
        <v>0</v>
      </c>
      <c r="X66" s="15" t="n">
        <v>0</v>
      </c>
      <c r="Y66" s="15" t="n">
        <v>0</v>
      </c>
      <c r="Z66" s="15" t="n">
        <v>0</v>
      </c>
      <c r="AA66" s="15" t="n">
        <v>0</v>
      </c>
      <c r="AB66" s="16" t="n">
        <v>1</v>
      </c>
      <c r="AC66" s="17" t="n">
        <v>2</v>
      </c>
    </row>
    <row r="67" ht="15" customHeight="1">
      <c r="A67" s="15" t="n">
        <v>65</v>
      </c>
      <c r="B67" s="15" t="inlineStr">
        <is>
          <t>02973-2022</t>
        </is>
      </c>
      <c r="C67" s="15" t="inlineStr">
        <is>
          <t>Llamoja — SV de control (2021-2023)</t>
        </is>
      </c>
      <c r="D67" s="15" t="inlineStr">
        <is>
          <t>2025</t>
        </is>
      </c>
      <c r="E67" s="15" t="inlineStr">
        <is>
          <t>2SC</t>
        </is>
      </c>
      <c r="F67" s="15" t="n">
        <v>0</v>
      </c>
      <c r="G67" s="15" t="n">
        <v>0</v>
      </c>
      <c r="H67" s="15" t="n">
        <v>0</v>
      </c>
      <c r="I67" s="15" t="n">
        <v>0</v>
      </c>
      <c r="J67" s="15" t="n">
        <v>0</v>
      </c>
      <c r="K67" s="15" t="n">
        <v>0</v>
      </c>
      <c r="L67" s="15" t="n">
        <v>0</v>
      </c>
      <c r="M67" s="15" t="n">
        <v>0</v>
      </c>
      <c r="N67" s="15" t="n">
        <v>0</v>
      </c>
      <c r="O67" s="15" t="n">
        <v>0</v>
      </c>
      <c r="P67" s="15" t="n">
        <v>0</v>
      </c>
      <c r="Q67" s="15" t="n">
        <v>0</v>
      </c>
      <c r="R67" s="15" t="n">
        <v>0</v>
      </c>
      <c r="S67" s="15" t="n">
        <v>0</v>
      </c>
      <c r="T67" s="15" t="n">
        <v>0</v>
      </c>
      <c r="U67" s="15" t="n">
        <v>0</v>
      </c>
      <c r="V67" s="15" t="n">
        <v>0</v>
      </c>
      <c r="W67" s="15" t="n">
        <v>0</v>
      </c>
      <c r="X67" s="15" t="n">
        <v>0</v>
      </c>
      <c r="Y67" s="15" t="n">
        <v>0</v>
      </c>
      <c r="Z67" s="16" t="n">
        <v>1</v>
      </c>
      <c r="AA67" s="15" t="n">
        <v>0</v>
      </c>
      <c r="AB67" s="15" t="n">
        <v>0</v>
      </c>
      <c r="AC67" s="17" t="n">
        <v>1</v>
      </c>
    </row>
    <row r="68" ht="15" customHeight="1">
      <c r="A68" s="15" t="n">
        <v>66</v>
      </c>
      <c r="B68" s="15" t="inlineStr">
        <is>
          <t>03228-2013</t>
        </is>
      </c>
      <c r="C68" s="15" t="inlineStr">
        <is>
          <t>Pre-2019</t>
        </is>
      </c>
      <c r="D68" s="15" t="inlineStr">
        <is>
          <t>2018</t>
        </is>
      </c>
      <c r="E68" s="15" t="inlineStr">
        <is>
          <t>2SC</t>
        </is>
      </c>
      <c r="F68" s="15" t="n">
        <v>0</v>
      </c>
      <c r="G68" s="15" t="n">
        <v>0</v>
      </c>
      <c r="H68" s="15" t="n">
        <v>0</v>
      </c>
      <c r="I68" s="15" t="n">
        <v>0</v>
      </c>
      <c r="J68" s="15" t="n">
        <v>0</v>
      </c>
      <c r="K68" s="15" t="n">
        <v>0</v>
      </c>
      <c r="L68" s="15" t="n">
        <v>0</v>
      </c>
      <c r="M68" s="15" t="n">
        <v>0</v>
      </c>
      <c r="N68" s="15" t="n">
        <v>0</v>
      </c>
      <c r="O68" s="15" t="n">
        <v>0</v>
      </c>
      <c r="P68" s="15" t="n">
        <v>0</v>
      </c>
      <c r="Q68" s="16" t="n">
        <v>1</v>
      </c>
      <c r="R68" s="15" t="n">
        <v>0</v>
      </c>
      <c r="S68" s="16" t="n">
        <v>1</v>
      </c>
      <c r="T68" s="15" t="n">
        <v>0</v>
      </c>
      <c r="U68" s="16" t="n">
        <v>1</v>
      </c>
      <c r="V68" s="15" t="n">
        <v>0</v>
      </c>
      <c r="W68" s="15" t="n">
        <v>0</v>
      </c>
      <c r="X68" s="15" t="n">
        <v>0</v>
      </c>
      <c r="Y68" s="15" t="n">
        <v>0</v>
      </c>
      <c r="Z68" s="15" t="n">
        <v>0</v>
      </c>
      <c r="AA68" s="15" t="n">
        <v>0</v>
      </c>
      <c r="AB68" s="15" t="n">
        <v>0</v>
      </c>
      <c r="AC68" s="17" t="n">
        <v>3</v>
      </c>
    </row>
    <row r="69" ht="15" customHeight="1">
      <c r="A69" s="15" t="n">
        <v>67</v>
      </c>
      <c r="B69" s="15" t="inlineStr">
        <is>
          <t>03393-2017</t>
        </is>
      </c>
      <c r="C69" s="15" t="inlineStr">
        <is>
          <t>Pre-2019</t>
        </is>
      </c>
      <c r="D69" s="15" t="inlineStr">
        <is>
          <t>2019</t>
        </is>
      </c>
      <c r="E69" s="15" t="inlineStr">
        <is>
          <t>2SC</t>
        </is>
      </c>
      <c r="F69" s="16" t="n">
        <v>1</v>
      </c>
      <c r="G69" s="15" t="n">
        <v>0</v>
      </c>
      <c r="H69" s="15" t="n">
        <v>0</v>
      </c>
      <c r="I69" s="15" t="n">
        <v>0</v>
      </c>
      <c r="J69" s="15" t="n">
        <v>0</v>
      </c>
      <c r="K69" s="15" t="n">
        <v>0</v>
      </c>
      <c r="L69" s="15" t="n">
        <v>0</v>
      </c>
      <c r="M69" s="15" t="n">
        <v>0</v>
      </c>
      <c r="N69" s="15" t="n">
        <v>0</v>
      </c>
      <c r="O69" s="15" t="n">
        <v>0</v>
      </c>
      <c r="P69" s="15" t="n">
        <v>0</v>
      </c>
      <c r="Q69" s="15" t="n">
        <v>0</v>
      </c>
      <c r="R69" s="15" t="n">
        <v>0</v>
      </c>
      <c r="S69" s="15" t="n">
        <v>0</v>
      </c>
      <c r="T69" s="15" t="n">
        <v>0</v>
      </c>
      <c r="U69" s="15" t="n">
        <v>0</v>
      </c>
      <c r="V69" s="15" t="n">
        <v>0</v>
      </c>
      <c r="W69" s="15" t="n">
        <v>0</v>
      </c>
      <c r="X69" s="15" t="n">
        <v>0</v>
      </c>
      <c r="Y69" s="15" t="n">
        <v>0</v>
      </c>
      <c r="Z69" s="15" t="n">
        <v>0</v>
      </c>
      <c r="AA69" s="15" t="n">
        <v>0</v>
      </c>
      <c r="AB69" s="15" t="n">
        <v>0</v>
      </c>
      <c r="AC69" s="17" t="n">
        <v>1</v>
      </c>
    </row>
    <row r="70" ht="15" customHeight="1">
      <c r="A70" s="15" t="n">
        <v>68</v>
      </c>
      <c r="B70" s="15" t="inlineStr">
        <is>
          <t>03566-2011</t>
        </is>
      </c>
      <c r="C70" s="15" t="inlineStr">
        <is>
          <t>Pre-2019</t>
        </is>
      </c>
      <c r="D70" s="15" t="inlineStr">
        <is>
          <t>2018</t>
        </is>
      </c>
      <c r="E70" s="15" t="inlineStr">
        <is>
          <t>3SC</t>
        </is>
      </c>
      <c r="F70" s="15" t="n">
        <v>0</v>
      </c>
      <c r="G70" s="15" t="n">
        <v>0</v>
      </c>
      <c r="H70" s="15" t="n">
        <v>0</v>
      </c>
      <c r="I70" s="15" t="n">
        <v>0</v>
      </c>
      <c r="J70" s="15" t="n">
        <v>0</v>
      </c>
      <c r="K70" s="15" t="n">
        <v>0</v>
      </c>
      <c r="L70" s="15" t="n">
        <v>0</v>
      </c>
      <c r="M70" s="15" t="n">
        <v>0</v>
      </c>
      <c r="N70" s="15" t="n">
        <v>0</v>
      </c>
      <c r="O70" s="15" t="n">
        <v>0</v>
      </c>
      <c r="P70" s="15" t="n">
        <v>0</v>
      </c>
      <c r="Q70" s="16" t="n">
        <v>1</v>
      </c>
      <c r="R70" s="15" t="n">
        <v>0</v>
      </c>
      <c r="S70" s="15" t="n">
        <v>0</v>
      </c>
      <c r="T70" s="15" t="n">
        <v>0</v>
      </c>
      <c r="U70" s="15" t="n">
        <v>0</v>
      </c>
      <c r="V70" s="15" t="n">
        <v>0</v>
      </c>
      <c r="W70" s="15" t="n">
        <v>0</v>
      </c>
      <c r="X70" s="15" t="n">
        <v>0</v>
      </c>
      <c r="Y70" s="15" t="n">
        <v>0</v>
      </c>
      <c r="Z70" s="15" t="n">
        <v>0</v>
      </c>
      <c r="AA70" s="15" t="n">
        <v>0</v>
      </c>
      <c r="AB70" s="15" t="n">
        <v>0</v>
      </c>
      <c r="AC70" s="17" t="n">
        <v>1</v>
      </c>
    </row>
    <row r="71" ht="15" customHeight="1">
      <c r="A71" s="15" t="n">
        <v>69</v>
      </c>
      <c r="B71" s="15" t="inlineStr">
        <is>
          <t>03672-2013</t>
        </is>
      </c>
      <c r="C71" s="15" t="inlineStr">
        <is>
          <t>Pre-2019</t>
        </is>
      </c>
      <c r="D71" s="15" t="inlineStr">
        <is>
          <t>2019</t>
        </is>
      </c>
      <c r="E71" s="15" t="inlineStr">
        <is>
          <t>2SC</t>
        </is>
      </c>
      <c r="F71" s="15" t="n">
        <v>0</v>
      </c>
      <c r="G71" s="15" t="n">
        <v>0</v>
      </c>
      <c r="H71" s="15" t="n">
        <v>0</v>
      </c>
      <c r="I71" s="15" t="n">
        <v>0</v>
      </c>
      <c r="J71" s="15" t="n">
        <v>0</v>
      </c>
      <c r="K71" s="15" t="n">
        <v>0</v>
      </c>
      <c r="L71" s="15" t="n">
        <v>0</v>
      </c>
      <c r="M71" s="15" t="n">
        <v>0</v>
      </c>
      <c r="N71" s="15" t="n">
        <v>0</v>
      </c>
      <c r="O71" s="15" t="n">
        <v>0</v>
      </c>
      <c r="P71" s="15" t="n">
        <v>0</v>
      </c>
      <c r="Q71" s="15" t="n">
        <v>0</v>
      </c>
      <c r="R71" s="15" t="n">
        <v>0</v>
      </c>
      <c r="S71" s="15" t="n">
        <v>0</v>
      </c>
      <c r="T71" s="15" t="n">
        <v>0</v>
      </c>
      <c r="U71" s="15" t="n">
        <v>0</v>
      </c>
      <c r="V71" s="15" t="n">
        <v>0</v>
      </c>
      <c r="W71" s="15" t="n">
        <v>0</v>
      </c>
      <c r="X71" s="15" t="n">
        <v>0</v>
      </c>
      <c r="Y71" s="15" t="n">
        <v>0</v>
      </c>
      <c r="Z71" s="15" t="n">
        <v>0</v>
      </c>
      <c r="AA71" s="15" t="n">
        <v>0</v>
      </c>
      <c r="AB71" s="15" t="n">
        <v>0</v>
      </c>
      <c r="AC71" s="15" t="n">
        <v>0</v>
      </c>
    </row>
    <row r="72" ht="15" customHeight="1">
      <c r="A72" s="15" t="n">
        <v>70</v>
      </c>
      <c r="B72" s="15" t="inlineStr">
        <is>
          <t>03701-2023</t>
        </is>
      </c>
      <c r="C72" s="15" t="inlineStr">
        <is>
          <t>2024</t>
        </is>
      </c>
      <c r="D72" s="15" t="inlineStr">
        <is>
          <t>2025</t>
        </is>
      </c>
      <c r="E72" s="15" t="inlineStr">
        <is>
          <t>3SC</t>
        </is>
      </c>
      <c r="F72" s="15" t="n">
        <v>0</v>
      </c>
      <c r="G72" s="15" t="n">
        <v>0</v>
      </c>
      <c r="H72" s="15" t="n">
        <v>0</v>
      </c>
      <c r="I72" s="15" t="n">
        <v>0</v>
      </c>
      <c r="J72" s="15" t="n">
        <v>0</v>
      </c>
      <c r="K72" s="15" t="n">
        <v>0</v>
      </c>
      <c r="L72" s="15" t="n">
        <v>0</v>
      </c>
      <c r="M72" s="15" t="n">
        <v>0</v>
      </c>
      <c r="N72" s="15" t="n">
        <v>0</v>
      </c>
      <c r="O72" s="15" t="n">
        <v>0</v>
      </c>
      <c r="P72" s="15" t="n">
        <v>0</v>
      </c>
      <c r="Q72" s="16" t="n">
        <v>1</v>
      </c>
      <c r="R72" s="15" t="n">
        <v>0</v>
      </c>
      <c r="S72" s="15" t="n">
        <v>0</v>
      </c>
      <c r="T72" s="15" t="n">
        <v>0</v>
      </c>
      <c r="U72" s="15" t="n">
        <v>0</v>
      </c>
      <c r="V72" s="15" t="n">
        <v>0</v>
      </c>
      <c r="W72" s="15" t="n">
        <v>0</v>
      </c>
      <c r="X72" s="15" t="n">
        <v>0</v>
      </c>
      <c r="Y72" s="15" t="n">
        <v>0</v>
      </c>
      <c r="Z72" s="15" t="n">
        <v>0</v>
      </c>
      <c r="AA72" s="15" t="n">
        <v>0</v>
      </c>
      <c r="AB72" s="16" t="n">
        <v>1</v>
      </c>
      <c r="AC72" s="17" t="n">
        <v>2</v>
      </c>
    </row>
    <row r="73" ht="15" customHeight="1">
      <c r="A73" s="15" t="n">
        <v>71</v>
      </c>
      <c r="B73" s="15" t="inlineStr">
        <is>
          <t>03731-2015</t>
        </is>
      </c>
      <c r="C73" s="15" t="inlineStr">
        <is>
          <t>Matriz sumarísimos — anteriores a 2019</t>
        </is>
      </c>
      <c r="D73" s="15" t="inlineStr">
        <is>
          <t>2018</t>
        </is>
      </c>
      <c r="E73" s="15" t="inlineStr">
        <is>
          <t>1SC</t>
        </is>
      </c>
      <c r="F73" s="15" t="n">
        <v>0</v>
      </c>
      <c r="G73" s="15" t="n">
        <v>0</v>
      </c>
      <c r="H73" s="15" t="n">
        <v>0</v>
      </c>
      <c r="I73" s="15" t="n">
        <v>0</v>
      </c>
      <c r="J73" s="15" t="n">
        <v>0</v>
      </c>
      <c r="K73" s="15" t="n">
        <v>0</v>
      </c>
      <c r="L73" s="15" t="n">
        <v>0</v>
      </c>
      <c r="M73" s="15" t="n">
        <v>0</v>
      </c>
      <c r="N73" s="15" t="n">
        <v>0</v>
      </c>
      <c r="O73" s="15" t="n">
        <v>0</v>
      </c>
      <c r="P73" s="15" t="n">
        <v>0</v>
      </c>
      <c r="Q73" s="15" t="n">
        <v>0</v>
      </c>
      <c r="R73" s="15" t="n">
        <v>0</v>
      </c>
      <c r="S73" s="15" t="n">
        <v>0</v>
      </c>
      <c r="T73" s="15" t="n">
        <v>0</v>
      </c>
      <c r="U73" s="15" t="n">
        <v>0</v>
      </c>
      <c r="V73" s="15" t="n">
        <v>0</v>
      </c>
      <c r="W73" s="15" t="n">
        <v>0</v>
      </c>
      <c r="X73" s="15" t="n">
        <v>0</v>
      </c>
      <c r="Y73" s="15" t="n">
        <v>0</v>
      </c>
      <c r="Z73" s="15" t="n">
        <v>0</v>
      </c>
      <c r="AA73" s="16" t="n">
        <v>1</v>
      </c>
      <c r="AB73" s="15" t="n">
        <v>0</v>
      </c>
      <c r="AC73" s="17" t="n">
        <v>1</v>
      </c>
    </row>
    <row r="74" ht="15" customHeight="1">
      <c r="A74" s="15" t="n">
        <v>72</v>
      </c>
      <c r="B74" s="15" t="inlineStr">
        <is>
          <t>03754-2015</t>
        </is>
      </c>
      <c r="C74" s="15" t="inlineStr">
        <is>
          <t>Matriz sumarísimos — anteriores a 2019</t>
        </is>
      </c>
      <c r="D74" s="15" t="n"/>
      <c r="E74" s="15" t="n"/>
      <c r="F74" s="15" t="n">
        <v>0</v>
      </c>
      <c r="G74" s="15" t="n">
        <v>0</v>
      </c>
      <c r="H74" s="15" t="n">
        <v>0</v>
      </c>
      <c r="I74" s="15" t="n">
        <v>0</v>
      </c>
      <c r="J74" s="15" t="n">
        <v>0</v>
      </c>
      <c r="K74" s="15" t="n">
        <v>0</v>
      </c>
      <c r="L74" s="15" t="n">
        <v>0</v>
      </c>
      <c r="M74" s="15" t="n">
        <v>0</v>
      </c>
      <c r="N74" s="15" t="n">
        <v>0</v>
      </c>
      <c r="O74" s="15" t="n">
        <v>0</v>
      </c>
      <c r="P74" s="15" t="n">
        <v>0</v>
      </c>
      <c r="Q74" s="15" t="n">
        <v>0</v>
      </c>
      <c r="R74" s="15" t="n">
        <v>0</v>
      </c>
      <c r="S74" s="15" t="n">
        <v>0</v>
      </c>
      <c r="T74" s="15" t="n">
        <v>0</v>
      </c>
      <c r="U74" s="15" t="n">
        <v>0</v>
      </c>
      <c r="V74" s="15" t="n">
        <v>0</v>
      </c>
      <c r="W74" s="15" t="n">
        <v>0</v>
      </c>
      <c r="X74" s="15" t="n">
        <v>0</v>
      </c>
      <c r="Y74" s="15" t="n">
        <v>0</v>
      </c>
      <c r="Z74" s="15" t="n">
        <v>0</v>
      </c>
      <c r="AA74" s="15" t="n">
        <v>0</v>
      </c>
      <c r="AB74" s="15" t="n">
        <v>0</v>
      </c>
      <c r="AC74" s="15" t="n">
        <v>0</v>
      </c>
    </row>
    <row r="75" ht="15" customHeight="1">
      <c r="A75" s="15" t="n">
        <v>73</v>
      </c>
      <c r="B75" s="15" t="inlineStr">
        <is>
          <t>03770-2019</t>
        </is>
      </c>
      <c r="C75" s="15" t="inlineStr">
        <is>
          <t>Llamoja — SV de control (2021-2023)</t>
        </is>
      </c>
      <c r="D75" s="15" t="inlineStr">
        <is>
          <t>2024</t>
        </is>
      </c>
      <c r="E75" s="15" t="inlineStr">
        <is>
          <t>1SC</t>
        </is>
      </c>
      <c r="F75" s="15" t="n">
        <v>0</v>
      </c>
      <c r="G75" s="15" t="n">
        <v>0</v>
      </c>
      <c r="H75" s="15" t="n">
        <v>0</v>
      </c>
      <c r="I75" s="15" t="n">
        <v>0</v>
      </c>
      <c r="J75" s="15" t="n">
        <v>0</v>
      </c>
      <c r="K75" s="15" t="n">
        <v>0</v>
      </c>
      <c r="L75" s="16" t="n">
        <v>1</v>
      </c>
      <c r="M75" s="15" t="n">
        <v>0</v>
      </c>
      <c r="N75" s="15" t="n">
        <v>0</v>
      </c>
      <c r="O75" s="15" t="n">
        <v>0</v>
      </c>
      <c r="P75" s="15" t="n">
        <v>0</v>
      </c>
      <c r="Q75" s="15" t="n">
        <v>0</v>
      </c>
      <c r="R75" s="15" t="n">
        <v>0</v>
      </c>
      <c r="S75" s="15" t="n">
        <v>0</v>
      </c>
      <c r="T75" s="15" t="n">
        <v>0</v>
      </c>
      <c r="U75" s="15" t="n">
        <v>0</v>
      </c>
      <c r="V75" s="15" t="n">
        <v>0</v>
      </c>
      <c r="W75" s="15" t="n">
        <v>0</v>
      </c>
      <c r="X75" s="15" t="n">
        <v>0</v>
      </c>
      <c r="Y75" s="15" t="n">
        <v>0</v>
      </c>
      <c r="Z75" s="15" t="n">
        <v>0</v>
      </c>
      <c r="AA75" s="16" t="n">
        <v>1</v>
      </c>
      <c r="AB75" s="15" t="n">
        <v>0</v>
      </c>
      <c r="AC75" s="17" t="n">
        <v>2</v>
      </c>
    </row>
    <row r="76" ht="15" customHeight="1">
      <c r="A76" s="15" t="n">
        <v>74</v>
      </c>
      <c r="B76" s="15" t="inlineStr">
        <is>
          <t>03819-2022</t>
        </is>
      </c>
      <c r="C76" s="15" t="inlineStr">
        <is>
          <t>Matriz sumarísimos — grupo 2024</t>
        </is>
      </c>
      <c r="D76" s="15" t="inlineStr">
        <is>
          <t>2024</t>
        </is>
      </c>
      <c r="E76" s="15" t="inlineStr">
        <is>
          <t>2SC</t>
        </is>
      </c>
      <c r="F76" s="15" t="n">
        <v>0</v>
      </c>
      <c r="G76" s="15" t="n">
        <v>0</v>
      </c>
      <c r="H76" s="15" t="n">
        <v>0</v>
      </c>
      <c r="I76" s="15" t="n">
        <v>0</v>
      </c>
      <c r="J76" s="15" t="n">
        <v>0</v>
      </c>
      <c r="K76" s="15" t="n">
        <v>0</v>
      </c>
      <c r="L76" s="15" t="n">
        <v>0</v>
      </c>
      <c r="M76" s="15" t="n">
        <v>0</v>
      </c>
      <c r="N76" s="15" t="n">
        <v>0</v>
      </c>
      <c r="O76" s="15" t="n">
        <v>0</v>
      </c>
      <c r="P76" s="15" t="n">
        <v>0</v>
      </c>
      <c r="Q76" s="16" t="n">
        <v>1</v>
      </c>
      <c r="R76" s="15" t="n">
        <v>0</v>
      </c>
      <c r="S76" s="15" t="n">
        <v>0</v>
      </c>
      <c r="T76" s="15" t="n">
        <v>0</v>
      </c>
      <c r="U76" s="15" t="n">
        <v>0</v>
      </c>
      <c r="V76" s="15" t="n">
        <v>0</v>
      </c>
      <c r="W76" s="15" t="n">
        <v>0</v>
      </c>
      <c r="X76" s="15" t="n">
        <v>0</v>
      </c>
      <c r="Y76" s="15" t="n">
        <v>0</v>
      </c>
      <c r="Z76" s="15" t="n">
        <v>0</v>
      </c>
      <c r="AA76" s="15" t="n">
        <v>0</v>
      </c>
      <c r="AB76" s="16" t="n">
        <v>1</v>
      </c>
      <c r="AC76" s="17" t="n">
        <v>2</v>
      </c>
    </row>
    <row r="77" ht="15" customHeight="1">
      <c r="A77" s="15" t="n">
        <v>75</v>
      </c>
      <c r="B77" s="15" t="inlineStr">
        <is>
          <t>03996-2023</t>
        </is>
      </c>
      <c r="C77" s="15" t="inlineStr">
        <is>
          <t>Llamoja — SV de control (2021-2023)</t>
        </is>
      </c>
      <c r="D77" s="15" t="inlineStr">
        <is>
          <t>2025</t>
        </is>
      </c>
      <c r="E77" s="15" t="inlineStr">
        <is>
          <t>1SC</t>
        </is>
      </c>
      <c r="F77" s="15" t="n">
        <v>0</v>
      </c>
      <c r="G77" s="15" t="n">
        <v>0</v>
      </c>
      <c r="H77" s="15" t="n">
        <v>0</v>
      </c>
      <c r="I77" s="15" t="n">
        <v>0</v>
      </c>
      <c r="J77" s="15" t="n">
        <v>0</v>
      </c>
      <c r="K77" s="16" t="n">
        <v>1</v>
      </c>
      <c r="L77" s="15" t="n">
        <v>0</v>
      </c>
      <c r="M77" s="15" t="n">
        <v>0</v>
      </c>
      <c r="N77" s="16" t="n">
        <v>1</v>
      </c>
      <c r="O77" s="15" t="n">
        <v>0</v>
      </c>
      <c r="P77" s="15" t="n">
        <v>0</v>
      </c>
      <c r="Q77" s="15" t="n">
        <v>0</v>
      </c>
      <c r="R77" s="15" t="n">
        <v>0</v>
      </c>
      <c r="S77" s="15" t="n">
        <v>0</v>
      </c>
      <c r="T77" s="15" t="n">
        <v>0</v>
      </c>
      <c r="U77" s="15" t="n">
        <v>0</v>
      </c>
      <c r="V77" s="15" t="n">
        <v>0</v>
      </c>
      <c r="W77" s="15" t="n">
        <v>0</v>
      </c>
      <c r="X77" s="15" t="n">
        <v>0</v>
      </c>
      <c r="Y77" s="15" t="n">
        <v>0</v>
      </c>
      <c r="Z77" s="15" t="n">
        <v>0</v>
      </c>
      <c r="AA77" s="15" t="n">
        <v>0</v>
      </c>
      <c r="AB77" s="15" t="n">
        <v>0</v>
      </c>
      <c r="AC77" s="17" t="n">
        <v>2</v>
      </c>
    </row>
    <row r="78" ht="15" customHeight="1">
      <c r="A78" s="15" t="n">
        <v>76</v>
      </c>
      <c r="B78" s="15" t="inlineStr">
        <is>
          <t>04008-2010</t>
        </is>
      </c>
      <c r="C78" s="15" t="inlineStr">
        <is>
          <t>Pre-2019</t>
        </is>
      </c>
      <c r="D78" s="15" t="inlineStr">
        <is>
          <t>2019</t>
        </is>
      </c>
      <c r="E78" s="15" t="inlineStr">
        <is>
          <t>2SC</t>
        </is>
      </c>
      <c r="F78" s="15" t="n">
        <v>0</v>
      </c>
      <c r="G78" s="15" t="n">
        <v>0</v>
      </c>
      <c r="H78" s="15" t="n">
        <v>0</v>
      </c>
      <c r="I78" s="15" t="n">
        <v>0</v>
      </c>
      <c r="J78" s="15" t="n">
        <v>0</v>
      </c>
      <c r="K78" s="15" t="n">
        <v>0</v>
      </c>
      <c r="L78" s="15" t="n">
        <v>0</v>
      </c>
      <c r="M78" s="15" t="n">
        <v>0</v>
      </c>
      <c r="N78" s="16" t="n">
        <v>1</v>
      </c>
      <c r="O78" s="16" t="n">
        <v>1</v>
      </c>
      <c r="P78" s="15" t="n">
        <v>0</v>
      </c>
      <c r="Q78" s="15" t="n">
        <v>0</v>
      </c>
      <c r="R78" s="15" t="n">
        <v>0</v>
      </c>
      <c r="S78" s="15" t="n">
        <v>0</v>
      </c>
      <c r="T78" s="15" t="n">
        <v>0</v>
      </c>
      <c r="U78" s="15" t="n">
        <v>0</v>
      </c>
      <c r="V78" s="15" t="n">
        <v>0</v>
      </c>
      <c r="W78" s="15" t="n">
        <v>0</v>
      </c>
      <c r="X78" s="15" t="n">
        <v>0</v>
      </c>
      <c r="Y78" s="15" t="n">
        <v>0</v>
      </c>
      <c r="Z78" s="15" t="n">
        <v>0</v>
      </c>
      <c r="AA78" s="15" t="n">
        <v>0</v>
      </c>
      <c r="AB78" s="15" t="n">
        <v>0</v>
      </c>
      <c r="AC78" s="17" t="n">
        <v>2</v>
      </c>
    </row>
    <row r="79" ht="15" customHeight="1">
      <c r="A79" s="15" t="n">
        <v>77</v>
      </c>
      <c r="B79" s="15" t="inlineStr">
        <is>
          <t>04033-2016</t>
        </is>
      </c>
      <c r="C79" s="15" t="inlineStr">
        <is>
          <t>Matriz sumarísimos — anteriores a 2019</t>
        </is>
      </c>
      <c r="D79" s="15" t="inlineStr">
        <is>
          <t>2018</t>
        </is>
      </c>
      <c r="E79" s="15" t="inlineStr">
        <is>
          <t>1SC</t>
        </is>
      </c>
      <c r="F79" s="15" t="n">
        <v>0</v>
      </c>
      <c r="G79" s="15" t="n">
        <v>0</v>
      </c>
      <c r="H79" s="15" t="n">
        <v>0</v>
      </c>
      <c r="I79" s="15" t="n">
        <v>0</v>
      </c>
      <c r="J79" s="15" t="n">
        <v>0</v>
      </c>
      <c r="K79" s="15" t="n">
        <v>0</v>
      </c>
      <c r="L79" s="15" t="n">
        <v>0</v>
      </c>
      <c r="M79" s="15" t="n">
        <v>0</v>
      </c>
      <c r="N79" s="15" t="n">
        <v>0</v>
      </c>
      <c r="O79" s="15" t="n">
        <v>0</v>
      </c>
      <c r="P79" s="15" t="n">
        <v>0</v>
      </c>
      <c r="Q79" s="15" t="n">
        <v>0</v>
      </c>
      <c r="R79" s="15" t="n">
        <v>0</v>
      </c>
      <c r="S79" s="15" t="n">
        <v>0</v>
      </c>
      <c r="T79" s="15" t="n">
        <v>0</v>
      </c>
      <c r="U79" s="15" t="n">
        <v>0</v>
      </c>
      <c r="V79" s="15" t="n">
        <v>0</v>
      </c>
      <c r="W79" s="15" t="n">
        <v>0</v>
      </c>
      <c r="X79" s="15" t="n">
        <v>0</v>
      </c>
      <c r="Y79" s="15" t="n">
        <v>0</v>
      </c>
      <c r="Z79" s="15" t="n">
        <v>0</v>
      </c>
      <c r="AA79" s="15" t="n">
        <v>0</v>
      </c>
      <c r="AB79" s="15" t="n">
        <v>0</v>
      </c>
      <c r="AC79" s="15" t="n">
        <v>0</v>
      </c>
    </row>
    <row r="80" ht="15" customHeight="1">
      <c r="A80" s="15" t="n">
        <v>78</v>
      </c>
      <c r="B80" s="15" t="inlineStr">
        <is>
          <t>04034-2022</t>
        </is>
      </c>
      <c r="C80" s="15" t="inlineStr">
        <is>
          <t>Llamoja — SV de control (2021-2023)</t>
        </is>
      </c>
      <c r="D80" s="15" t="inlineStr">
        <is>
          <t>2025</t>
        </is>
      </c>
      <c r="E80" s="15" t="inlineStr">
        <is>
          <t>2SC</t>
        </is>
      </c>
      <c r="F80" s="15" t="n">
        <v>0</v>
      </c>
      <c r="G80" s="15" t="n">
        <v>0</v>
      </c>
      <c r="H80" s="15" t="n">
        <v>0</v>
      </c>
      <c r="I80" s="15" t="n">
        <v>0</v>
      </c>
      <c r="J80" s="15" t="n">
        <v>0</v>
      </c>
      <c r="K80" s="15" t="n">
        <v>0</v>
      </c>
      <c r="L80" s="15" t="n">
        <v>0</v>
      </c>
      <c r="M80" s="15" t="n">
        <v>0</v>
      </c>
      <c r="N80" s="15" t="n">
        <v>0</v>
      </c>
      <c r="O80" s="15" t="n">
        <v>0</v>
      </c>
      <c r="P80" s="15" t="n">
        <v>0</v>
      </c>
      <c r="Q80" s="15" t="n">
        <v>0</v>
      </c>
      <c r="R80" s="16" t="n">
        <v>1</v>
      </c>
      <c r="S80" s="15" t="n">
        <v>0</v>
      </c>
      <c r="T80" s="15" t="n">
        <v>0</v>
      </c>
      <c r="U80" s="15" t="n">
        <v>0</v>
      </c>
      <c r="V80" s="15" t="n">
        <v>0</v>
      </c>
      <c r="W80" s="15" t="n">
        <v>0</v>
      </c>
      <c r="X80" s="15" t="n">
        <v>0</v>
      </c>
      <c r="Y80" s="15" t="n">
        <v>0</v>
      </c>
      <c r="Z80" s="15" t="n">
        <v>0</v>
      </c>
      <c r="AA80" s="15" t="n">
        <v>0</v>
      </c>
      <c r="AB80" s="15" t="n">
        <v>0</v>
      </c>
      <c r="AC80" s="17" t="n">
        <v>1</v>
      </c>
    </row>
    <row r="81" ht="15" customHeight="1">
      <c r="A81" s="15" t="n">
        <v>79</v>
      </c>
      <c r="B81" s="15" t="inlineStr">
        <is>
          <t>04040-2015</t>
        </is>
      </c>
      <c r="C81" s="15" t="inlineStr">
        <is>
          <t>Pre-2019</t>
        </is>
      </c>
      <c r="D81" s="15" t="inlineStr">
        <is>
          <t>2019</t>
        </is>
      </c>
      <c r="E81" s="15" t="inlineStr">
        <is>
          <t>2SC</t>
        </is>
      </c>
      <c r="F81" s="15" t="n">
        <v>0</v>
      </c>
      <c r="G81" s="15" t="n">
        <v>0</v>
      </c>
      <c r="H81" s="15" t="n">
        <v>0</v>
      </c>
      <c r="I81" s="15" t="n">
        <v>0</v>
      </c>
      <c r="J81" s="15" t="n">
        <v>0</v>
      </c>
      <c r="K81" s="15" t="n">
        <v>0</v>
      </c>
      <c r="L81" s="15" t="n">
        <v>0</v>
      </c>
      <c r="M81" s="15" t="n">
        <v>0</v>
      </c>
      <c r="N81" s="15" t="n">
        <v>0</v>
      </c>
      <c r="O81" s="15" t="n">
        <v>0</v>
      </c>
      <c r="P81" s="15" t="n">
        <v>0</v>
      </c>
      <c r="Q81" s="15" t="n">
        <v>0</v>
      </c>
      <c r="R81" s="16" t="n">
        <v>1</v>
      </c>
      <c r="S81" s="15" t="n">
        <v>0</v>
      </c>
      <c r="T81" s="15" t="n">
        <v>0</v>
      </c>
      <c r="U81" s="15" t="n">
        <v>0</v>
      </c>
      <c r="V81" s="15" t="n">
        <v>0</v>
      </c>
      <c r="W81" s="15" t="n">
        <v>0</v>
      </c>
      <c r="X81" s="15" t="n">
        <v>0</v>
      </c>
      <c r="Y81" s="15" t="n">
        <v>0</v>
      </c>
      <c r="Z81" s="15" t="n">
        <v>0</v>
      </c>
      <c r="AA81" s="15" t="n">
        <v>0</v>
      </c>
      <c r="AB81" s="15" t="n">
        <v>0</v>
      </c>
      <c r="AC81" s="17" t="n">
        <v>1</v>
      </c>
    </row>
    <row r="82" ht="15" customHeight="1">
      <c r="A82" s="15" t="n">
        <v>80</v>
      </c>
      <c r="B82" s="15" t="inlineStr">
        <is>
          <t>04049-2015</t>
        </is>
      </c>
      <c r="C82" s="15" t="inlineStr">
        <is>
          <t>Matriz sumarísimos — anteriores a 2019</t>
        </is>
      </c>
      <c r="D82" s="15" t="inlineStr">
        <is>
          <t>2019</t>
        </is>
      </c>
      <c r="E82" s="15" t="inlineStr">
        <is>
          <t>2SC</t>
        </is>
      </c>
      <c r="F82" s="15" t="n">
        <v>0</v>
      </c>
      <c r="G82" s="15" t="n">
        <v>0</v>
      </c>
      <c r="H82" s="15" t="n">
        <v>0</v>
      </c>
      <c r="I82" s="15" t="n">
        <v>0</v>
      </c>
      <c r="J82" s="15" t="n">
        <v>0</v>
      </c>
      <c r="K82" s="15" t="n">
        <v>0</v>
      </c>
      <c r="L82" s="15" t="n">
        <v>0</v>
      </c>
      <c r="M82" s="15" t="n">
        <v>0</v>
      </c>
      <c r="N82" s="15" t="n">
        <v>0</v>
      </c>
      <c r="O82" s="15" t="n">
        <v>0</v>
      </c>
      <c r="P82" s="15" t="n">
        <v>0</v>
      </c>
      <c r="Q82" s="15" t="n">
        <v>0</v>
      </c>
      <c r="R82" s="15" t="n">
        <v>0</v>
      </c>
      <c r="S82" s="15" t="n">
        <v>0</v>
      </c>
      <c r="T82" s="15" t="n">
        <v>0</v>
      </c>
      <c r="U82" s="15" t="n">
        <v>0</v>
      </c>
      <c r="V82" s="15" t="n">
        <v>0</v>
      </c>
      <c r="W82" s="15" t="n">
        <v>0</v>
      </c>
      <c r="X82" s="15" t="n">
        <v>0</v>
      </c>
      <c r="Y82" s="15" t="n">
        <v>0</v>
      </c>
      <c r="Z82" s="15" t="n">
        <v>0</v>
      </c>
      <c r="AA82" s="15" t="n">
        <v>0</v>
      </c>
      <c r="AB82" s="15" t="n">
        <v>0</v>
      </c>
      <c r="AC82" s="15" t="n">
        <v>0</v>
      </c>
    </row>
    <row r="83" ht="15" customHeight="1">
      <c r="A83" s="15" t="n">
        <v>81</v>
      </c>
      <c r="B83" s="15" t="inlineStr">
        <is>
          <t>04109-2011</t>
        </is>
      </c>
      <c r="C83" s="15" t="inlineStr">
        <is>
          <t>Matriz sumarísimos — anteriores a 2019</t>
        </is>
      </c>
      <c r="D83" s="15" t="inlineStr">
        <is>
          <t>2019</t>
        </is>
      </c>
      <c r="E83" s="15" t="inlineStr">
        <is>
          <t>2SC</t>
        </is>
      </c>
      <c r="F83" s="15" t="n">
        <v>0</v>
      </c>
      <c r="G83" s="15" t="n">
        <v>0</v>
      </c>
      <c r="H83" s="15" t="n">
        <v>0</v>
      </c>
      <c r="I83" s="15" t="n">
        <v>0</v>
      </c>
      <c r="J83" s="15" t="n">
        <v>0</v>
      </c>
      <c r="K83" s="15" t="n">
        <v>0</v>
      </c>
      <c r="L83" s="15" t="n">
        <v>0</v>
      </c>
      <c r="M83" s="15" t="n">
        <v>0</v>
      </c>
      <c r="N83" s="15" t="n">
        <v>0</v>
      </c>
      <c r="O83" s="15" t="n">
        <v>0</v>
      </c>
      <c r="P83" s="15" t="n">
        <v>0</v>
      </c>
      <c r="Q83" s="15" t="n">
        <v>0</v>
      </c>
      <c r="R83" s="15" t="n">
        <v>0</v>
      </c>
      <c r="S83" s="15" t="n">
        <v>0</v>
      </c>
      <c r="T83" s="15" t="n">
        <v>0</v>
      </c>
      <c r="U83" s="15" t="n">
        <v>0</v>
      </c>
      <c r="V83" s="15" t="n">
        <v>0</v>
      </c>
      <c r="W83" s="15" t="n">
        <v>0</v>
      </c>
      <c r="X83" s="15" t="n">
        <v>0</v>
      </c>
      <c r="Y83" s="15" t="n">
        <v>0</v>
      </c>
      <c r="Z83" s="15" t="n">
        <v>0</v>
      </c>
      <c r="AA83" s="15" t="n">
        <v>0</v>
      </c>
      <c r="AB83" s="15" t="n">
        <v>0</v>
      </c>
      <c r="AC83" s="15" t="n">
        <v>0</v>
      </c>
    </row>
    <row r="84" ht="15" customHeight="1">
      <c r="A84" s="15" t="n">
        <v>82</v>
      </c>
      <c r="B84" s="15" t="inlineStr">
        <is>
          <t>04126-2021</t>
        </is>
      </c>
      <c r="C84" s="15" t="inlineStr">
        <is>
          <t>2024</t>
        </is>
      </c>
      <c r="D84" s="15" t="inlineStr">
        <is>
          <t>2024</t>
        </is>
      </c>
      <c r="E84" s="15" t="inlineStr">
        <is>
          <t>1SC</t>
        </is>
      </c>
      <c r="F84" s="15" t="n">
        <v>0</v>
      </c>
      <c r="G84" s="15" t="n">
        <v>0</v>
      </c>
      <c r="H84" s="15" t="n">
        <v>0</v>
      </c>
      <c r="I84" s="15" t="n">
        <v>0</v>
      </c>
      <c r="J84" s="15" t="n">
        <v>0</v>
      </c>
      <c r="K84" s="15" t="n">
        <v>0</v>
      </c>
      <c r="L84" s="15" t="n">
        <v>0</v>
      </c>
      <c r="M84" s="15" t="n">
        <v>0</v>
      </c>
      <c r="N84" s="15" t="n">
        <v>0</v>
      </c>
      <c r="O84" s="15" t="n">
        <v>0</v>
      </c>
      <c r="P84" s="15" t="n">
        <v>0</v>
      </c>
      <c r="Q84" s="15" t="n">
        <v>0</v>
      </c>
      <c r="R84" s="15" t="n">
        <v>0</v>
      </c>
      <c r="S84" s="15" t="n">
        <v>0</v>
      </c>
      <c r="T84" s="15" t="n">
        <v>0</v>
      </c>
      <c r="U84" s="16" t="n">
        <v>1</v>
      </c>
      <c r="V84" s="15" t="n">
        <v>0</v>
      </c>
      <c r="W84" s="15" t="n">
        <v>0</v>
      </c>
      <c r="X84" s="15" t="n">
        <v>0</v>
      </c>
      <c r="Y84" s="15" t="n">
        <v>0</v>
      </c>
      <c r="Z84" s="15" t="n">
        <v>0</v>
      </c>
      <c r="AA84" s="15" t="n">
        <v>0</v>
      </c>
      <c r="AB84" s="16" t="n">
        <v>1</v>
      </c>
      <c r="AC84" s="17" t="n">
        <v>2</v>
      </c>
    </row>
    <row r="85" ht="15" customHeight="1">
      <c r="A85" s="15" t="n">
        <v>83</v>
      </c>
      <c r="B85" s="15" t="inlineStr">
        <is>
          <t>04138-2022</t>
        </is>
      </c>
      <c r="C85" s="15" t="inlineStr">
        <is>
          <t>Matriz sumarísimos — grupo 2024</t>
        </is>
      </c>
      <c r="D85" s="15" t="inlineStr">
        <is>
          <t>2025</t>
        </is>
      </c>
      <c r="E85" s="15" t="inlineStr">
        <is>
          <t>2SC</t>
        </is>
      </c>
      <c r="F85" s="15" t="n">
        <v>0</v>
      </c>
      <c r="G85" s="15" t="n">
        <v>0</v>
      </c>
      <c r="H85" s="15" t="n">
        <v>0</v>
      </c>
      <c r="I85" s="15" t="n">
        <v>0</v>
      </c>
      <c r="J85" s="15" t="n">
        <v>0</v>
      </c>
      <c r="K85" s="15" t="n">
        <v>0</v>
      </c>
      <c r="L85" s="15" t="n">
        <v>0</v>
      </c>
      <c r="M85" s="15" t="n">
        <v>0</v>
      </c>
      <c r="N85" s="15" t="n">
        <v>0</v>
      </c>
      <c r="O85" s="15" t="n">
        <v>0</v>
      </c>
      <c r="P85" s="15" t="n">
        <v>0</v>
      </c>
      <c r="Q85" s="16" t="n">
        <v>1</v>
      </c>
      <c r="R85" s="15" t="n">
        <v>0</v>
      </c>
      <c r="S85" s="15" t="n">
        <v>0</v>
      </c>
      <c r="T85" s="15" t="n">
        <v>0</v>
      </c>
      <c r="U85" s="15" t="n">
        <v>0</v>
      </c>
      <c r="V85" s="15" t="n">
        <v>0</v>
      </c>
      <c r="W85" s="15" t="n">
        <v>0</v>
      </c>
      <c r="X85" s="15" t="n">
        <v>0</v>
      </c>
      <c r="Y85" s="15" t="n">
        <v>0</v>
      </c>
      <c r="Z85" s="15" t="n">
        <v>0</v>
      </c>
      <c r="AA85" s="15" t="n">
        <v>0</v>
      </c>
      <c r="AB85" s="15" t="n">
        <v>0</v>
      </c>
      <c r="AC85" s="17" t="n">
        <v>1</v>
      </c>
    </row>
    <row r="86" ht="15" customHeight="1">
      <c r="A86" s="15" t="n">
        <v>84</v>
      </c>
      <c r="B86" s="15" t="inlineStr">
        <is>
          <t>04154-2022</t>
        </is>
      </c>
      <c r="C86" s="15" t="inlineStr">
        <is>
          <t>Llamoja — SV de control (2021-2023)</t>
        </is>
      </c>
      <c r="D86" s="15" t="inlineStr">
        <is>
          <t>2024</t>
        </is>
      </c>
      <c r="E86" s="15" t="inlineStr">
        <is>
          <t>2SC</t>
        </is>
      </c>
      <c r="F86" s="15" t="n">
        <v>0</v>
      </c>
      <c r="G86" s="15" t="n">
        <v>0</v>
      </c>
      <c r="H86" s="15" t="n">
        <v>0</v>
      </c>
      <c r="I86" s="15" t="n">
        <v>0</v>
      </c>
      <c r="J86" s="15" t="n">
        <v>0</v>
      </c>
      <c r="K86" s="15" t="n">
        <v>0</v>
      </c>
      <c r="L86" s="15" t="n">
        <v>0</v>
      </c>
      <c r="M86" s="15" t="n">
        <v>0</v>
      </c>
      <c r="N86" s="15" t="n">
        <v>0</v>
      </c>
      <c r="O86" s="15" t="n">
        <v>0</v>
      </c>
      <c r="P86" s="15" t="n">
        <v>0</v>
      </c>
      <c r="Q86" s="15" t="n">
        <v>0</v>
      </c>
      <c r="R86" s="16" t="n">
        <v>1</v>
      </c>
      <c r="S86" s="16" t="n">
        <v>1</v>
      </c>
      <c r="T86" s="15" t="n">
        <v>0</v>
      </c>
      <c r="U86" s="15" t="n">
        <v>0</v>
      </c>
      <c r="V86" s="15" t="n">
        <v>0</v>
      </c>
      <c r="W86" s="15" t="n">
        <v>0</v>
      </c>
      <c r="X86" s="15" t="n">
        <v>0</v>
      </c>
      <c r="Y86" s="15" t="n">
        <v>0</v>
      </c>
      <c r="Z86" s="15" t="n">
        <v>0</v>
      </c>
      <c r="AA86" s="15" t="n">
        <v>0</v>
      </c>
      <c r="AB86" s="15" t="n">
        <v>0</v>
      </c>
      <c r="AC86" s="17" t="n">
        <v>2</v>
      </c>
    </row>
    <row r="87" ht="15" customHeight="1">
      <c r="A87" s="15" t="n">
        <v>85</v>
      </c>
      <c r="B87" s="15" t="inlineStr">
        <is>
          <t>04275-2015</t>
        </is>
      </c>
      <c r="C87" s="15" t="inlineStr">
        <is>
          <t>Pre-2019</t>
        </is>
      </c>
      <c r="D87" s="15" t="inlineStr">
        <is>
          <t>2019</t>
        </is>
      </c>
      <c r="E87" s="15" t="inlineStr">
        <is>
          <t>2SC</t>
        </is>
      </c>
      <c r="F87" s="15" t="n">
        <v>0</v>
      </c>
      <c r="G87" s="15" t="n">
        <v>0</v>
      </c>
      <c r="H87" s="15" t="n">
        <v>0</v>
      </c>
      <c r="I87" s="15" t="n">
        <v>0</v>
      </c>
      <c r="J87" s="15" t="n">
        <v>0</v>
      </c>
      <c r="K87" s="15" t="n">
        <v>0</v>
      </c>
      <c r="L87" s="15" t="n">
        <v>0</v>
      </c>
      <c r="M87" s="15" t="n">
        <v>0</v>
      </c>
      <c r="N87" s="15" t="n">
        <v>0</v>
      </c>
      <c r="O87" s="15" t="n">
        <v>0</v>
      </c>
      <c r="P87" s="15" t="n">
        <v>0</v>
      </c>
      <c r="Q87" s="16" t="n">
        <v>1</v>
      </c>
      <c r="R87" s="15" t="n">
        <v>0</v>
      </c>
      <c r="S87" s="15" t="n">
        <v>0</v>
      </c>
      <c r="T87" s="15" t="n">
        <v>0</v>
      </c>
      <c r="U87" s="15" t="n">
        <v>0</v>
      </c>
      <c r="V87" s="15" t="n">
        <v>0</v>
      </c>
      <c r="W87" s="15" t="n">
        <v>0</v>
      </c>
      <c r="X87" s="15" t="n">
        <v>0</v>
      </c>
      <c r="Y87" s="15" t="n">
        <v>0</v>
      </c>
      <c r="Z87" s="16" t="n">
        <v>1</v>
      </c>
      <c r="AA87" s="15" t="n">
        <v>0</v>
      </c>
      <c r="AB87" s="15" t="n">
        <v>0</v>
      </c>
      <c r="AC87" s="17" t="n">
        <v>2</v>
      </c>
    </row>
    <row r="88" ht="15" customHeight="1">
      <c r="A88" s="15" t="n">
        <v>86</v>
      </c>
      <c r="B88" s="15" t="inlineStr">
        <is>
          <t>04280-2017</t>
        </is>
      </c>
      <c r="C88" s="15" t="inlineStr">
        <is>
          <t>Pre-2019</t>
        </is>
      </c>
      <c r="D88" s="15" t="inlineStr">
        <is>
          <t>2019</t>
        </is>
      </c>
      <c r="E88" s="15" t="inlineStr">
        <is>
          <t>3SC</t>
        </is>
      </c>
      <c r="F88" s="15" t="n">
        <v>0</v>
      </c>
      <c r="G88" s="15" t="n">
        <v>0</v>
      </c>
      <c r="H88" s="15" t="n">
        <v>0</v>
      </c>
      <c r="I88" s="15" t="n">
        <v>0</v>
      </c>
      <c r="J88" s="15" t="n">
        <v>0</v>
      </c>
      <c r="K88" s="15" t="n">
        <v>0</v>
      </c>
      <c r="L88" s="15" t="n">
        <v>0</v>
      </c>
      <c r="M88" s="15" t="n">
        <v>0</v>
      </c>
      <c r="N88" s="15" t="n">
        <v>0</v>
      </c>
      <c r="O88" s="15" t="n">
        <v>0</v>
      </c>
      <c r="P88" s="15" t="n">
        <v>0</v>
      </c>
      <c r="Q88" s="15" t="n">
        <v>0</v>
      </c>
      <c r="R88" s="15" t="n">
        <v>0</v>
      </c>
      <c r="S88" s="15" t="n">
        <v>0</v>
      </c>
      <c r="T88" s="15" t="n">
        <v>0</v>
      </c>
      <c r="U88" s="15" t="n">
        <v>0</v>
      </c>
      <c r="V88" s="15" t="n">
        <v>0</v>
      </c>
      <c r="W88" s="15" t="n">
        <v>0</v>
      </c>
      <c r="X88" s="15" t="n">
        <v>0</v>
      </c>
      <c r="Y88" s="15" t="n">
        <v>0</v>
      </c>
      <c r="Z88" s="15" t="n">
        <v>0</v>
      </c>
      <c r="AA88" s="15" t="n">
        <v>0</v>
      </c>
      <c r="AB88" s="15" t="n">
        <v>0</v>
      </c>
      <c r="AC88" s="15" t="n">
        <v>0</v>
      </c>
    </row>
    <row r="89" ht="15" customHeight="1">
      <c r="A89" s="15" t="n">
        <v>87</v>
      </c>
      <c r="B89" s="15" t="inlineStr">
        <is>
          <t>04352-2014</t>
        </is>
      </c>
      <c r="C89" s="15" t="inlineStr">
        <is>
          <t>Pre-2019</t>
        </is>
      </c>
      <c r="D89" s="15" t="inlineStr">
        <is>
          <t>2018</t>
        </is>
      </c>
      <c r="E89" s="15" t="inlineStr">
        <is>
          <t>1SC</t>
        </is>
      </c>
      <c r="F89" s="15" t="n">
        <v>0</v>
      </c>
      <c r="G89" s="15" t="n">
        <v>0</v>
      </c>
      <c r="H89" s="15" t="n">
        <v>0</v>
      </c>
      <c r="I89" s="15" t="n">
        <v>0</v>
      </c>
      <c r="J89" s="15" t="n">
        <v>0</v>
      </c>
      <c r="K89" s="15" t="n">
        <v>0</v>
      </c>
      <c r="L89" s="15" t="n">
        <v>0</v>
      </c>
      <c r="M89" s="15" t="n">
        <v>0</v>
      </c>
      <c r="N89" s="15" t="n">
        <v>0</v>
      </c>
      <c r="O89" s="15" t="n">
        <v>0</v>
      </c>
      <c r="P89" s="15" t="n">
        <v>0</v>
      </c>
      <c r="Q89" s="15" t="n">
        <v>0</v>
      </c>
      <c r="R89" s="15" t="n">
        <v>0</v>
      </c>
      <c r="S89" s="15" t="n">
        <v>0</v>
      </c>
      <c r="T89" s="15" t="n">
        <v>0</v>
      </c>
      <c r="U89" s="15" t="n">
        <v>0</v>
      </c>
      <c r="V89" s="15" t="n">
        <v>0</v>
      </c>
      <c r="W89" s="15" t="n">
        <v>0</v>
      </c>
      <c r="X89" s="15" t="n">
        <v>0</v>
      </c>
      <c r="Y89" s="15" t="n">
        <v>0</v>
      </c>
      <c r="Z89" s="15" t="n">
        <v>0</v>
      </c>
      <c r="AA89" s="15" t="n">
        <v>0</v>
      </c>
      <c r="AB89" s="15" t="n">
        <v>0</v>
      </c>
      <c r="AC89" s="15" t="n">
        <v>0</v>
      </c>
    </row>
    <row r="90" ht="15" customHeight="1">
      <c r="A90" s="15" t="n">
        <v>88</v>
      </c>
      <c r="B90" s="15" t="inlineStr">
        <is>
          <t>04370-2022</t>
        </is>
      </c>
      <c r="C90" s="15" t="inlineStr">
        <is>
          <t>Matriz sumarísimos — grupo 2024</t>
        </is>
      </c>
      <c r="D90" s="15" t="inlineStr">
        <is>
          <t>2024</t>
        </is>
      </c>
      <c r="E90" s="15" t="inlineStr">
        <is>
          <t>3SC</t>
        </is>
      </c>
      <c r="F90" s="15" t="n">
        <v>0</v>
      </c>
      <c r="G90" s="15" t="n">
        <v>0</v>
      </c>
      <c r="H90" s="16" t="n">
        <v>1</v>
      </c>
      <c r="I90" s="15" t="n">
        <v>0</v>
      </c>
      <c r="J90" s="15" t="n">
        <v>0</v>
      </c>
      <c r="K90" s="15" t="n">
        <v>0</v>
      </c>
      <c r="L90" s="15" t="n">
        <v>0</v>
      </c>
      <c r="M90" s="15" t="n">
        <v>0</v>
      </c>
      <c r="N90" s="15" t="n">
        <v>0</v>
      </c>
      <c r="O90" s="15" t="n">
        <v>0</v>
      </c>
      <c r="P90" s="15" t="n">
        <v>0</v>
      </c>
      <c r="Q90" s="15" t="n">
        <v>0</v>
      </c>
      <c r="R90" s="15" t="n">
        <v>0</v>
      </c>
      <c r="S90" s="15" t="n">
        <v>0</v>
      </c>
      <c r="T90" s="15" t="n">
        <v>0</v>
      </c>
      <c r="U90" s="15" t="n">
        <v>0</v>
      </c>
      <c r="V90" s="15" t="n">
        <v>0</v>
      </c>
      <c r="W90" s="15" t="n">
        <v>0</v>
      </c>
      <c r="X90" s="15" t="n">
        <v>0</v>
      </c>
      <c r="Y90" s="15" t="n">
        <v>0</v>
      </c>
      <c r="Z90" s="15" t="n">
        <v>0</v>
      </c>
      <c r="AA90" s="15" t="n">
        <v>0</v>
      </c>
      <c r="AB90" s="15" t="n">
        <v>0</v>
      </c>
      <c r="AC90" s="17" t="n">
        <v>1</v>
      </c>
    </row>
    <row r="91" ht="15" customHeight="1">
      <c r="A91" s="15" t="n">
        <v>89</v>
      </c>
      <c r="B91" s="15" t="inlineStr">
        <is>
          <t>04393-2023</t>
        </is>
      </c>
      <c r="C91" s="15" t="inlineStr">
        <is>
          <t>Llamoja — SV de control (2021-2023)</t>
        </is>
      </c>
      <c r="D91" s="15" t="inlineStr">
        <is>
          <t>2025</t>
        </is>
      </c>
      <c r="E91" s="15" t="inlineStr">
        <is>
          <t>3SC</t>
        </is>
      </c>
      <c r="F91" s="15" t="n">
        <v>0</v>
      </c>
      <c r="G91" s="15" t="n">
        <v>0</v>
      </c>
      <c r="H91" s="15" t="n">
        <v>0</v>
      </c>
      <c r="I91" s="15" t="n">
        <v>0</v>
      </c>
      <c r="J91" s="15" t="n">
        <v>0</v>
      </c>
      <c r="K91" s="15" t="n">
        <v>0</v>
      </c>
      <c r="L91" s="15" t="n">
        <v>0</v>
      </c>
      <c r="M91" s="15" t="n">
        <v>0</v>
      </c>
      <c r="N91" s="15" t="n">
        <v>0</v>
      </c>
      <c r="O91" s="15" t="n">
        <v>0</v>
      </c>
      <c r="P91" s="15" t="n">
        <v>0</v>
      </c>
      <c r="Q91" s="15" t="n">
        <v>0</v>
      </c>
      <c r="R91" s="15" t="n">
        <v>0</v>
      </c>
      <c r="S91" s="15" t="n">
        <v>0</v>
      </c>
      <c r="T91" s="15" t="n">
        <v>0</v>
      </c>
      <c r="U91" s="15" t="n">
        <v>0</v>
      </c>
      <c r="V91" s="15" t="n">
        <v>0</v>
      </c>
      <c r="W91" s="15" t="n">
        <v>0</v>
      </c>
      <c r="X91" s="15" t="n">
        <v>0</v>
      </c>
      <c r="Y91" s="15" t="n">
        <v>0</v>
      </c>
      <c r="Z91" s="15" t="n">
        <v>0</v>
      </c>
      <c r="AA91" s="15" t="n">
        <v>0</v>
      </c>
      <c r="AB91" s="15" t="n">
        <v>0</v>
      </c>
      <c r="AC91" s="15" t="n">
        <v>0</v>
      </c>
    </row>
    <row r="92" ht="15" customHeight="1">
      <c r="A92" s="15" t="n">
        <v>90</v>
      </c>
      <c r="B92" s="15" t="inlineStr">
        <is>
          <t>04414-2023</t>
        </is>
      </c>
      <c r="C92" s="15" t="inlineStr">
        <is>
          <t>Matriz sumarísimos — grupo 2024</t>
        </is>
      </c>
      <c r="D92" s="15" t="inlineStr">
        <is>
          <t>2025</t>
        </is>
      </c>
      <c r="E92" s="15" t="inlineStr">
        <is>
          <t>2SC</t>
        </is>
      </c>
      <c r="F92" s="15" t="n">
        <v>0</v>
      </c>
      <c r="G92" s="15" t="n">
        <v>0</v>
      </c>
      <c r="H92" s="15" t="n">
        <v>0</v>
      </c>
      <c r="I92" s="15" t="n">
        <v>0</v>
      </c>
      <c r="J92" s="15" t="n">
        <v>0</v>
      </c>
      <c r="K92" s="15" t="n">
        <v>0</v>
      </c>
      <c r="L92" s="15" t="n">
        <v>0</v>
      </c>
      <c r="M92" s="15" t="n">
        <v>0</v>
      </c>
      <c r="N92" s="15" t="n">
        <v>0</v>
      </c>
      <c r="O92" s="15" t="n">
        <v>0</v>
      </c>
      <c r="P92" s="15" t="n">
        <v>0</v>
      </c>
      <c r="Q92" s="15" t="n">
        <v>0</v>
      </c>
      <c r="R92" s="15" t="n">
        <v>0</v>
      </c>
      <c r="S92" s="15" t="n">
        <v>0</v>
      </c>
      <c r="T92" s="15" t="n">
        <v>0</v>
      </c>
      <c r="U92" s="15" t="n">
        <v>0</v>
      </c>
      <c r="V92" s="15" t="n">
        <v>0</v>
      </c>
      <c r="W92" s="15" t="n">
        <v>0</v>
      </c>
      <c r="X92" s="15" t="n">
        <v>0</v>
      </c>
      <c r="Y92" s="15" t="n">
        <v>0</v>
      </c>
      <c r="Z92" s="15" t="n">
        <v>0</v>
      </c>
      <c r="AA92" s="16" t="n">
        <v>1</v>
      </c>
      <c r="AB92" s="15" t="n">
        <v>0</v>
      </c>
      <c r="AC92" s="17" t="n">
        <v>1</v>
      </c>
    </row>
    <row r="93" ht="15" customHeight="1">
      <c r="A93" s="15" t="n">
        <v>91</v>
      </c>
      <c r="B93" s="15" t="inlineStr">
        <is>
          <t>04420-2015</t>
        </is>
      </c>
      <c r="C93" s="15" t="inlineStr">
        <is>
          <t>Pre-2019</t>
        </is>
      </c>
      <c r="D93" s="15" t="inlineStr">
        <is>
          <t>2018</t>
        </is>
      </c>
      <c r="E93" s="15" t="inlineStr">
        <is>
          <t>2SC</t>
        </is>
      </c>
      <c r="F93" s="15" t="n">
        <v>0</v>
      </c>
      <c r="G93" s="15" t="n">
        <v>0</v>
      </c>
      <c r="H93" s="15" t="n">
        <v>0</v>
      </c>
      <c r="I93" s="15" t="n">
        <v>0</v>
      </c>
      <c r="J93" s="15" t="n">
        <v>0</v>
      </c>
      <c r="K93" s="15" t="n">
        <v>0</v>
      </c>
      <c r="L93" s="15" t="n">
        <v>0</v>
      </c>
      <c r="M93" s="15" t="n">
        <v>0</v>
      </c>
      <c r="N93" s="15" t="n">
        <v>0</v>
      </c>
      <c r="O93" s="15" t="n">
        <v>0</v>
      </c>
      <c r="P93" s="15" t="n">
        <v>0</v>
      </c>
      <c r="Q93" s="15" t="n">
        <v>0</v>
      </c>
      <c r="R93" s="15" t="n">
        <v>0</v>
      </c>
      <c r="S93" s="15" t="n">
        <v>0</v>
      </c>
      <c r="T93" s="15" t="n">
        <v>0</v>
      </c>
      <c r="U93" s="16" t="n">
        <v>1</v>
      </c>
      <c r="V93" s="15" t="n">
        <v>0</v>
      </c>
      <c r="W93" s="15" t="n">
        <v>0</v>
      </c>
      <c r="X93" s="15" t="n">
        <v>0</v>
      </c>
      <c r="Y93" s="15" t="n">
        <v>0</v>
      </c>
      <c r="Z93" s="15" t="n">
        <v>0</v>
      </c>
      <c r="AA93" s="15" t="n">
        <v>0</v>
      </c>
      <c r="AB93" s="15" t="n">
        <v>0</v>
      </c>
      <c r="AC93" s="17" t="n">
        <v>1</v>
      </c>
    </row>
    <row r="94" ht="15" customHeight="1">
      <c r="A94" s="15" t="n">
        <v>92</v>
      </c>
      <c r="B94" s="15" t="inlineStr">
        <is>
          <t>04428-2022</t>
        </is>
      </c>
      <c r="C94" s="15" t="inlineStr">
        <is>
          <t>Matriz sumarísimos — grupo 2024</t>
        </is>
      </c>
      <c r="D94" s="15" t="inlineStr">
        <is>
          <t>2024</t>
        </is>
      </c>
      <c r="E94" s="15" t="inlineStr">
        <is>
          <t>1SC</t>
        </is>
      </c>
      <c r="F94" s="15" t="n">
        <v>0</v>
      </c>
      <c r="G94" s="15" t="n">
        <v>0</v>
      </c>
      <c r="H94" s="15" t="n">
        <v>0</v>
      </c>
      <c r="I94" s="15" t="n">
        <v>0</v>
      </c>
      <c r="J94" s="15" t="n">
        <v>0</v>
      </c>
      <c r="K94" s="15" t="n">
        <v>0</v>
      </c>
      <c r="L94" s="15" t="n">
        <v>0</v>
      </c>
      <c r="M94" s="15" t="n">
        <v>0</v>
      </c>
      <c r="N94" s="15" t="n">
        <v>0</v>
      </c>
      <c r="O94" s="15" t="n">
        <v>0</v>
      </c>
      <c r="P94" s="15" t="n">
        <v>0</v>
      </c>
      <c r="Q94" s="15" t="n">
        <v>0</v>
      </c>
      <c r="R94" s="15" t="n">
        <v>0</v>
      </c>
      <c r="S94" s="15" t="n">
        <v>0</v>
      </c>
      <c r="T94" s="15" t="n">
        <v>0</v>
      </c>
      <c r="U94" s="15" t="n">
        <v>0</v>
      </c>
      <c r="V94" s="15" t="n">
        <v>0</v>
      </c>
      <c r="W94" s="15" t="n">
        <v>0</v>
      </c>
      <c r="X94" s="15" t="n">
        <v>0</v>
      </c>
      <c r="Y94" s="15" t="n">
        <v>0</v>
      </c>
      <c r="Z94" s="15" t="n">
        <v>0</v>
      </c>
      <c r="AA94" s="15" t="n">
        <v>0</v>
      </c>
      <c r="AB94" s="15" t="n">
        <v>0</v>
      </c>
      <c r="AC94" s="15" t="n">
        <v>0</v>
      </c>
    </row>
    <row r="95" ht="15" customHeight="1">
      <c r="A95" s="15" t="n">
        <v>93</v>
      </c>
      <c r="B95" s="15" t="inlineStr">
        <is>
          <t>04492-2023</t>
        </is>
      </c>
      <c r="C95" s="15" t="inlineStr">
        <is>
          <t>Llamoja — SV de control (2021-2023)</t>
        </is>
      </c>
      <c r="D95" s="15" t="inlineStr">
        <is>
          <t>2025</t>
        </is>
      </c>
      <c r="E95" s="15" t="inlineStr">
        <is>
          <t>2SC</t>
        </is>
      </c>
      <c r="F95" s="15" t="n">
        <v>0</v>
      </c>
      <c r="G95" s="15" t="n">
        <v>0</v>
      </c>
      <c r="H95" s="15" t="n">
        <v>0</v>
      </c>
      <c r="I95" s="15" t="n">
        <v>0</v>
      </c>
      <c r="J95" s="15" t="n">
        <v>0</v>
      </c>
      <c r="K95" s="15" t="n">
        <v>0</v>
      </c>
      <c r="L95" s="15" t="n">
        <v>0</v>
      </c>
      <c r="M95" s="15" t="n">
        <v>0</v>
      </c>
      <c r="N95" s="15" t="n">
        <v>0</v>
      </c>
      <c r="O95" s="15" t="n">
        <v>0</v>
      </c>
      <c r="P95" s="15" t="n">
        <v>0</v>
      </c>
      <c r="Q95" s="15" t="n">
        <v>0</v>
      </c>
      <c r="R95" s="15" t="n">
        <v>0</v>
      </c>
      <c r="S95" s="15" t="n">
        <v>0</v>
      </c>
      <c r="T95" s="16" t="n">
        <v>1</v>
      </c>
      <c r="U95" s="16" t="n">
        <v>1</v>
      </c>
      <c r="V95" s="15" t="n">
        <v>0</v>
      </c>
      <c r="W95" s="15" t="n">
        <v>0</v>
      </c>
      <c r="X95" s="15" t="n">
        <v>0</v>
      </c>
      <c r="Y95" s="15" t="n">
        <v>0</v>
      </c>
      <c r="Z95" s="15" t="n">
        <v>0</v>
      </c>
      <c r="AA95" s="15" t="n">
        <v>0</v>
      </c>
      <c r="AB95" s="15" t="n">
        <v>0</v>
      </c>
      <c r="AC95" s="17" t="n">
        <v>2</v>
      </c>
    </row>
    <row r="96" ht="15" customHeight="1">
      <c r="A96" s="15" t="n">
        <v>94</v>
      </c>
      <c r="B96" s="15" t="inlineStr">
        <is>
          <t>04528-2010</t>
        </is>
      </c>
      <c r="C96" s="15" t="inlineStr">
        <is>
          <t>Pre-2019</t>
        </is>
      </c>
      <c r="D96" s="15" t="inlineStr">
        <is>
          <t>2018</t>
        </is>
      </c>
      <c r="E96" s="15" t="inlineStr">
        <is>
          <t>1SC</t>
        </is>
      </c>
      <c r="F96" s="15" t="n">
        <v>0</v>
      </c>
      <c r="G96" s="15" t="n">
        <v>0</v>
      </c>
      <c r="H96" s="15" t="n">
        <v>0</v>
      </c>
      <c r="I96" s="15" t="n">
        <v>0</v>
      </c>
      <c r="J96" s="15" t="n">
        <v>0</v>
      </c>
      <c r="K96" s="15" t="n">
        <v>0</v>
      </c>
      <c r="L96" s="15" t="n">
        <v>0</v>
      </c>
      <c r="M96" s="15" t="n">
        <v>0</v>
      </c>
      <c r="N96" s="15" t="n">
        <v>0</v>
      </c>
      <c r="O96" s="15" t="n">
        <v>0</v>
      </c>
      <c r="P96" s="15" t="n">
        <v>0</v>
      </c>
      <c r="Q96" s="15" t="n">
        <v>0</v>
      </c>
      <c r="R96" s="15" t="n">
        <v>0</v>
      </c>
      <c r="S96" s="15" t="n">
        <v>0</v>
      </c>
      <c r="T96" s="15" t="n">
        <v>0</v>
      </c>
      <c r="U96" s="15" t="n">
        <v>0</v>
      </c>
      <c r="V96" s="15" t="n">
        <v>0</v>
      </c>
      <c r="W96" s="15" t="n">
        <v>0</v>
      </c>
      <c r="X96" s="15" t="n">
        <v>0</v>
      </c>
      <c r="Y96" s="15" t="n">
        <v>0</v>
      </c>
      <c r="Z96" s="15" t="n">
        <v>0</v>
      </c>
      <c r="AA96" s="15" t="n">
        <v>0</v>
      </c>
      <c r="AB96" s="15" t="n">
        <v>0</v>
      </c>
      <c r="AC96" s="15" t="n">
        <v>0</v>
      </c>
    </row>
    <row r="97" ht="15" customHeight="1">
      <c r="A97" s="15" t="n">
        <v>95</v>
      </c>
      <c r="B97" s="15" t="inlineStr">
        <is>
          <t>04543-2023</t>
        </is>
      </c>
      <c r="C97" s="15" t="inlineStr">
        <is>
          <t>Llamoja — SV de control (2021-2023)</t>
        </is>
      </c>
      <c r="D97" s="15" t="inlineStr">
        <is>
          <t>2025</t>
        </is>
      </c>
      <c r="E97" s="15" t="inlineStr">
        <is>
          <t>1SC</t>
        </is>
      </c>
      <c r="F97" s="15" t="n">
        <v>0</v>
      </c>
      <c r="G97" s="15" t="n">
        <v>0</v>
      </c>
      <c r="H97" s="15" t="n">
        <v>0</v>
      </c>
      <c r="I97" s="15" t="n">
        <v>0</v>
      </c>
      <c r="J97" s="15" t="n">
        <v>0</v>
      </c>
      <c r="K97" s="15" t="n">
        <v>0</v>
      </c>
      <c r="L97" s="15" t="n">
        <v>0</v>
      </c>
      <c r="M97" s="15" t="n">
        <v>0</v>
      </c>
      <c r="N97" s="15" t="n">
        <v>0</v>
      </c>
      <c r="O97" s="15" t="n">
        <v>0</v>
      </c>
      <c r="P97" s="15" t="n">
        <v>0</v>
      </c>
      <c r="Q97" s="15" t="n">
        <v>0</v>
      </c>
      <c r="R97" s="15" t="n">
        <v>0</v>
      </c>
      <c r="S97" s="15" t="n">
        <v>0</v>
      </c>
      <c r="T97" s="15" t="n">
        <v>0</v>
      </c>
      <c r="U97" s="15" t="n">
        <v>0</v>
      </c>
      <c r="V97" s="15" t="n">
        <v>0</v>
      </c>
      <c r="W97" s="15" t="n">
        <v>0</v>
      </c>
      <c r="X97" s="16" t="n">
        <v>1</v>
      </c>
      <c r="Y97" s="15" t="n">
        <v>0</v>
      </c>
      <c r="Z97" s="15" t="n">
        <v>0</v>
      </c>
      <c r="AA97" s="16" t="n">
        <v>1</v>
      </c>
      <c r="AB97" s="15" t="n">
        <v>0</v>
      </c>
      <c r="AC97" s="17" t="n">
        <v>2</v>
      </c>
    </row>
    <row r="98" ht="15" customHeight="1">
      <c r="A98" s="15" t="n">
        <v>96</v>
      </c>
      <c r="B98" s="15" t="inlineStr">
        <is>
          <t>04554-2022</t>
        </is>
      </c>
      <c r="C98" s="15" t="inlineStr">
        <is>
          <t>Llamoja — SV de control (2021-2023)</t>
        </is>
      </c>
      <c r="D98" s="15" t="inlineStr">
        <is>
          <t>2024</t>
        </is>
      </c>
      <c r="E98" s="15" t="inlineStr">
        <is>
          <t>3SC</t>
        </is>
      </c>
      <c r="F98" s="15" t="n">
        <v>0</v>
      </c>
      <c r="G98" s="15" t="n">
        <v>0</v>
      </c>
      <c r="H98" s="15" t="n">
        <v>0</v>
      </c>
      <c r="I98" s="15" t="n">
        <v>0</v>
      </c>
      <c r="J98" s="15" t="n">
        <v>0</v>
      </c>
      <c r="K98" s="15" t="n">
        <v>0</v>
      </c>
      <c r="L98" s="15" t="n">
        <v>0</v>
      </c>
      <c r="M98" s="15" t="n">
        <v>0</v>
      </c>
      <c r="N98" s="15" t="n">
        <v>0</v>
      </c>
      <c r="O98" s="15" t="n">
        <v>0</v>
      </c>
      <c r="P98" s="15" t="n">
        <v>0</v>
      </c>
      <c r="Q98" s="15" t="n">
        <v>0</v>
      </c>
      <c r="R98" s="15" t="n">
        <v>0</v>
      </c>
      <c r="S98" s="15" t="n">
        <v>0</v>
      </c>
      <c r="T98" s="15" t="n">
        <v>0</v>
      </c>
      <c r="U98" s="16" t="n">
        <v>1</v>
      </c>
      <c r="V98" s="15" t="n">
        <v>0</v>
      </c>
      <c r="W98" s="15" t="n">
        <v>0</v>
      </c>
      <c r="X98" s="15" t="n">
        <v>0</v>
      </c>
      <c r="Y98" s="15" t="n">
        <v>0</v>
      </c>
      <c r="Z98" s="16" t="n">
        <v>1</v>
      </c>
      <c r="AA98" s="15" t="n">
        <v>0</v>
      </c>
      <c r="AB98" s="15" t="n">
        <v>0</v>
      </c>
      <c r="AC98" s="17" t="n">
        <v>2</v>
      </c>
    </row>
    <row r="99" ht="15" customHeight="1">
      <c r="A99" s="15" t="n">
        <v>97</v>
      </c>
      <c r="B99" s="15" t="inlineStr">
        <is>
          <t>04585-2017</t>
        </is>
      </c>
      <c r="C99" s="15" t="inlineStr">
        <is>
          <t>Matriz sumarísimos — anteriores a 2019</t>
        </is>
      </c>
      <c r="D99" s="15" t="inlineStr">
        <is>
          <t>2018</t>
        </is>
      </c>
      <c r="E99" s="15" t="inlineStr">
        <is>
          <t>3SC</t>
        </is>
      </c>
      <c r="F99" s="15" t="n">
        <v>0</v>
      </c>
      <c r="G99" s="15" t="n">
        <v>0</v>
      </c>
      <c r="H99" s="15" t="n">
        <v>0</v>
      </c>
      <c r="I99" s="15" t="n">
        <v>0</v>
      </c>
      <c r="J99" s="15" t="n">
        <v>0</v>
      </c>
      <c r="K99" s="15" t="n">
        <v>0</v>
      </c>
      <c r="L99" s="15" t="n">
        <v>0</v>
      </c>
      <c r="M99" s="15" t="n">
        <v>0</v>
      </c>
      <c r="N99" s="15" t="n">
        <v>0</v>
      </c>
      <c r="O99" s="15" t="n">
        <v>0</v>
      </c>
      <c r="P99" s="15" t="n">
        <v>0</v>
      </c>
      <c r="Q99" s="15" t="n">
        <v>0</v>
      </c>
      <c r="R99" s="15" t="n">
        <v>0</v>
      </c>
      <c r="S99" s="15" t="n">
        <v>0</v>
      </c>
      <c r="T99" s="15" t="n">
        <v>0</v>
      </c>
      <c r="U99" s="15" t="n">
        <v>0</v>
      </c>
      <c r="V99" s="15" t="n">
        <v>0</v>
      </c>
      <c r="W99" s="15" t="n">
        <v>0</v>
      </c>
      <c r="X99" s="15" t="n">
        <v>0</v>
      </c>
      <c r="Y99" s="15" t="n">
        <v>0</v>
      </c>
      <c r="Z99" s="15" t="n">
        <v>0</v>
      </c>
      <c r="AA99" s="15" t="n">
        <v>0</v>
      </c>
      <c r="AB99" s="15" t="n">
        <v>0</v>
      </c>
      <c r="AC99" s="15" t="n">
        <v>0</v>
      </c>
    </row>
    <row r="100" ht="15" customHeight="1">
      <c r="A100" s="15" t="n">
        <v>98</v>
      </c>
      <c r="B100" s="15" t="inlineStr">
        <is>
          <t>04605-2022</t>
        </is>
      </c>
      <c r="C100" s="15" t="inlineStr">
        <is>
          <t>2024</t>
        </is>
      </c>
      <c r="D100" s="15" t="inlineStr">
        <is>
          <t>2025</t>
        </is>
      </c>
      <c r="E100" s="15" t="inlineStr">
        <is>
          <t>3SC</t>
        </is>
      </c>
      <c r="F100" s="15" t="n">
        <v>0</v>
      </c>
      <c r="G100" s="15" t="n">
        <v>0</v>
      </c>
      <c r="H100" s="15" t="n">
        <v>0</v>
      </c>
      <c r="I100" s="15" t="n">
        <v>0</v>
      </c>
      <c r="J100" s="15" t="n">
        <v>0</v>
      </c>
      <c r="K100" s="15" t="n">
        <v>0</v>
      </c>
      <c r="L100" s="15" t="n">
        <v>0</v>
      </c>
      <c r="M100" s="15" t="n">
        <v>0</v>
      </c>
      <c r="N100" s="15" t="n">
        <v>0</v>
      </c>
      <c r="O100" s="15" t="n">
        <v>0</v>
      </c>
      <c r="P100" s="15" t="n">
        <v>0</v>
      </c>
      <c r="Q100" s="15" t="n">
        <v>0</v>
      </c>
      <c r="R100" s="15" t="n">
        <v>0</v>
      </c>
      <c r="S100" s="15" t="n">
        <v>0</v>
      </c>
      <c r="T100" s="15" t="n">
        <v>0</v>
      </c>
      <c r="U100" s="15" t="n">
        <v>0</v>
      </c>
      <c r="V100" s="15" t="n">
        <v>0</v>
      </c>
      <c r="W100" s="15" t="n">
        <v>0</v>
      </c>
      <c r="X100" s="15" t="n">
        <v>0</v>
      </c>
      <c r="Y100" s="15" t="n">
        <v>0</v>
      </c>
      <c r="Z100" s="15" t="n">
        <v>0</v>
      </c>
      <c r="AA100" s="15" t="n">
        <v>0</v>
      </c>
      <c r="AB100" s="15" t="n">
        <v>0</v>
      </c>
      <c r="AC100" s="15" t="n">
        <v>0</v>
      </c>
    </row>
    <row r="101" ht="15" customHeight="1">
      <c r="A101" s="15" t="n">
        <v>99</v>
      </c>
      <c r="B101" s="15" t="inlineStr">
        <is>
          <t>04667-2022</t>
        </is>
      </c>
      <c r="C101" s="15" t="inlineStr">
        <is>
          <t>Llamoja — SV de control (2021-2023)</t>
        </is>
      </c>
      <c r="D101" s="15" t="inlineStr">
        <is>
          <t>2025</t>
        </is>
      </c>
      <c r="E101" s="15" t="inlineStr">
        <is>
          <t>1SC</t>
        </is>
      </c>
      <c r="F101" s="15" t="n">
        <v>0</v>
      </c>
      <c r="G101" s="15" t="n">
        <v>0</v>
      </c>
      <c r="H101" s="15" t="n">
        <v>0</v>
      </c>
      <c r="I101" s="15" t="n">
        <v>0</v>
      </c>
      <c r="J101" s="15" t="n">
        <v>0</v>
      </c>
      <c r="K101" s="15" t="n">
        <v>0</v>
      </c>
      <c r="L101" s="15" t="n">
        <v>0</v>
      </c>
      <c r="M101" s="15" t="n">
        <v>0</v>
      </c>
      <c r="N101" s="15" t="n">
        <v>0</v>
      </c>
      <c r="O101" s="15" t="n">
        <v>0</v>
      </c>
      <c r="P101" s="15" t="n">
        <v>0</v>
      </c>
      <c r="Q101" s="15" t="n">
        <v>0</v>
      </c>
      <c r="R101" s="15" t="n">
        <v>0</v>
      </c>
      <c r="S101" s="15" t="n">
        <v>0</v>
      </c>
      <c r="T101" s="15" t="n">
        <v>0</v>
      </c>
      <c r="U101" s="15" t="n">
        <v>0</v>
      </c>
      <c r="V101" s="15" t="n">
        <v>0</v>
      </c>
      <c r="W101" s="15" t="n">
        <v>0</v>
      </c>
      <c r="X101" s="15" t="n">
        <v>0</v>
      </c>
      <c r="Y101" s="15" t="n">
        <v>0</v>
      </c>
      <c r="Z101" s="15" t="n">
        <v>0</v>
      </c>
      <c r="AA101" s="15" t="n">
        <v>0</v>
      </c>
      <c r="AB101" s="15" t="n">
        <v>0</v>
      </c>
      <c r="AC101" s="15" t="n">
        <v>0</v>
      </c>
    </row>
    <row r="102" ht="15" customHeight="1">
      <c r="A102" s="15" t="n">
        <v>100</v>
      </c>
      <c r="B102" s="15" t="inlineStr">
        <is>
          <t>04711-2010</t>
        </is>
      </c>
      <c r="C102" s="15" t="inlineStr">
        <is>
          <t>Pre-2019</t>
        </is>
      </c>
      <c r="D102" s="15" t="inlineStr">
        <is>
          <t>2018</t>
        </is>
      </c>
      <c r="E102" s="15" t="inlineStr">
        <is>
          <t>2SC</t>
        </is>
      </c>
      <c r="F102" s="15" t="n">
        <v>0</v>
      </c>
      <c r="G102" s="15" t="n">
        <v>0</v>
      </c>
      <c r="H102" s="15" t="n">
        <v>0</v>
      </c>
      <c r="I102" s="15" t="n">
        <v>0</v>
      </c>
      <c r="J102" s="15" t="n">
        <v>0</v>
      </c>
      <c r="K102" s="15" t="n">
        <v>0</v>
      </c>
      <c r="L102" s="15" t="n">
        <v>0</v>
      </c>
      <c r="M102" s="15" t="n">
        <v>0</v>
      </c>
      <c r="N102" s="15" t="n">
        <v>0</v>
      </c>
      <c r="O102" s="15" t="n">
        <v>0</v>
      </c>
      <c r="P102" s="15" t="n">
        <v>0</v>
      </c>
      <c r="Q102" s="15" t="n">
        <v>0</v>
      </c>
      <c r="R102" s="15" t="n">
        <v>0</v>
      </c>
      <c r="S102" s="15" t="n">
        <v>0</v>
      </c>
      <c r="T102" s="15" t="n">
        <v>0</v>
      </c>
      <c r="U102" s="16" t="n">
        <v>1</v>
      </c>
      <c r="V102" s="15" t="n">
        <v>0</v>
      </c>
      <c r="W102" s="15" t="n">
        <v>0</v>
      </c>
      <c r="X102" s="15" t="n">
        <v>0</v>
      </c>
      <c r="Y102" s="15" t="n">
        <v>0</v>
      </c>
      <c r="Z102" s="15" t="n">
        <v>0</v>
      </c>
      <c r="AA102" s="15" t="n">
        <v>0</v>
      </c>
      <c r="AB102" s="16" t="n">
        <v>1</v>
      </c>
      <c r="AC102" s="17" t="n">
        <v>2</v>
      </c>
    </row>
    <row r="103" ht="15" customHeight="1">
      <c r="A103" s="15" t="n">
        <v>101</v>
      </c>
      <c r="B103" s="15" t="inlineStr">
        <is>
          <t>04965-2023</t>
        </is>
      </c>
      <c r="C103" s="15" t="inlineStr">
        <is>
          <t>Llamoja — SV de control (2021-2023)</t>
        </is>
      </c>
      <c r="D103" s="15" t="inlineStr">
        <is>
          <t>2025</t>
        </is>
      </c>
      <c r="E103" s="15" t="inlineStr">
        <is>
          <t>2SC</t>
        </is>
      </c>
      <c r="F103" s="15" t="n">
        <v>0</v>
      </c>
      <c r="G103" s="15" t="n">
        <v>0</v>
      </c>
      <c r="H103" s="15" t="n">
        <v>0</v>
      </c>
      <c r="I103" s="15" t="n">
        <v>0</v>
      </c>
      <c r="J103" s="15" t="n">
        <v>0</v>
      </c>
      <c r="K103" s="15" t="n">
        <v>0</v>
      </c>
      <c r="L103" s="15" t="n">
        <v>0</v>
      </c>
      <c r="M103" s="15" t="n">
        <v>0</v>
      </c>
      <c r="N103" s="15" t="n">
        <v>0</v>
      </c>
      <c r="O103" s="15" t="n">
        <v>0</v>
      </c>
      <c r="P103" s="15" t="n">
        <v>0</v>
      </c>
      <c r="Q103" s="15" t="n">
        <v>0</v>
      </c>
      <c r="R103" s="15" t="n">
        <v>0</v>
      </c>
      <c r="S103" s="15" t="n">
        <v>0</v>
      </c>
      <c r="T103" s="15" t="n">
        <v>0</v>
      </c>
      <c r="U103" s="15" t="n">
        <v>0</v>
      </c>
      <c r="V103" s="15" t="n">
        <v>0</v>
      </c>
      <c r="W103" s="15" t="n">
        <v>0</v>
      </c>
      <c r="X103" s="16" t="n">
        <v>1</v>
      </c>
      <c r="Y103" s="15" t="n">
        <v>0</v>
      </c>
      <c r="Z103" s="15" t="n">
        <v>0</v>
      </c>
      <c r="AA103" s="16" t="n">
        <v>1</v>
      </c>
      <c r="AB103" s="15" t="n">
        <v>0</v>
      </c>
      <c r="AC103" s="17" t="n">
        <v>2</v>
      </c>
    </row>
    <row r="104" ht="15" customHeight="1">
      <c r="A104" s="15" t="n">
        <v>102</v>
      </c>
      <c r="B104" s="15" t="inlineStr">
        <is>
          <t>05012-2008</t>
        </is>
      </c>
      <c r="C104" s="15" t="inlineStr">
        <is>
          <t>Pre-2019</t>
        </is>
      </c>
      <c r="D104" s="15" t="inlineStr">
        <is>
          <t>2020</t>
        </is>
      </c>
      <c r="E104" s="15" t="inlineStr">
        <is>
          <t>2SC</t>
        </is>
      </c>
      <c r="F104" s="15" t="n">
        <v>0</v>
      </c>
      <c r="G104" s="15" t="n">
        <v>0</v>
      </c>
      <c r="H104" s="15" t="n">
        <v>0</v>
      </c>
      <c r="I104" s="15" t="n">
        <v>0</v>
      </c>
      <c r="J104" s="15" t="n">
        <v>0</v>
      </c>
      <c r="K104" s="15" t="n">
        <v>0</v>
      </c>
      <c r="L104" s="15" t="n">
        <v>0</v>
      </c>
      <c r="M104" s="15" t="n">
        <v>0</v>
      </c>
      <c r="N104" s="15" t="n">
        <v>0</v>
      </c>
      <c r="O104" s="15" t="n">
        <v>0</v>
      </c>
      <c r="P104" s="15" t="n">
        <v>0</v>
      </c>
      <c r="Q104" s="15" t="n">
        <v>0</v>
      </c>
      <c r="R104" s="16" t="n">
        <v>1</v>
      </c>
      <c r="S104" s="15" t="n">
        <v>0</v>
      </c>
      <c r="T104" s="15" t="n">
        <v>0</v>
      </c>
      <c r="U104" s="15" t="n">
        <v>0</v>
      </c>
      <c r="V104" s="15" t="n">
        <v>0</v>
      </c>
      <c r="W104" s="15" t="n">
        <v>0</v>
      </c>
      <c r="X104" s="15" t="n">
        <v>0</v>
      </c>
      <c r="Y104" s="15" t="n">
        <v>0</v>
      </c>
      <c r="Z104" s="15" t="n">
        <v>0</v>
      </c>
      <c r="AA104" s="15" t="n">
        <v>0</v>
      </c>
      <c r="AB104" s="16" t="n">
        <v>1</v>
      </c>
      <c r="AC104" s="17" t="n">
        <v>2</v>
      </c>
    </row>
    <row r="105" ht="15" customHeight="1">
      <c r="A105" s="15" t="n">
        <v>103</v>
      </c>
      <c r="B105" s="15" t="inlineStr">
        <is>
          <t>05237-2021</t>
        </is>
      </c>
      <c r="C105" s="15" t="inlineStr">
        <is>
          <t>Llamoja — SV de control (2021-2023)</t>
        </is>
      </c>
      <c r="D105" s="15" t="inlineStr">
        <is>
          <t>2025</t>
        </is>
      </c>
      <c r="E105" s="15" t="inlineStr">
        <is>
          <t>2SC</t>
        </is>
      </c>
      <c r="F105" s="15" t="n">
        <v>0</v>
      </c>
      <c r="G105" s="15" t="n">
        <v>0</v>
      </c>
      <c r="H105" s="15" t="n">
        <v>0</v>
      </c>
      <c r="I105" s="15" t="n">
        <v>0</v>
      </c>
      <c r="J105" s="15" t="n">
        <v>0</v>
      </c>
      <c r="K105" s="15" t="n">
        <v>0</v>
      </c>
      <c r="L105" s="15" t="n">
        <v>0</v>
      </c>
      <c r="M105" s="15" t="n">
        <v>0</v>
      </c>
      <c r="N105" s="15" t="n">
        <v>0</v>
      </c>
      <c r="O105" s="15" t="n">
        <v>0</v>
      </c>
      <c r="P105" s="16" t="n">
        <v>1</v>
      </c>
      <c r="Q105" s="15" t="n">
        <v>0</v>
      </c>
      <c r="R105" s="16" t="n">
        <v>1</v>
      </c>
      <c r="S105" s="15" t="n">
        <v>0</v>
      </c>
      <c r="T105" s="15" t="n">
        <v>0</v>
      </c>
      <c r="U105" s="15" t="n">
        <v>0</v>
      </c>
      <c r="V105" s="15" t="n">
        <v>0</v>
      </c>
      <c r="W105" s="15" t="n">
        <v>0</v>
      </c>
      <c r="X105" s="15" t="n">
        <v>0</v>
      </c>
      <c r="Y105" s="15" t="n">
        <v>0</v>
      </c>
      <c r="Z105" s="15" t="n">
        <v>0</v>
      </c>
      <c r="AA105" s="15" t="n">
        <v>0</v>
      </c>
      <c r="AB105" s="15" t="n">
        <v>0</v>
      </c>
      <c r="AC105" s="17" t="n">
        <v>2</v>
      </c>
    </row>
    <row r="106" ht="15" customHeight="1">
      <c r="A106" s="15" t="n">
        <v>104</v>
      </c>
      <c r="B106" s="15" t="inlineStr">
        <is>
          <t>05264-2021</t>
        </is>
      </c>
      <c r="C106" s="15" t="inlineStr">
        <is>
          <t>Llamoja — SV de control (2021-2023)</t>
        </is>
      </c>
      <c r="D106" s="15" t="inlineStr">
        <is>
          <t>2025</t>
        </is>
      </c>
      <c r="E106" s="15" t="inlineStr">
        <is>
          <t>3SC</t>
        </is>
      </c>
      <c r="F106" s="15" t="n">
        <v>0</v>
      </c>
      <c r="G106" s="15" t="n">
        <v>0</v>
      </c>
      <c r="H106" s="15" t="n">
        <v>0</v>
      </c>
      <c r="I106" s="15" t="n">
        <v>0</v>
      </c>
      <c r="J106" s="15" t="n">
        <v>0</v>
      </c>
      <c r="K106" s="15" t="n">
        <v>0</v>
      </c>
      <c r="L106" s="15" t="n">
        <v>0</v>
      </c>
      <c r="M106" s="15" t="n">
        <v>0</v>
      </c>
      <c r="N106" s="15" t="n">
        <v>0</v>
      </c>
      <c r="O106" s="15" t="n">
        <v>0</v>
      </c>
      <c r="P106" s="15" t="n">
        <v>0</v>
      </c>
      <c r="Q106" s="15" t="n">
        <v>0</v>
      </c>
      <c r="R106" s="15" t="n">
        <v>0</v>
      </c>
      <c r="S106" s="15" t="n">
        <v>0</v>
      </c>
      <c r="T106" s="15" t="n">
        <v>0</v>
      </c>
      <c r="U106" s="15" t="n">
        <v>0</v>
      </c>
      <c r="V106" s="15" t="n">
        <v>0</v>
      </c>
      <c r="W106" s="15" t="n">
        <v>0</v>
      </c>
      <c r="X106" s="15" t="n">
        <v>0</v>
      </c>
      <c r="Y106" s="15" t="n">
        <v>0</v>
      </c>
      <c r="Z106" s="15" t="n">
        <v>0</v>
      </c>
      <c r="AA106" s="15" t="n">
        <v>0</v>
      </c>
      <c r="AB106" s="15" t="n">
        <v>0</v>
      </c>
      <c r="AC106" s="15" t="n">
        <v>0</v>
      </c>
    </row>
    <row r="107" ht="15" customHeight="1">
      <c r="A107" s="15" t="n">
        <v>105</v>
      </c>
      <c r="B107" s="15" t="inlineStr">
        <is>
          <t>05276-2023</t>
        </is>
      </c>
      <c r="C107" s="15" t="inlineStr">
        <is>
          <t>Llamoja — SV de control (2021-2023)</t>
        </is>
      </c>
      <c r="D107" s="15" t="inlineStr">
        <is>
          <t>2025</t>
        </is>
      </c>
      <c r="E107" s="15" t="inlineStr">
        <is>
          <t>2SC</t>
        </is>
      </c>
      <c r="F107" s="15" t="n">
        <v>0</v>
      </c>
      <c r="G107" s="15" t="n">
        <v>0</v>
      </c>
      <c r="H107" s="15" t="n">
        <v>0</v>
      </c>
      <c r="I107" s="15" t="n">
        <v>0</v>
      </c>
      <c r="J107" s="15" t="n">
        <v>0</v>
      </c>
      <c r="K107" s="15" t="n">
        <v>0</v>
      </c>
      <c r="L107" s="15" t="n">
        <v>0</v>
      </c>
      <c r="M107" s="15" t="n">
        <v>0</v>
      </c>
      <c r="N107" s="15" t="n">
        <v>0</v>
      </c>
      <c r="O107" s="15" t="n">
        <v>0</v>
      </c>
      <c r="P107" s="15" t="n">
        <v>0</v>
      </c>
      <c r="Q107" s="15" t="n">
        <v>0</v>
      </c>
      <c r="R107" s="15" t="n">
        <v>0</v>
      </c>
      <c r="S107" s="15" t="n">
        <v>0</v>
      </c>
      <c r="T107" s="15" t="n">
        <v>0</v>
      </c>
      <c r="U107" s="15" t="n">
        <v>0</v>
      </c>
      <c r="V107" s="15" t="n">
        <v>0</v>
      </c>
      <c r="W107" s="15" t="n">
        <v>0</v>
      </c>
      <c r="X107" s="15" t="n">
        <v>0</v>
      </c>
      <c r="Y107" s="15" t="n">
        <v>0</v>
      </c>
      <c r="Z107" s="15" t="n">
        <v>0</v>
      </c>
      <c r="AA107" s="15" t="n">
        <v>0</v>
      </c>
      <c r="AB107" s="15" t="n">
        <v>0</v>
      </c>
      <c r="AC107" s="15" t="n">
        <v>0</v>
      </c>
    </row>
    <row r="108" ht="15" customHeight="1">
      <c r="A108" s="15" t="n">
        <v>106</v>
      </c>
      <c r="B108" s="15" t="inlineStr">
        <is>
          <t>05345-2022</t>
        </is>
      </c>
      <c r="C108" s="15" t="inlineStr">
        <is>
          <t>Matriz sumarísimos — grupo 2024</t>
        </is>
      </c>
      <c r="D108" s="15" t="inlineStr">
        <is>
          <t>2025</t>
        </is>
      </c>
      <c r="E108" s="15" t="inlineStr">
        <is>
          <t>3SC</t>
        </is>
      </c>
      <c r="F108" s="15" t="n">
        <v>0</v>
      </c>
      <c r="G108" s="15" t="n">
        <v>0</v>
      </c>
      <c r="H108" s="15" t="n">
        <v>0</v>
      </c>
      <c r="I108" s="15" t="n">
        <v>0</v>
      </c>
      <c r="J108" s="15" t="n">
        <v>0</v>
      </c>
      <c r="K108" s="15" t="n">
        <v>0</v>
      </c>
      <c r="L108" s="15" t="n">
        <v>0</v>
      </c>
      <c r="M108" s="15" t="n">
        <v>0</v>
      </c>
      <c r="N108" s="15" t="n">
        <v>0</v>
      </c>
      <c r="O108" s="15" t="n">
        <v>0</v>
      </c>
      <c r="P108" s="15" t="n">
        <v>0</v>
      </c>
      <c r="Q108" s="15" t="n">
        <v>0</v>
      </c>
      <c r="R108" s="15" t="n">
        <v>0</v>
      </c>
      <c r="S108" s="15" t="n">
        <v>0</v>
      </c>
      <c r="T108" s="15" t="n">
        <v>0</v>
      </c>
      <c r="U108" s="15" t="n">
        <v>0</v>
      </c>
      <c r="V108" s="15" t="n">
        <v>0</v>
      </c>
      <c r="W108" s="15" t="n">
        <v>0</v>
      </c>
      <c r="X108" s="16" t="n">
        <v>1</v>
      </c>
      <c r="Y108" s="15" t="n">
        <v>0</v>
      </c>
      <c r="Z108" s="15" t="n">
        <v>0</v>
      </c>
      <c r="AA108" s="16" t="n">
        <v>1</v>
      </c>
      <c r="AB108" s="15" t="n">
        <v>0</v>
      </c>
      <c r="AC108" s="17" t="n">
        <v>2</v>
      </c>
    </row>
    <row r="109" ht="15" customHeight="1">
      <c r="A109" s="15" t="n">
        <v>107</v>
      </c>
      <c r="B109" s="15" t="inlineStr">
        <is>
          <t>05381-2009</t>
        </is>
      </c>
      <c r="C109" s="15" t="inlineStr">
        <is>
          <t>Pre-2019</t>
        </is>
      </c>
      <c r="D109" s="15" t="inlineStr">
        <is>
          <t>2019</t>
        </is>
      </c>
      <c r="E109" s="15" t="inlineStr">
        <is>
          <t>2SC</t>
        </is>
      </c>
      <c r="F109" s="15" t="n">
        <v>0</v>
      </c>
      <c r="G109" s="15" t="n">
        <v>0</v>
      </c>
      <c r="H109" s="15" t="n">
        <v>0</v>
      </c>
      <c r="I109" s="15" t="n">
        <v>0</v>
      </c>
      <c r="J109" s="15" t="n">
        <v>0</v>
      </c>
      <c r="K109" s="15" t="n">
        <v>0</v>
      </c>
      <c r="L109" s="15" t="n">
        <v>0</v>
      </c>
      <c r="M109" s="15" t="n">
        <v>0</v>
      </c>
      <c r="N109" s="15" t="n">
        <v>0</v>
      </c>
      <c r="O109" s="15" t="n">
        <v>0</v>
      </c>
      <c r="P109" s="15" t="n">
        <v>0</v>
      </c>
      <c r="Q109" s="15" t="n">
        <v>0</v>
      </c>
      <c r="R109" s="15" t="n">
        <v>0</v>
      </c>
      <c r="S109" s="15" t="n">
        <v>0</v>
      </c>
      <c r="T109" s="15" t="n">
        <v>0</v>
      </c>
      <c r="U109" s="15" t="n">
        <v>0</v>
      </c>
      <c r="V109" s="15" t="n">
        <v>0</v>
      </c>
      <c r="W109" s="15" t="n">
        <v>0</v>
      </c>
      <c r="X109" s="15" t="n">
        <v>0</v>
      </c>
      <c r="Y109" s="15" t="n">
        <v>0</v>
      </c>
      <c r="Z109" s="15" t="n">
        <v>0</v>
      </c>
      <c r="AA109" s="15" t="n">
        <v>0</v>
      </c>
      <c r="AB109" s="16" t="n">
        <v>1</v>
      </c>
      <c r="AC109" s="17" t="n">
        <v>1</v>
      </c>
    </row>
    <row r="110" ht="15" customHeight="1">
      <c r="A110" s="15" t="n">
        <v>108</v>
      </c>
      <c r="B110" s="15" t="inlineStr">
        <is>
          <t>05382-2016</t>
        </is>
      </c>
      <c r="C110" s="15" t="inlineStr">
        <is>
          <t>Matriz sumarísimos — anteriores a 2019</t>
        </is>
      </c>
      <c r="D110" s="15" t="inlineStr">
        <is>
          <t>2019</t>
        </is>
      </c>
      <c r="E110" s="15" t="inlineStr">
        <is>
          <t>2SC</t>
        </is>
      </c>
      <c r="F110" s="15" t="n">
        <v>0</v>
      </c>
      <c r="G110" s="15" t="n">
        <v>0</v>
      </c>
      <c r="H110" s="15" t="n">
        <v>0</v>
      </c>
      <c r="I110" s="15" t="n">
        <v>0</v>
      </c>
      <c r="J110" s="15" t="n">
        <v>0</v>
      </c>
      <c r="K110" s="15" t="n">
        <v>0</v>
      </c>
      <c r="L110" s="15" t="n">
        <v>0</v>
      </c>
      <c r="M110" s="16" t="n">
        <v>1</v>
      </c>
      <c r="N110" s="15" t="n">
        <v>0</v>
      </c>
      <c r="O110" s="15" t="n">
        <v>0</v>
      </c>
      <c r="P110" s="15" t="n">
        <v>0</v>
      </c>
      <c r="Q110" s="16" t="n">
        <v>1</v>
      </c>
      <c r="R110" s="15" t="n">
        <v>0</v>
      </c>
      <c r="S110" s="15" t="n">
        <v>0</v>
      </c>
      <c r="T110" s="15" t="n">
        <v>0</v>
      </c>
      <c r="U110" s="15" t="n">
        <v>0</v>
      </c>
      <c r="V110" s="15" t="n">
        <v>0</v>
      </c>
      <c r="W110" s="15" t="n">
        <v>0</v>
      </c>
      <c r="X110" s="15" t="n">
        <v>0</v>
      </c>
      <c r="Y110" s="15" t="n">
        <v>0</v>
      </c>
      <c r="Z110" s="15" t="n">
        <v>0</v>
      </c>
      <c r="AA110" s="15" t="n">
        <v>0</v>
      </c>
      <c r="AB110" s="15" t="n">
        <v>0</v>
      </c>
      <c r="AC110" s="17" t="n">
        <v>2</v>
      </c>
    </row>
    <row r="111" ht="15" customHeight="1">
      <c r="A111" s="15" t="n">
        <v>109</v>
      </c>
      <c r="B111" s="15" t="inlineStr">
        <is>
          <t>05487-2013</t>
        </is>
      </c>
      <c r="C111" s="15" t="inlineStr">
        <is>
          <t>Pre-2019</t>
        </is>
      </c>
      <c r="D111" s="15" t="inlineStr">
        <is>
          <t>2018</t>
        </is>
      </c>
      <c r="E111" s="15" t="inlineStr">
        <is>
          <t>2SC</t>
        </is>
      </c>
      <c r="F111" s="15" t="n">
        <v>0</v>
      </c>
      <c r="G111" s="15" t="n">
        <v>0</v>
      </c>
      <c r="H111" s="15" t="n">
        <v>0</v>
      </c>
      <c r="I111" s="15" t="n">
        <v>0</v>
      </c>
      <c r="J111" s="15" t="n">
        <v>0</v>
      </c>
      <c r="K111" s="15" t="n">
        <v>0</v>
      </c>
      <c r="L111" s="15" t="n">
        <v>0</v>
      </c>
      <c r="M111" s="15" t="n">
        <v>0</v>
      </c>
      <c r="N111" s="15" t="n">
        <v>0</v>
      </c>
      <c r="O111" s="15" t="n">
        <v>0</v>
      </c>
      <c r="P111" s="15" t="n">
        <v>0</v>
      </c>
      <c r="Q111" s="15" t="n">
        <v>0</v>
      </c>
      <c r="R111" s="15" t="n">
        <v>0</v>
      </c>
      <c r="S111" s="15" t="n">
        <v>0</v>
      </c>
      <c r="T111" s="15" t="n">
        <v>0</v>
      </c>
      <c r="U111" s="15" t="n">
        <v>0</v>
      </c>
      <c r="V111" s="15" t="n">
        <v>0</v>
      </c>
      <c r="W111" s="15" t="n">
        <v>0</v>
      </c>
      <c r="X111" s="15" t="n">
        <v>0</v>
      </c>
      <c r="Y111" s="15" t="n">
        <v>0</v>
      </c>
      <c r="Z111" s="15" t="n">
        <v>0</v>
      </c>
      <c r="AA111" s="15" t="n">
        <v>0</v>
      </c>
      <c r="AB111" s="16" t="n">
        <v>1</v>
      </c>
      <c r="AC111" s="17" t="n">
        <v>1</v>
      </c>
    </row>
    <row r="112" ht="15" customHeight="1">
      <c r="A112" s="15" t="n">
        <v>110</v>
      </c>
      <c r="B112" s="15" t="inlineStr">
        <is>
          <t>05576-2021</t>
        </is>
      </c>
      <c r="C112" s="15" t="inlineStr">
        <is>
          <t>2024</t>
        </is>
      </c>
      <c r="D112" s="15" t="inlineStr">
        <is>
          <t>2025</t>
        </is>
      </c>
      <c r="E112" s="15" t="inlineStr">
        <is>
          <t>3SC</t>
        </is>
      </c>
      <c r="F112" s="15" t="n">
        <v>0</v>
      </c>
      <c r="G112" s="15" t="n">
        <v>0</v>
      </c>
      <c r="H112" s="15" t="n">
        <v>0</v>
      </c>
      <c r="I112" s="15" t="n">
        <v>0</v>
      </c>
      <c r="J112" s="15" t="n">
        <v>0</v>
      </c>
      <c r="K112" s="15" t="n">
        <v>0</v>
      </c>
      <c r="L112" s="15" t="n">
        <v>0</v>
      </c>
      <c r="M112" s="15" t="n">
        <v>0</v>
      </c>
      <c r="N112" s="15" t="n">
        <v>0</v>
      </c>
      <c r="O112" s="15" t="n">
        <v>0</v>
      </c>
      <c r="P112" s="15" t="n">
        <v>0</v>
      </c>
      <c r="Q112" s="15" t="n">
        <v>0</v>
      </c>
      <c r="R112" s="15" t="n">
        <v>0</v>
      </c>
      <c r="S112" s="15" t="n">
        <v>0</v>
      </c>
      <c r="T112" s="15" t="n">
        <v>0</v>
      </c>
      <c r="U112" s="15" t="n">
        <v>0</v>
      </c>
      <c r="V112" s="15" t="n">
        <v>0</v>
      </c>
      <c r="W112" s="15" t="n">
        <v>0</v>
      </c>
      <c r="X112" s="15" t="n">
        <v>0</v>
      </c>
      <c r="Y112" s="15" t="n">
        <v>0</v>
      </c>
      <c r="Z112" s="15" t="n">
        <v>0</v>
      </c>
      <c r="AA112" s="15" t="n">
        <v>0</v>
      </c>
      <c r="AB112" s="15" t="n">
        <v>0</v>
      </c>
      <c r="AC112" s="15" t="n">
        <v>0</v>
      </c>
    </row>
    <row r="113" ht="15" customHeight="1">
      <c r="A113" s="15" t="n">
        <v>111</v>
      </c>
      <c r="B113" s="15" t="inlineStr">
        <is>
          <t>05814-2021</t>
        </is>
      </c>
      <c r="C113" s="15" t="inlineStr">
        <is>
          <t>Llamoja — SV de control (2021-2023)</t>
        </is>
      </c>
      <c r="D113" s="15" t="inlineStr">
        <is>
          <t>2024</t>
        </is>
      </c>
      <c r="E113" s="15" t="inlineStr">
        <is>
          <t>3SC</t>
        </is>
      </c>
      <c r="F113" s="15" t="n">
        <v>0</v>
      </c>
      <c r="G113" s="15" t="n">
        <v>0</v>
      </c>
      <c r="H113" s="15" t="n">
        <v>0</v>
      </c>
      <c r="I113" s="15" t="n">
        <v>0</v>
      </c>
      <c r="J113" s="15" t="n">
        <v>0</v>
      </c>
      <c r="K113" s="15" t="n">
        <v>0</v>
      </c>
      <c r="L113" s="15" t="n">
        <v>0</v>
      </c>
      <c r="M113" s="15" t="n">
        <v>0</v>
      </c>
      <c r="N113" s="15" t="n">
        <v>0</v>
      </c>
      <c r="O113" s="15" t="n">
        <v>0</v>
      </c>
      <c r="P113" s="15" t="n">
        <v>0</v>
      </c>
      <c r="Q113" s="15" t="n">
        <v>0</v>
      </c>
      <c r="R113" s="15" t="n">
        <v>0</v>
      </c>
      <c r="S113" s="15" t="n">
        <v>0</v>
      </c>
      <c r="T113" s="15" t="n">
        <v>0</v>
      </c>
      <c r="U113" s="16" t="n">
        <v>1</v>
      </c>
      <c r="V113" s="15" t="n">
        <v>0</v>
      </c>
      <c r="W113" s="15" t="n">
        <v>0</v>
      </c>
      <c r="X113" s="15" t="n">
        <v>0</v>
      </c>
      <c r="Y113" s="15" t="n">
        <v>0</v>
      </c>
      <c r="Z113" s="15" t="n">
        <v>0</v>
      </c>
      <c r="AA113" s="15" t="n">
        <v>0</v>
      </c>
      <c r="AB113" s="15" t="n">
        <v>0</v>
      </c>
      <c r="AC113" s="17" t="n">
        <v>1</v>
      </c>
    </row>
    <row r="114" ht="15" customHeight="1">
      <c r="A114" s="15" t="n">
        <v>112</v>
      </c>
      <c r="B114" s="15" t="inlineStr">
        <is>
          <t>05899-2021</t>
        </is>
      </c>
      <c r="C114" s="15" t="inlineStr">
        <is>
          <t>Llamoja — SV de control (2021-2023)</t>
        </is>
      </c>
      <c r="D114" s="15" t="inlineStr">
        <is>
          <t>2025</t>
        </is>
      </c>
      <c r="E114" s="15" t="inlineStr">
        <is>
          <t>2SC</t>
        </is>
      </c>
      <c r="F114" s="15" t="n">
        <v>0</v>
      </c>
      <c r="G114" s="15" t="n">
        <v>0</v>
      </c>
      <c r="H114" s="15" t="n">
        <v>0</v>
      </c>
      <c r="I114" s="15" t="n">
        <v>0</v>
      </c>
      <c r="J114" s="15" t="n">
        <v>0</v>
      </c>
      <c r="K114" s="15" t="n">
        <v>0</v>
      </c>
      <c r="L114" s="15" t="n">
        <v>0</v>
      </c>
      <c r="M114" s="15" t="n">
        <v>0</v>
      </c>
      <c r="N114" s="15" t="n">
        <v>0</v>
      </c>
      <c r="O114" s="15" t="n">
        <v>0</v>
      </c>
      <c r="P114" s="16" t="n">
        <v>1</v>
      </c>
      <c r="Q114" s="15" t="n">
        <v>0</v>
      </c>
      <c r="R114" s="16" t="n">
        <v>1</v>
      </c>
      <c r="S114" s="15" t="n">
        <v>0</v>
      </c>
      <c r="T114" s="15" t="n">
        <v>0</v>
      </c>
      <c r="U114" s="15" t="n">
        <v>0</v>
      </c>
      <c r="V114" s="15" t="n">
        <v>0</v>
      </c>
      <c r="W114" s="15" t="n">
        <v>0</v>
      </c>
      <c r="X114" s="15" t="n">
        <v>0</v>
      </c>
      <c r="Y114" s="15" t="n">
        <v>0</v>
      </c>
      <c r="Z114" s="15" t="n">
        <v>0</v>
      </c>
      <c r="AA114" s="15" t="n">
        <v>0</v>
      </c>
      <c r="AB114" s="15" t="n">
        <v>0</v>
      </c>
      <c r="AC114" s="17" t="n">
        <v>2</v>
      </c>
    </row>
    <row r="115" ht="15" customHeight="1">
      <c r="A115" s="15" t="n">
        <v>113</v>
      </c>
      <c r="B115" s="15" t="inlineStr">
        <is>
          <t>06071-2006</t>
        </is>
      </c>
      <c r="C115" s="15" t="inlineStr">
        <is>
          <t>Pre-2019</t>
        </is>
      </c>
      <c r="D115" s="15" t="inlineStr">
        <is>
          <t>2019</t>
        </is>
      </c>
      <c r="E115" s="15" t="inlineStr">
        <is>
          <t>2SC</t>
        </is>
      </c>
      <c r="F115" s="15" t="n">
        <v>0</v>
      </c>
      <c r="G115" s="15" t="n">
        <v>0</v>
      </c>
      <c r="H115" s="15" t="n">
        <v>0</v>
      </c>
      <c r="I115" s="15" t="n">
        <v>0</v>
      </c>
      <c r="J115" s="15" t="n">
        <v>0</v>
      </c>
      <c r="K115" s="15" t="n">
        <v>0</v>
      </c>
      <c r="L115" s="15" t="n">
        <v>0</v>
      </c>
      <c r="M115" s="15" t="n">
        <v>0</v>
      </c>
      <c r="N115" s="15" t="n">
        <v>0</v>
      </c>
      <c r="O115" s="15" t="n">
        <v>0</v>
      </c>
      <c r="P115" s="15" t="n">
        <v>0</v>
      </c>
      <c r="Q115" s="15" t="n">
        <v>0</v>
      </c>
      <c r="R115" s="15" t="n">
        <v>0</v>
      </c>
      <c r="S115" s="15" t="n">
        <v>0</v>
      </c>
      <c r="T115" s="15" t="n">
        <v>0</v>
      </c>
      <c r="U115" s="15" t="n">
        <v>0</v>
      </c>
      <c r="V115" s="15" t="n">
        <v>0</v>
      </c>
      <c r="W115" s="15" t="n">
        <v>0</v>
      </c>
      <c r="X115" s="15" t="n">
        <v>0</v>
      </c>
      <c r="Y115" s="15" t="n">
        <v>0</v>
      </c>
      <c r="Z115" s="15" t="n">
        <v>0</v>
      </c>
      <c r="AA115" s="15" t="n">
        <v>0</v>
      </c>
      <c r="AB115" s="16" t="n">
        <v>1</v>
      </c>
      <c r="AC115" s="17" t="n">
        <v>1</v>
      </c>
    </row>
    <row r="116" ht="15" customHeight="1">
      <c r="A116" s="15" t="n">
        <v>114</v>
      </c>
      <c r="B116" s="15" t="inlineStr">
        <is>
          <t>06147-2023</t>
        </is>
      </c>
      <c r="C116" s="15" t="inlineStr">
        <is>
          <t>Matriz sumarísimos — grupo 2024</t>
        </is>
      </c>
      <c r="D116" s="15" t="inlineStr">
        <is>
          <t>2025</t>
        </is>
      </c>
      <c r="E116" s="15" t="inlineStr">
        <is>
          <t>2SC</t>
        </is>
      </c>
      <c r="F116" s="15" t="n">
        <v>0</v>
      </c>
      <c r="G116" s="16" t="n">
        <v>1</v>
      </c>
      <c r="H116" s="15" t="n">
        <v>0</v>
      </c>
      <c r="I116" s="15" t="n">
        <v>0</v>
      </c>
      <c r="J116" s="15" t="n">
        <v>0</v>
      </c>
      <c r="K116" s="15" t="n">
        <v>0</v>
      </c>
      <c r="L116" s="15" t="n">
        <v>0</v>
      </c>
      <c r="M116" s="15" t="n">
        <v>0</v>
      </c>
      <c r="N116" s="15" t="n">
        <v>0</v>
      </c>
      <c r="O116" s="15" t="n">
        <v>0</v>
      </c>
      <c r="P116" s="15" t="n">
        <v>0</v>
      </c>
      <c r="Q116" s="15" t="n">
        <v>0</v>
      </c>
      <c r="R116" s="15" t="n">
        <v>0</v>
      </c>
      <c r="S116" s="15" t="n">
        <v>0</v>
      </c>
      <c r="T116" s="15" t="n">
        <v>0</v>
      </c>
      <c r="U116" s="15" t="n">
        <v>0</v>
      </c>
      <c r="V116" s="15" t="n">
        <v>0</v>
      </c>
      <c r="W116" s="15" t="n">
        <v>0</v>
      </c>
      <c r="X116" s="16" t="n">
        <v>1</v>
      </c>
      <c r="Y116" s="16" t="n">
        <v>1</v>
      </c>
      <c r="Z116" s="15" t="n">
        <v>0</v>
      </c>
      <c r="AA116" s="15" t="n">
        <v>0</v>
      </c>
      <c r="AB116" s="16" t="n">
        <v>1</v>
      </c>
      <c r="AC116" s="17" t="n">
        <v>4</v>
      </c>
    </row>
    <row r="117" ht="15" customHeight="1">
      <c r="A117" s="15" t="n">
        <v>115</v>
      </c>
      <c r="B117" s="15" t="inlineStr">
        <is>
          <t>06151-2000</t>
        </is>
      </c>
      <c r="C117" s="15" t="inlineStr">
        <is>
          <t>Matriz sumarísimos — anteriores a 2019</t>
        </is>
      </c>
      <c r="D117" s="15" t="inlineStr">
        <is>
          <t>2021</t>
        </is>
      </c>
      <c r="E117" s="15" t="inlineStr">
        <is>
          <t>2SC</t>
        </is>
      </c>
      <c r="F117" s="16" t="n">
        <v>1</v>
      </c>
      <c r="G117" s="15" t="n">
        <v>0</v>
      </c>
      <c r="H117" s="16" t="n">
        <v>1</v>
      </c>
      <c r="I117" s="15" t="n">
        <v>0</v>
      </c>
      <c r="J117" s="15" t="n">
        <v>0</v>
      </c>
      <c r="K117" s="15" t="n">
        <v>0</v>
      </c>
      <c r="L117" s="15" t="n">
        <v>0</v>
      </c>
      <c r="M117" s="15" t="n">
        <v>0</v>
      </c>
      <c r="N117" s="15" t="n">
        <v>0</v>
      </c>
      <c r="O117" s="15" t="n">
        <v>0</v>
      </c>
      <c r="P117" s="15" t="n">
        <v>0</v>
      </c>
      <c r="Q117" s="15" t="n">
        <v>0</v>
      </c>
      <c r="R117" s="15" t="n">
        <v>0</v>
      </c>
      <c r="S117" s="15" t="n">
        <v>0</v>
      </c>
      <c r="T117" s="15" t="n">
        <v>0</v>
      </c>
      <c r="U117" s="15" t="n">
        <v>0</v>
      </c>
      <c r="V117" s="15" t="n">
        <v>0</v>
      </c>
      <c r="W117" s="15" t="n">
        <v>0</v>
      </c>
      <c r="X117" s="15" t="n">
        <v>0</v>
      </c>
      <c r="Y117" s="15" t="n">
        <v>0</v>
      </c>
      <c r="Z117" s="15" t="n">
        <v>0</v>
      </c>
      <c r="AA117" s="15" t="n">
        <v>0</v>
      </c>
      <c r="AB117" s="15" t="n">
        <v>0</v>
      </c>
      <c r="AC117" s="17" t="n">
        <v>2</v>
      </c>
    </row>
    <row r="118" ht="15" customHeight="1">
      <c r="A118" s="15" t="n">
        <v>116</v>
      </c>
      <c r="B118" s="15" t="inlineStr">
        <is>
          <t>06175-2022</t>
        </is>
      </c>
      <c r="C118" s="15" t="inlineStr">
        <is>
          <t>2024</t>
        </is>
      </c>
      <c r="D118" s="15" t="inlineStr">
        <is>
          <t>2025</t>
        </is>
      </c>
      <c r="E118" s="15" t="inlineStr">
        <is>
          <t>2SC</t>
        </is>
      </c>
      <c r="F118" s="15" t="n">
        <v>0</v>
      </c>
      <c r="G118" s="15" t="n">
        <v>0</v>
      </c>
      <c r="H118" s="15" t="n">
        <v>0</v>
      </c>
      <c r="I118" s="15" t="n">
        <v>0</v>
      </c>
      <c r="J118" s="15" t="n">
        <v>0</v>
      </c>
      <c r="K118" s="15" t="n">
        <v>0</v>
      </c>
      <c r="L118" s="15" t="n">
        <v>0</v>
      </c>
      <c r="M118" s="15" t="n">
        <v>0</v>
      </c>
      <c r="N118" s="15" t="n">
        <v>0</v>
      </c>
      <c r="O118" s="15" t="n">
        <v>0</v>
      </c>
      <c r="P118" s="15" t="n">
        <v>0</v>
      </c>
      <c r="Q118" s="15" t="n">
        <v>0</v>
      </c>
      <c r="R118" s="15" t="n">
        <v>0</v>
      </c>
      <c r="S118" s="15" t="n">
        <v>0</v>
      </c>
      <c r="T118" s="15" t="n">
        <v>0</v>
      </c>
      <c r="U118" s="15" t="n">
        <v>0</v>
      </c>
      <c r="V118" s="15" t="n">
        <v>0</v>
      </c>
      <c r="W118" s="15" t="n">
        <v>0</v>
      </c>
      <c r="X118" s="15" t="n">
        <v>0</v>
      </c>
      <c r="Y118" s="15" t="n">
        <v>0</v>
      </c>
      <c r="Z118" s="15" t="n">
        <v>0</v>
      </c>
      <c r="AA118" s="15" t="n">
        <v>0</v>
      </c>
      <c r="AB118" s="15" t="n">
        <v>0</v>
      </c>
      <c r="AC118" s="15" t="n">
        <v>0</v>
      </c>
    </row>
    <row r="119" ht="15" customHeight="1">
      <c r="A119" s="15" t="n">
        <v>117</v>
      </c>
      <c r="B119" s="15" t="inlineStr">
        <is>
          <t>06374-2019</t>
        </is>
      </c>
      <c r="C119" s="15" t="inlineStr">
        <is>
          <t>2024</t>
        </is>
      </c>
      <c r="D119" s="15" t="inlineStr">
        <is>
          <t>2025</t>
        </is>
      </c>
      <c r="E119" s="15" t="n"/>
      <c r="F119" s="16" t="n">
        <v>1</v>
      </c>
      <c r="G119" s="15" t="n">
        <v>0</v>
      </c>
      <c r="H119" s="15" t="n">
        <v>0</v>
      </c>
      <c r="I119" s="15" t="n">
        <v>0</v>
      </c>
      <c r="J119" s="15" t="n">
        <v>0</v>
      </c>
      <c r="K119" s="15" t="n">
        <v>0</v>
      </c>
      <c r="L119" s="15" t="n">
        <v>0</v>
      </c>
      <c r="M119" s="15" t="n">
        <v>0</v>
      </c>
      <c r="N119" s="15" t="n">
        <v>0</v>
      </c>
      <c r="O119" s="15" t="n">
        <v>0</v>
      </c>
      <c r="P119" s="15" t="n">
        <v>0</v>
      </c>
      <c r="Q119" s="15" t="n">
        <v>0</v>
      </c>
      <c r="R119" s="15" t="n">
        <v>0</v>
      </c>
      <c r="S119" s="15" t="n">
        <v>0</v>
      </c>
      <c r="T119" s="15" t="n">
        <v>0</v>
      </c>
      <c r="U119" s="15" t="n">
        <v>0</v>
      </c>
      <c r="V119" s="15" t="n">
        <v>0</v>
      </c>
      <c r="W119" s="15" t="n">
        <v>0</v>
      </c>
      <c r="X119" s="15" t="n">
        <v>0</v>
      </c>
      <c r="Y119" s="15" t="n">
        <v>0</v>
      </c>
      <c r="Z119" s="15" t="n">
        <v>0</v>
      </c>
      <c r="AA119" s="15" t="n">
        <v>0</v>
      </c>
      <c r="AB119" s="15" t="n">
        <v>0</v>
      </c>
      <c r="AC119" s="17" t="n">
        <v>1</v>
      </c>
    </row>
    <row r="120" ht="15" customHeight="1">
      <c r="A120" s="15" t="n">
        <v>118</v>
      </c>
      <c r="B120" s="15" t="inlineStr">
        <is>
          <t>06385-2023</t>
        </is>
      </c>
      <c r="C120" s="15" t="inlineStr">
        <is>
          <t>Llamoja — SV de control (2021-2023)</t>
        </is>
      </c>
      <c r="D120" s="15" t="inlineStr">
        <is>
          <t>2025</t>
        </is>
      </c>
      <c r="E120" s="15" t="inlineStr">
        <is>
          <t>2SC</t>
        </is>
      </c>
      <c r="F120" s="15" t="n">
        <v>0</v>
      </c>
      <c r="G120" s="15" t="n">
        <v>0</v>
      </c>
      <c r="H120" s="15" t="n">
        <v>0</v>
      </c>
      <c r="I120" s="15" t="n">
        <v>0</v>
      </c>
      <c r="J120" s="15" t="n">
        <v>0</v>
      </c>
      <c r="K120" s="15" t="n">
        <v>0</v>
      </c>
      <c r="L120" s="15" t="n">
        <v>0</v>
      </c>
      <c r="M120" s="15" t="n">
        <v>0</v>
      </c>
      <c r="N120" s="15" t="n">
        <v>0</v>
      </c>
      <c r="O120" s="15" t="n">
        <v>0</v>
      </c>
      <c r="P120" s="15" t="n">
        <v>0</v>
      </c>
      <c r="Q120" s="15" t="n">
        <v>0</v>
      </c>
      <c r="R120" s="15" t="n">
        <v>0</v>
      </c>
      <c r="S120" s="15" t="n">
        <v>0</v>
      </c>
      <c r="T120" s="15" t="n">
        <v>0</v>
      </c>
      <c r="U120" s="16" t="n">
        <v>1</v>
      </c>
      <c r="V120" s="15" t="n">
        <v>0</v>
      </c>
      <c r="W120" s="15" t="n">
        <v>0</v>
      </c>
      <c r="X120" s="15" t="n">
        <v>0</v>
      </c>
      <c r="Y120" s="15" t="n">
        <v>0</v>
      </c>
      <c r="Z120" s="15" t="n">
        <v>0</v>
      </c>
      <c r="AA120" s="15" t="n">
        <v>0</v>
      </c>
      <c r="AB120" s="15" t="n">
        <v>0</v>
      </c>
      <c r="AC120" s="17" t="n">
        <v>1</v>
      </c>
    </row>
    <row r="121" ht="15" customHeight="1">
      <c r="A121" s="15" t="n">
        <v>119</v>
      </c>
      <c r="B121" s="15" t="inlineStr">
        <is>
          <t>06402-2022</t>
        </is>
      </c>
      <c r="C121" s="15" t="inlineStr">
        <is>
          <t>2024</t>
        </is>
      </c>
      <c r="D121" s="15" t="inlineStr">
        <is>
          <t>2025</t>
        </is>
      </c>
      <c r="E121" s="15" t="n"/>
      <c r="F121" s="15" t="n">
        <v>0</v>
      </c>
      <c r="G121" s="15" t="n">
        <v>0</v>
      </c>
      <c r="H121" s="15" t="n">
        <v>0</v>
      </c>
      <c r="I121" s="15" t="n">
        <v>0</v>
      </c>
      <c r="J121" s="15" t="n">
        <v>0</v>
      </c>
      <c r="K121" s="15" t="n">
        <v>0</v>
      </c>
      <c r="L121" s="15" t="n">
        <v>0</v>
      </c>
      <c r="M121" s="15" t="n">
        <v>0</v>
      </c>
      <c r="N121" s="15" t="n">
        <v>0</v>
      </c>
      <c r="O121" s="15" t="n">
        <v>0</v>
      </c>
      <c r="P121" s="16" t="n">
        <v>1</v>
      </c>
      <c r="Q121" s="15" t="n">
        <v>0</v>
      </c>
      <c r="R121" s="15" t="n">
        <v>0</v>
      </c>
      <c r="S121" s="15" t="n">
        <v>0</v>
      </c>
      <c r="T121" s="15" t="n">
        <v>0</v>
      </c>
      <c r="U121" s="15" t="n">
        <v>0</v>
      </c>
      <c r="V121" s="15" t="n">
        <v>0</v>
      </c>
      <c r="W121" s="15" t="n">
        <v>0</v>
      </c>
      <c r="X121" s="15" t="n">
        <v>0</v>
      </c>
      <c r="Y121" s="15" t="n">
        <v>0</v>
      </c>
      <c r="Z121" s="15" t="n">
        <v>0</v>
      </c>
      <c r="AA121" s="15" t="n">
        <v>0</v>
      </c>
      <c r="AB121" s="16" t="n">
        <v>1</v>
      </c>
      <c r="AC121" s="17" t="n">
        <v>2</v>
      </c>
    </row>
    <row r="122" ht="15" customHeight="1">
      <c r="A122" s="15" t="n">
        <v>120</v>
      </c>
      <c r="B122" s="15" t="inlineStr">
        <is>
          <t>06607-2021</t>
        </is>
      </c>
      <c r="C122" s="15" t="inlineStr">
        <is>
          <t>2024</t>
        </is>
      </c>
      <c r="D122" s="15" t="inlineStr">
        <is>
          <t>2025</t>
        </is>
      </c>
      <c r="E122" s="15" t="inlineStr">
        <is>
          <t>2SC</t>
        </is>
      </c>
      <c r="F122" s="15" t="n">
        <v>0</v>
      </c>
      <c r="G122" s="16" t="n">
        <v>1</v>
      </c>
      <c r="H122" s="15" t="n">
        <v>0</v>
      </c>
      <c r="I122" s="15" t="n">
        <v>0</v>
      </c>
      <c r="J122" s="15" t="n">
        <v>0</v>
      </c>
      <c r="K122" s="15" t="n">
        <v>0</v>
      </c>
      <c r="L122" s="15" t="n">
        <v>0</v>
      </c>
      <c r="M122" s="15" t="n">
        <v>0</v>
      </c>
      <c r="N122" s="15" t="n">
        <v>0</v>
      </c>
      <c r="O122" s="15" t="n">
        <v>0</v>
      </c>
      <c r="P122" s="15" t="n">
        <v>0</v>
      </c>
      <c r="Q122" s="15" t="n">
        <v>0</v>
      </c>
      <c r="R122" s="15" t="n">
        <v>0</v>
      </c>
      <c r="S122" s="15" t="n">
        <v>0</v>
      </c>
      <c r="T122" s="15" t="n">
        <v>0</v>
      </c>
      <c r="U122" s="16" t="n">
        <v>1</v>
      </c>
      <c r="V122" s="15" t="n">
        <v>0</v>
      </c>
      <c r="W122" s="15" t="n">
        <v>0</v>
      </c>
      <c r="X122" s="15" t="n">
        <v>0</v>
      </c>
      <c r="Y122" s="15" t="n">
        <v>0</v>
      </c>
      <c r="Z122" s="15" t="n">
        <v>0</v>
      </c>
      <c r="AA122" s="15" t="n">
        <v>0</v>
      </c>
      <c r="AB122" s="16" t="n">
        <v>1</v>
      </c>
      <c r="AC122" s="17" t="n">
        <v>3</v>
      </c>
    </row>
    <row r="123" ht="15" customHeight="1">
      <c r="A123" s="15" t="n">
        <v>121</v>
      </c>
      <c r="B123" s="15" t="inlineStr">
        <is>
          <t>06834-2022</t>
        </is>
      </c>
      <c r="C123" s="15" t="inlineStr">
        <is>
          <t>Llamoja — SV de control (2021-2023)</t>
        </is>
      </c>
      <c r="D123" s="15" t="inlineStr">
        <is>
          <t>2025</t>
        </is>
      </c>
      <c r="E123" s="15" t="inlineStr">
        <is>
          <t>2SC</t>
        </is>
      </c>
      <c r="F123" s="15" t="n">
        <v>0</v>
      </c>
      <c r="G123" s="15" t="n">
        <v>0</v>
      </c>
      <c r="H123" s="15" t="n">
        <v>0</v>
      </c>
      <c r="I123" s="15" t="n">
        <v>0</v>
      </c>
      <c r="J123" s="15" t="n">
        <v>0</v>
      </c>
      <c r="K123" s="15" t="n">
        <v>0</v>
      </c>
      <c r="L123" s="16" t="n">
        <v>1</v>
      </c>
      <c r="M123" s="15" t="n">
        <v>0</v>
      </c>
      <c r="N123" s="15" t="n">
        <v>0</v>
      </c>
      <c r="O123" s="15" t="n">
        <v>0</v>
      </c>
      <c r="P123" s="15" t="n">
        <v>0</v>
      </c>
      <c r="Q123" s="16" t="n">
        <v>1</v>
      </c>
      <c r="R123" s="16" t="n">
        <v>1</v>
      </c>
      <c r="S123" s="15" t="n">
        <v>0</v>
      </c>
      <c r="T123" s="15" t="n">
        <v>0</v>
      </c>
      <c r="U123" s="15" t="n">
        <v>0</v>
      </c>
      <c r="V123" s="15" t="n">
        <v>0</v>
      </c>
      <c r="W123" s="15" t="n">
        <v>0</v>
      </c>
      <c r="X123" s="15" t="n">
        <v>0</v>
      </c>
      <c r="Y123" s="15" t="n">
        <v>0</v>
      </c>
      <c r="Z123" s="15" t="n">
        <v>0</v>
      </c>
      <c r="AA123" s="15" t="n">
        <v>0</v>
      </c>
      <c r="AB123" s="15" t="n">
        <v>0</v>
      </c>
      <c r="AC123" s="17" t="n">
        <v>3</v>
      </c>
    </row>
    <row r="124" ht="15" customHeight="1">
      <c r="A124" s="15" t="n">
        <v>122</v>
      </c>
      <c r="B124" s="15" t="inlineStr">
        <is>
          <t>06842-2014</t>
        </is>
      </c>
      <c r="C124" s="15" t="inlineStr">
        <is>
          <t>Pre-2019</t>
        </is>
      </c>
      <c r="D124" s="15" t="inlineStr">
        <is>
          <t>2018</t>
        </is>
      </c>
      <c r="E124" s="15" t="inlineStr">
        <is>
          <t>1SC</t>
        </is>
      </c>
      <c r="F124" s="15" t="n">
        <v>0</v>
      </c>
      <c r="G124" s="15" t="n">
        <v>0</v>
      </c>
      <c r="H124" s="15" t="n">
        <v>0</v>
      </c>
      <c r="I124" s="15" t="n">
        <v>0</v>
      </c>
      <c r="J124" s="15" t="n">
        <v>0</v>
      </c>
      <c r="K124" s="15" t="n">
        <v>0</v>
      </c>
      <c r="L124" s="15" t="n">
        <v>0</v>
      </c>
      <c r="M124" s="15" t="n">
        <v>0</v>
      </c>
      <c r="N124" s="15" t="n">
        <v>0</v>
      </c>
      <c r="O124" s="15" t="n">
        <v>0</v>
      </c>
      <c r="P124" s="15" t="n">
        <v>0</v>
      </c>
      <c r="Q124" s="15" t="n">
        <v>0</v>
      </c>
      <c r="R124" s="15" t="n">
        <v>0</v>
      </c>
      <c r="S124" s="15" t="n">
        <v>0</v>
      </c>
      <c r="T124" s="15" t="n">
        <v>0</v>
      </c>
      <c r="U124" s="15" t="n">
        <v>0</v>
      </c>
      <c r="V124" s="15" t="n">
        <v>0</v>
      </c>
      <c r="W124" s="15" t="n">
        <v>0</v>
      </c>
      <c r="X124" s="15" t="n">
        <v>0</v>
      </c>
      <c r="Y124" s="15" t="n">
        <v>0</v>
      </c>
      <c r="Z124" s="15" t="n">
        <v>0</v>
      </c>
      <c r="AA124" s="15" t="n">
        <v>0</v>
      </c>
      <c r="AB124" s="15" t="n">
        <v>0</v>
      </c>
      <c r="AC124" s="15" t="n">
        <v>0</v>
      </c>
    </row>
    <row r="125" ht="15" customHeight="1">
      <c r="A125" s="15" t="n">
        <v>123</v>
      </c>
      <c r="B125" s="15" t="inlineStr">
        <is>
          <t>06866-2022</t>
        </is>
      </c>
      <c r="C125" s="15" t="inlineStr">
        <is>
          <t>Llamoja — SV de control (2021-2023)</t>
        </is>
      </c>
      <c r="D125" s="15" t="inlineStr">
        <is>
          <t>2025</t>
        </is>
      </c>
      <c r="E125" s="15" t="inlineStr">
        <is>
          <t>3SC</t>
        </is>
      </c>
      <c r="F125" s="15" t="n">
        <v>0</v>
      </c>
      <c r="G125" s="15" t="n">
        <v>0</v>
      </c>
      <c r="H125" s="15" t="n">
        <v>0</v>
      </c>
      <c r="I125" s="15" t="n">
        <v>0</v>
      </c>
      <c r="J125" s="15" t="n">
        <v>0</v>
      </c>
      <c r="K125" s="15" t="n">
        <v>0</v>
      </c>
      <c r="L125" s="15" t="n">
        <v>0</v>
      </c>
      <c r="M125" s="15" t="n">
        <v>0</v>
      </c>
      <c r="N125" s="15" t="n">
        <v>0</v>
      </c>
      <c r="O125" s="15" t="n">
        <v>0</v>
      </c>
      <c r="P125" s="15" t="n">
        <v>0</v>
      </c>
      <c r="Q125" s="15" t="n">
        <v>0</v>
      </c>
      <c r="R125" s="15" t="n">
        <v>0</v>
      </c>
      <c r="S125" s="15" t="n">
        <v>0</v>
      </c>
      <c r="T125" s="15" t="n">
        <v>0</v>
      </c>
      <c r="U125" s="15" t="n">
        <v>0</v>
      </c>
      <c r="V125" s="15" t="n">
        <v>0</v>
      </c>
      <c r="W125" s="15" t="n">
        <v>0</v>
      </c>
      <c r="X125" s="15" t="n">
        <v>0</v>
      </c>
      <c r="Y125" s="15" t="n">
        <v>0</v>
      </c>
      <c r="Z125" s="16" t="n">
        <v>1</v>
      </c>
      <c r="AA125" s="15" t="n">
        <v>0</v>
      </c>
      <c r="AB125" s="15" t="n">
        <v>0</v>
      </c>
      <c r="AC125" s="17" t="n">
        <v>1</v>
      </c>
    </row>
    <row r="126" ht="15" customHeight="1">
      <c r="A126" s="15" t="n">
        <v>124</v>
      </c>
      <c r="B126" s="15" t="inlineStr">
        <is>
          <t>06942-2023</t>
        </is>
      </c>
      <c r="C126" s="15" t="inlineStr">
        <is>
          <t>Matriz sumarísimos — grupo 2024</t>
        </is>
      </c>
      <c r="D126" s="15" t="inlineStr">
        <is>
          <t>2025</t>
        </is>
      </c>
      <c r="E126" s="15" t="inlineStr">
        <is>
          <t>1SC</t>
        </is>
      </c>
      <c r="F126" s="15" t="n">
        <v>0</v>
      </c>
      <c r="G126" s="15" t="n">
        <v>0</v>
      </c>
      <c r="H126" s="15" t="n">
        <v>0</v>
      </c>
      <c r="I126" s="15" t="n">
        <v>0</v>
      </c>
      <c r="J126" s="15" t="n">
        <v>0</v>
      </c>
      <c r="K126" s="15" t="n">
        <v>0</v>
      </c>
      <c r="L126" s="15" t="n">
        <v>0</v>
      </c>
      <c r="M126" s="15" t="n">
        <v>0</v>
      </c>
      <c r="N126" s="15" t="n">
        <v>0</v>
      </c>
      <c r="O126" s="15" t="n">
        <v>0</v>
      </c>
      <c r="P126" s="15" t="n">
        <v>0</v>
      </c>
      <c r="Q126" s="15" t="n">
        <v>0</v>
      </c>
      <c r="R126" s="15" t="n">
        <v>0</v>
      </c>
      <c r="S126" s="15" t="n">
        <v>0</v>
      </c>
      <c r="T126" s="15" t="n">
        <v>0</v>
      </c>
      <c r="U126" s="15" t="n">
        <v>0</v>
      </c>
      <c r="V126" s="15" t="n">
        <v>0</v>
      </c>
      <c r="W126" s="15" t="n">
        <v>0</v>
      </c>
      <c r="X126" s="15" t="n">
        <v>0</v>
      </c>
      <c r="Y126" s="15" t="n">
        <v>0</v>
      </c>
      <c r="Z126" s="15" t="n">
        <v>0</v>
      </c>
      <c r="AA126" s="15" t="n">
        <v>0</v>
      </c>
      <c r="AB126" s="15" t="n">
        <v>0</v>
      </c>
      <c r="AC126" s="15" t="n">
        <v>0</v>
      </c>
    </row>
    <row r="127" ht="15" customHeight="1">
      <c r="A127" s="15" t="n">
        <v>125</v>
      </c>
      <c r="B127" s="15" t="inlineStr">
        <is>
          <t>07287-2022</t>
        </is>
      </c>
      <c r="C127" s="15" t="inlineStr">
        <is>
          <t>Llamoja — SV de control (2021-2023)</t>
        </is>
      </c>
      <c r="D127" s="15" t="inlineStr">
        <is>
          <t>2024</t>
        </is>
      </c>
      <c r="E127" s="15" t="inlineStr">
        <is>
          <t>1SC</t>
        </is>
      </c>
      <c r="F127" s="15" t="n">
        <v>0</v>
      </c>
      <c r="G127" s="15" t="n">
        <v>0</v>
      </c>
      <c r="H127" s="15" t="n">
        <v>0</v>
      </c>
      <c r="I127" s="15" t="n">
        <v>0</v>
      </c>
      <c r="J127" s="15" t="n">
        <v>0</v>
      </c>
      <c r="K127" s="15" t="n">
        <v>0</v>
      </c>
      <c r="L127" s="15" t="n">
        <v>0</v>
      </c>
      <c r="M127" s="15" t="n">
        <v>0</v>
      </c>
      <c r="N127" s="15" t="n">
        <v>0</v>
      </c>
      <c r="O127" s="15" t="n">
        <v>0</v>
      </c>
      <c r="P127" s="15" t="n">
        <v>0</v>
      </c>
      <c r="Q127" s="15" t="n">
        <v>0</v>
      </c>
      <c r="R127" s="15" t="n">
        <v>0</v>
      </c>
      <c r="S127" s="15" t="n">
        <v>0</v>
      </c>
      <c r="T127" s="15" t="n">
        <v>0</v>
      </c>
      <c r="U127" s="15" t="n">
        <v>0</v>
      </c>
      <c r="V127" s="15" t="n">
        <v>0</v>
      </c>
      <c r="W127" s="15" t="n">
        <v>0</v>
      </c>
      <c r="X127" s="16" t="n">
        <v>1</v>
      </c>
      <c r="Y127" s="15" t="n">
        <v>0</v>
      </c>
      <c r="Z127" s="15" t="n">
        <v>0</v>
      </c>
      <c r="AA127" s="15" t="n">
        <v>0</v>
      </c>
      <c r="AB127" s="15" t="n">
        <v>0</v>
      </c>
      <c r="AC127" s="17" t="n">
        <v>1</v>
      </c>
    </row>
    <row r="128" ht="15" customHeight="1">
      <c r="A128" s="15" t="n">
        <v>126</v>
      </c>
      <c r="B128" s="15" t="inlineStr">
        <is>
          <t>07288-2022</t>
        </is>
      </c>
      <c r="C128" s="15" t="inlineStr">
        <is>
          <t>Matriz sumarísimos — grupo 2024</t>
        </is>
      </c>
      <c r="D128" s="15" t="inlineStr">
        <is>
          <t>2025</t>
        </is>
      </c>
      <c r="E128" s="15" t="inlineStr">
        <is>
          <t>3SC</t>
        </is>
      </c>
      <c r="F128" s="15" t="n">
        <v>0</v>
      </c>
      <c r="G128" s="15" t="n">
        <v>0</v>
      </c>
      <c r="H128" s="15" t="n">
        <v>0</v>
      </c>
      <c r="I128" s="15" t="n">
        <v>0</v>
      </c>
      <c r="J128" s="15" t="n">
        <v>0</v>
      </c>
      <c r="K128" s="15" t="n">
        <v>0</v>
      </c>
      <c r="L128" s="15" t="n">
        <v>0</v>
      </c>
      <c r="M128" s="15" t="n">
        <v>0</v>
      </c>
      <c r="N128" s="15" t="n">
        <v>0</v>
      </c>
      <c r="O128" s="15" t="n">
        <v>0</v>
      </c>
      <c r="P128" s="15" t="n">
        <v>0</v>
      </c>
      <c r="Q128" s="15" t="n">
        <v>0</v>
      </c>
      <c r="R128" s="15" t="n">
        <v>0</v>
      </c>
      <c r="S128" s="15" t="n">
        <v>0</v>
      </c>
      <c r="T128" s="15" t="n">
        <v>0</v>
      </c>
      <c r="U128" s="15" t="n">
        <v>0</v>
      </c>
      <c r="V128" s="15" t="n">
        <v>0</v>
      </c>
      <c r="W128" s="15" t="n">
        <v>0</v>
      </c>
      <c r="X128" s="15" t="n">
        <v>0</v>
      </c>
      <c r="Y128" s="15" t="n">
        <v>0</v>
      </c>
      <c r="Z128" s="15" t="n">
        <v>0</v>
      </c>
      <c r="AA128" s="15" t="n">
        <v>0</v>
      </c>
      <c r="AB128" s="15" t="n">
        <v>0</v>
      </c>
      <c r="AC128" s="15" t="n">
        <v>0</v>
      </c>
    </row>
    <row r="129" ht="15" customHeight="1">
      <c r="A129" s="15" t="n">
        <v>127</v>
      </c>
      <c r="B129" s="15" t="inlineStr">
        <is>
          <t>07296-2022</t>
        </is>
      </c>
      <c r="C129" s="15" t="inlineStr">
        <is>
          <t>Llamoja — SV de control (2021-2023)</t>
        </is>
      </c>
      <c r="D129" s="15" t="inlineStr">
        <is>
          <t>2025</t>
        </is>
      </c>
      <c r="E129" s="15" t="inlineStr">
        <is>
          <t>3SC</t>
        </is>
      </c>
      <c r="F129" s="15" t="n">
        <v>0</v>
      </c>
      <c r="G129" s="15" t="n">
        <v>0</v>
      </c>
      <c r="H129" s="15" t="n">
        <v>0</v>
      </c>
      <c r="I129" s="15" t="n">
        <v>0</v>
      </c>
      <c r="J129" s="15" t="n">
        <v>0</v>
      </c>
      <c r="K129" s="15" t="n">
        <v>0</v>
      </c>
      <c r="L129" s="15" t="n">
        <v>0</v>
      </c>
      <c r="M129" s="15" t="n">
        <v>0</v>
      </c>
      <c r="N129" s="15" t="n">
        <v>0</v>
      </c>
      <c r="O129" s="15" t="n">
        <v>0</v>
      </c>
      <c r="P129" s="15" t="n">
        <v>0</v>
      </c>
      <c r="Q129" s="16" t="n">
        <v>1</v>
      </c>
      <c r="R129" s="16" t="n">
        <v>1</v>
      </c>
      <c r="S129" s="15" t="n">
        <v>0</v>
      </c>
      <c r="T129" s="15" t="n">
        <v>0</v>
      </c>
      <c r="U129" s="15" t="n">
        <v>0</v>
      </c>
      <c r="V129" s="15" t="n">
        <v>0</v>
      </c>
      <c r="W129" s="15" t="n">
        <v>0</v>
      </c>
      <c r="X129" s="15" t="n">
        <v>0</v>
      </c>
      <c r="Y129" s="15" t="n">
        <v>0</v>
      </c>
      <c r="Z129" s="15" t="n">
        <v>0</v>
      </c>
      <c r="AA129" s="15" t="n">
        <v>0</v>
      </c>
      <c r="AB129" s="15" t="n">
        <v>0</v>
      </c>
      <c r="AC129" s="17" t="n">
        <v>2</v>
      </c>
    </row>
    <row r="130" ht="15" customHeight="1">
      <c r="A130" s="15" t="n">
        <v>128</v>
      </c>
      <c r="B130" s="15" t="inlineStr">
        <is>
          <t>07480-2014</t>
        </is>
      </c>
      <c r="C130" s="15" t="inlineStr">
        <is>
          <t>Pre-2019</t>
        </is>
      </c>
      <c r="D130" s="15" t="inlineStr">
        <is>
          <t>2018</t>
        </is>
      </c>
      <c r="E130" s="15" t="inlineStr">
        <is>
          <t>2SC</t>
        </is>
      </c>
      <c r="F130" s="15" t="n">
        <v>0</v>
      </c>
      <c r="G130" s="15" t="n">
        <v>0</v>
      </c>
      <c r="H130" s="15" t="n">
        <v>0</v>
      </c>
      <c r="I130" s="15" t="n">
        <v>0</v>
      </c>
      <c r="J130" s="15" t="n">
        <v>0</v>
      </c>
      <c r="K130" s="15" t="n">
        <v>0</v>
      </c>
      <c r="L130" s="15" t="n">
        <v>0</v>
      </c>
      <c r="M130" s="15" t="n">
        <v>0</v>
      </c>
      <c r="N130" s="15" t="n">
        <v>0</v>
      </c>
      <c r="O130" s="15" t="n">
        <v>0</v>
      </c>
      <c r="P130" s="15" t="n">
        <v>0</v>
      </c>
      <c r="Q130" s="15" t="n">
        <v>0</v>
      </c>
      <c r="R130" s="15" t="n">
        <v>0</v>
      </c>
      <c r="S130" s="15" t="n">
        <v>0</v>
      </c>
      <c r="T130" s="15" t="n">
        <v>0</v>
      </c>
      <c r="U130" s="15" t="n">
        <v>0</v>
      </c>
      <c r="V130" s="15" t="n">
        <v>0</v>
      </c>
      <c r="W130" s="15" t="n">
        <v>0</v>
      </c>
      <c r="X130" s="16" t="n">
        <v>1</v>
      </c>
      <c r="Y130" s="15" t="n">
        <v>0</v>
      </c>
      <c r="Z130" s="15" t="n">
        <v>0</v>
      </c>
      <c r="AA130" s="15" t="n">
        <v>0</v>
      </c>
      <c r="AB130" s="15" t="n">
        <v>0</v>
      </c>
      <c r="AC130" s="17" t="n">
        <v>1</v>
      </c>
    </row>
    <row r="131" ht="15" customHeight="1">
      <c r="A131" s="15" t="n">
        <v>129</v>
      </c>
      <c r="B131" s="15" t="inlineStr">
        <is>
          <t>07590-2022</t>
        </is>
      </c>
      <c r="C131" s="15" t="inlineStr">
        <is>
          <t>Matriz sumarísimos — grupo 2024</t>
        </is>
      </c>
      <c r="D131" s="15" t="inlineStr">
        <is>
          <t>2024</t>
        </is>
      </c>
      <c r="E131" s="15" t="inlineStr">
        <is>
          <t>1SC</t>
        </is>
      </c>
      <c r="F131" s="15" t="n">
        <v>0</v>
      </c>
      <c r="G131" s="15" t="n">
        <v>0</v>
      </c>
      <c r="H131" s="15" t="n">
        <v>0</v>
      </c>
      <c r="I131" s="15" t="n">
        <v>0</v>
      </c>
      <c r="J131" s="15" t="n">
        <v>0</v>
      </c>
      <c r="K131" s="15" t="n">
        <v>0</v>
      </c>
      <c r="L131" s="15" t="n">
        <v>0</v>
      </c>
      <c r="M131" s="15" t="n">
        <v>0</v>
      </c>
      <c r="N131" s="15" t="n">
        <v>0</v>
      </c>
      <c r="O131" s="15" t="n">
        <v>0</v>
      </c>
      <c r="P131" s="15" t="n">
        <v>0</v>
      </c>
      <c r="Q131" s="15" t="n">
        <v>0</v>
      </c>
      <c r="R131" s="15" t="n">
        <v>0</v>
      </c>
      <c r="S131" s="15" t="n">
        <v>0</v>
      </c>
      <c r="T131" s="15" t="n">
        <v>0</v>
      </c>
      <c r="U131" s="15" t="n">
        <v>0</v>
      </c>
      <c r="V131" s="15" t="n">
        <v>0</v>
      </c>
      <c r="W131" s="15" t="n">
        <v>0</v>
      </c>
      <c r="X131" s="15" t="n">
        <v>0</v>
      </c>
      <c r="Y131" s="15" t="n">
        <v>0</v>
      </c>
      <c r="Z131" s="15" t="n">
        <v>0</v>
      </c>
      <c r="AA131" s="15" t="n">
        <v>0</v>
      </c>
      <c r="AB131" s="15" t="n">
        <v>0</v>
      </c>
      <c r="AC131" s="15" t="n">
        <v>0</v>
      </c>
    </row>
    <row r="132" ht="15" customHeight="1">
      <c r="A132" s="15" t="n">
        <v>130</v>
      </c>
      <c r="B132" s="15" t="inlineStr">
        <is>
          <t>07595-2022</t>
        </is>
      </c>
      <c r="C132" s="15" t="inlineStr">
        <is>
          <t>Llamoja — SV de control (2021-2023)</t>
        </is>
      </c>
      <c r="D132" s="15" t="inlineStr">
        <is>
          <t>2025</t>
        </is>
      </c>
      <c r="E132" s="15" t="inlineStr">
        <is>
          <t>2SC</t>
        </is>
      </c>
      <c r="F132" s="15" t="n">
        <v>0</v>
      </c>
      <c r="G132" s="15" t="n">
        <v>0</v>
      </c>
      <c r="H132" s="15" t="n">
        <v>0</v>
      </c>
      <c r="I132" s="15" t="n">
        <v>0</v>
      </c>
      <c r="J132" s="15" t="n">
        <v>0</v>
      </c>
      <c r="K132" s="15" t="n">
        <v>0</v>
      </c>
      <c r="L132" s="15" t="n">
        <v>0</v>
      </c>
      <c r="M132" s="15" t="n">
        <v>0</v>
      </c>
      <c r="N132" s="15" t="n">
        <v>0</v>
      </c>
      <c r="O132" s="15" t="n">
        <v>0</v>
      </c>
      <c r="P132" s="15" t="n">
        <v>0</v>
      </c>
      <c r="Q132" s="15" t="n">
        <v>0</v>
      </c>
      <c r="R132" s="15" t="n">
        <v>0</v>
      </c>
      <c r="S132" s="15" t="n">
        <v>0</v>
      </c>
      <c r="T132" s="15" t="n">
        <v>0</v>
      </c>
      <c r="U132" s="15" t="n">
        <v>0</v>
      </c>
      <c r="V132" s="15" t="n">
        <v>0</v>
      </c>
      <c r="W132" s="15" t="n">
        <v>0</v>
      </c>
      <c r="X132" s="15" t="n">
        <v>0</v>
      </c>
      <c r="Y132" s="16" t="n">
        <v>1</v>
      </c>
      <c r="Z132" s="15" t="n">
        <v>0</v>
      </c>
      <c r="AA132" s="15" t="n">
        <v>0</v>
      </c>
      <c r="AB132" s="15" t="n">
        <v>0</v>
      </c>
      <c r="AC132" s="17" t="n">
        <v>1</v>
      </c>
    </row>
    <row r="133" ht="15" customHeight="1">
      <c r="A133" s="15" t="n">
        <v>131</v>
      </c>
      <c r="B133" s="15" t="inlineStr">
        <is>
          <t>07606-2013</t>
        </is>
      </c>
      <c r="C133" s="15" t="inlineStr">
        <is>
          <t>Matriz sumarísimos — anteriores a 2019</t>
        </is>
      </c>
      <c r="D133" s="15" t="inlineStr">
        <is>
          <t>2019</t>
        </is>
      </c>
      <c r="E133" s="15" t="inlineStr">
        <is>
          <t>2SC</t>
        </is>
      </c>
      <c r="F133" s="15" t="n">
        <v>0</v>
      </c>
      <c r="G133" s="15" t="n">
        <v>0</v>
      </c>
      <c r="H133" s="15" t="n">
        <v>0</v>
      </c>
      <c r="I133" s="15" t="n">
        <v>0</v>
      </c>
      <c r="J133" s="15" t="n">
        <v>0</v>
      </c>
      <c r="K133" s="15" t="n">
        <v>0</v>
      </c>
      <c r="L133" s="15" t="n">
        <v>0</v>
      </c>
      <c r="M133" s="15" t="n">
        <v>0</v>
      </c>
      <c r="N133" s="15" t="n">
        <v>0</v>
      </c>
      <c r="O133" s="15" t="n">
        <v>0</v>
      </c>
      <c r="P133" s="15" t="n">
        <v>0</v>
      </c>
      <c r="Q133" s="15" t="n">
        <v>0</v>
      </c>
      <c r="R133" s="15" t="n">
        <v>0</v>
      </c>
      <c r="S133" s="15" t="n">
        <v>0</v>
      </c>
      <c r="T133" s="16" t="n">
        <v>1</v>
      </c>
      <c r="U133" s="16" t="n">
        <v>1</v>
      </c>
      <c r="V133" s="15" t="n">
        <v>0</v>
      </c>
      <c r="W133" s="15" t="n">
        <v>0</v>
      </c>
      <c r="X133" s="15" t="n">
        <v>0</v>
      </c>
      <c r="Y133" s="15" t="n">
        <v>0</v>
      </c>
      <c r="Z133" s="15" t="n">
        <v>0</v>
      </c>
      <c r="AA133" s="15" t="n">
        <v>0</v>
      </c>
      <c r="AB133" s="15" t="n">
        <v>0</v>
      </c>
      <c r="AC133" s="17" t="n">
        <v>2</v>
      </c>
    </row>
    <row r="134" ht="15" customHeight="1">
      <c r="A134" s="15" t="n">
        <v>132</v>
      </c>
      <c r="B134" s="15" t="inlineStr">
        <is>
          <t>07609-2014</t>
        </is>
      </c>
      <c r="C134" s="15" t="inlineStr">
        <is>
          <t>Matriz sumarísimos — anteriores a 2019</t>
        </is>
      </c>
      <c r="D134" s="15" t="inlineStr">
        <is>
          <t>2019</t>
        </is>
      </c>
      <c r="E134" s="15" t="inlineStr">
        <is>
          <t>2SC</t>
        </is>
      </c>
      <c r="F134" s="15" t="n">
        <v>0</v>
      </c>
      <c r="G134" s="15" t="n">
        <v>0</v>
      </c>
      <c r="H134" s="15" t="n">
        <v>0</v>
      </c>
      <c r="I134" s="15" t="n">
        <v>0</v>
      </c>
      <c r="J134" s="15" t="n">
        <v>0</v>
      </c>
      <c r="K134" s="15" t="n">
        <v>0</v>
      </c>
      <c r="L134" s="15" t="n">
        <v>0</v>
      </c>
      <c r="M134" s="15" t="n">
        <v>0</v>
      </c>
      <c r="N134" s="15" t="n">
        <v>0</v>
      </c>
      <c r="O134" s="15" t="n">
        <v>0</v>
      </c>
      <c r="P134" s="15" t="n">
        <v>0</v>
      </c>
      <c r="Q134" s="15" t="n">
        <v>0</v>
      </c>
      <c r="R134" s="15" t="n">
        <v>0</v>
      </c>
      <c r="S134" s="15" t="n">
        <v>0</v>
      </c>
      <c r="T134" s="15" t="n">
        <v>0</v>
      </c>
      <c r="U134" s="15" t="n">
        <v>0</v>
      </c>
      <c r="V134" s="15" t="n">
        <v>0</v>
      </c>
      <c r="W134" s="15" t="n">
        <v>0</v>
      </c>
      <c r="X134" s="15" t="n">
        <v>0</v>
      </c>
      <c r="Y134" s="15" t="n">
        <v>0</v>
      </c>
      <c r="Z134" s="15" t="n">
        <v>0</v>
      </c>
      <c r="AA134" s="15" t="n">
        <v>0</v>
      </c>
      <c r="AB134" s="15" t="n">
        <v>0</v>
      </c>
      <c r="AC134" s="15" t="n">
        <v>0</v>
      </c>
    </row>
    <row r="135" ht="15" customHeight="1">
      <c r="A135" s="15" t="n">
        <v>133</v>
      </c>
      <c r="B135" s="15" t="inlineStr">
        <is>
          <t>08092-2014</t>
        </is>
      </c>
      <c r="C135" s="15" t="inlineStr">
        <is>
          <t>Pre-2019</t>
        </is>
      </c>
      <c r="D135" s="15" t="inlineStr">
        <is>
          <t>2020</t>
        </is>
      </c>
      <c r="E135" s="15" t="inlineStr">
        <is>
          <t>2SC</t>
        </is>
      </c>
      <c r="F135" s="15" t="n">
        <v>0</v>
      </c>
      <c r="G135" s="15" t="n">
        <v>0</v>
      </c>
      <c r="H135" s="15" t="n">
        <v>0</v>
      </c>
      <c r="I135" s="15" t="n">
        <v>0</v>
      </c>
      <c r="J135" s="15" t="n">
        <v>0</v>
      </c>
      <c r="K135" s="15" t="n">
        <v>0</v>
      </c>
      <c r="L135" s="15" t="n">
        <v>0</v>
      </c>
      <c r="M135" s="15" t="n">
        <v>0</v>
      </c>
      <c r="N135" s="15" t="n">
        <v>0</v>
      </c>
      <c r="O135" s="15" t="n">
        <v>0</v>
      </c>
      <c r="P135" s="15" t="n">
        <v>0</v>
      </c>
      <c r="Q135" s="15" t="n">
        <v>0</v>
      </c>
      <c r="R135" s="15" t="n">
        <v>0</v>
      </c>
      <c r="S135" s="15" t="n">
        <v>0</v>
      </c>
      <c r="T135" s="15" t="n">
        <v>0</v>
      </c>
      <c r="U135" s="16" t="n">
        <v>1</v>
      </c>
      <c r="V135" s="15" t="n">
        <v>0</v>
      </c>
      <c r="W135" s="15" t="n">
        <v>0</v>
      </c>
      <c r="X135" s="15" t="n">
        <v>0</v>
      </c>
      <c r="Y135" s="15" t="n">
        <v>0</v>
      </c>
      <c r="Z135" s="15" t="n">
        <v>0</v>
      </c>
      <c r="AA135" s="15" t="n">
        <v>0</v>
      </c>
      <c r="AB135" s="15" t="n">
        <v>0</v>
      </c>
      <c r="AC135" s="17" t="n">
        <v>1</v>
      </c>
    </row>
    <row r="136" ht="15" customHeight="1">
      <c r="A136" s="15" t="n">
        <v>134</v>
      </c>
      <c r="B136" s="15" t="inlineStr">
        <is>
          <t>08461-2014</t>
        </is>
      </c>
      <c r="C136" s="15" t="inlineStr">
        <is>
          <t>Matriz sumarísimos — anteriores a 2019</t>
        </is>
      </c>
      <c r="D136" s="15" t="inlineStr">
        <is>
          <t>2018</t>
        </is>
      </c>
      <c r="E136" s="15" t="inlineStr">
        <is>
          <t>3SC</t>
        </is>
      </c>
      <c r="F136" s="15" t="n">
        <v>0</v>
      </c>
      <c r="G136" s="15" t="n">
        <v>0</v>
      </c>
      <c r="H136" s="15" t="n">
        <v>0</v>
      </c>
      <c r="I136" s="15" t="n">
        <v>0</v>
      </c>
      <c r="J136" s="15" t="n">
        <v>0</v>
      </c>
      <c r="K136" s="15" t="n">
        <v>0</v>
      </c>
      <c r="L136" s="15" t="n">
        <v>0</v>
      </c>
      <c r="M136" s="15" t="n">
        <v>0</v>
      </c>
      <c r="N136" s="15" t="n">
        <v>0</v>
      </c>
      <c r="O136" s="15" t="n">
        <v>0</v>
      </c>
      <c r="P136" s="15" t="n">
        <v>0</v>
      </c>
      <c r="Q136" s="15" t="n">
        <v>0</v>
      </c>
      <c r="R136" s="15" t="n">
        <v>0</v>
      </c>
      <c r="S136" s="15" t="n">
        <v>0</v>
      </c>
      <c r="T136" s="15" t="n">
        <v>0</v>
      </c>
      <c r="U136" s="15" t="n">
        <v>0</v>
      </c>
      <c r="V136" s="15" t="n">
        <v>0</v>
      </c>
      <c r="W136" s="15" t="n">
        <v>0</v>
      </c>
      <c r="X136" s="15" t="n">
        <v>0</v>
      </c>
      <c r="Y136" s="15" t="n">
        <v>0</v>
      </c>
      <c r="Z136" s="15" t="n">
        <v>0</v>
      </c>
      <c r="AA136" s="15" t="n">
        <v>0</v>
      </c>
      <c r="AB136" s="15" t="n">
        <v>0</v>
      </c>
      <c r="AC136" s="15" t="n">
        <v>0</v>
      </c>
    </row>
    <row r="137" ht="15" customHeight="1">
      <c r="A137" s="15" t="n">
        <v>135</v>
      </c>
      <c r="B137" s="15" t="inlineStr">
        <is>
          <t>01302-2015</t>
        </is>
      </c>
      <c r="C137" s="15" t="inlineStr">
        <is>
          <t>Abreviado — anteriores a 2019 (ABR18_SV)</t>
        </is>
      </c>
      <c r="D137" s="15" t="inlineStr">
        <is>
          <t>2019</t>
        </is>
      </c>
      <c r="E137" s="15" t="inlineStr">
        <is>
          <t>1SC</t>
        </is>
      </c>
      <c r="F137" s="15" t="n">
        <v>0</v>
      </c>
      <c r="G137" s="15" t="n">
        <v>0</v>
      </c>
      <c r="H137" s="15" t="n">
        <v>0</v>
      </c>
      <c r="I137" s="15" t="n">
        <v>0</v>
      </c>
      <c r="J137" s="15" t="n">
        <v>0</v>
      </c>
      <c r="K137" s="15" t="n">
        <v>0</v>
      </c>
      <c r="L137" s="15" t="n">
        <v>0</v>
      </c>
      <c r="M137" s="15" t="n">
        <v>0</v>
      </c>
      <c r="N137" s="15" t="n">
        <v>0</v>
      </c>
      <c r="O137" s="15" t="n">
        <v>0</v>
      </c>
      <c r="P137" s="15" t="n">
        <v>0</v>
      </c>
      <c r="Q137" s="16" t="n">
        <v>0</v>
      </c>
      <c r="R137" s="15" t="n">
        <v>0</v>
      </c>
      <c r="S137" s="15" t="n">
        <v>0</v>
      </c>
      <c r="T137" s="16" t="n">
        <v>0</v>
      </c>
      <c r="U137" s="15" t="n">
        <v>0</v>
      </c>
      <c r="V137" s="15" t="n">
        <v>0</v>
      </c>
      <c r="W137" s="15" t="n">
        <v>0</v>
      </c>
      <c r="X137" s="15" t="n">
        <v>0</v>
      </c>
      <c r="Y137" s="15" t="n">
        <v>0</v>
      </c>
      <c r="Z137" s="15" t="n">
        <v>0</v>
      </c>
      <c r="AA137" s="15" t="n">
        <v>0</v>
      </c>
      <c r="AB137" s="15" t="n">
        <v>0</v>
      </c>
      <c r="AC137" s="17" t="n">
        <v>0</v>
      </c>
    </row>
    <row r="138" ht="15" customHeight="1">
      <c r="A138" s="15" t="n">
        <v>136</v>
      </c>
      <c r="B138" s="15" t="inlineStr">
        <is>
          <t>01530-2015</t>
        </is>
      </c>
      <c r="C138" s="15" t="inlineStr">
        <is>
          <t>Abreviado — anteriores a 2019 (ABR18_SV)</t>
        </is>
      </c>
      <c r="D138" s="15" t="inlineStr">
        <is>
          <t>2019</t>
        </is>
      </c>
      <c r="E138" s="15" t="inlineStr">
        <is>
          <t>2SC</t>
        </is>
      </c>
      <c r="F138" s="15" t="n">
        <v>0</v>
      </c>
      <c r="G138" s="15" t="n">
        <v>0</v>
      </c>
      <c r="H138" s="15" t="n">
        <v>0</v>
      </c>
      <c r="I138" s="15" t="n">
        <v>0</v>
      </c>
      <c r="J138" s="15" t="n">
        <v>0</v>
      </c>
      <c r="K138" s="15" t="n">
        <v>0</v>
      </c>
      <c r="L138" s="15" t="n">
        <v>0</v>
      </c>
      <c r="M138" s="15" t="n">
        <v>1</v>
      </c>
      <c r="N138" s="15" t="n">
        <v>0</v>
      </c>
      <c r="O138" s="15" t="n">
        <v>0</v>
      </c>
      <c r="P138" s="15" t="n">
        <v>1</v>
      </c>
      <c r="Q138" s="16" t="n">
        <v>0</v>
      </c>
      <c r="R138" s="15" t="n">
        <v>1</v>
      </c>
      <c r="S138" s="15" t="n">
        <v>1</v>
      </c>
      <c r="T138" s="16" t="n">
        <v>0</v>
      </c>
      <c r="U138" s="15" t="n">
        <v>0</v>
      </c>
      <c r="V138" s="15" t="n">
        <v>0</v>
      </c>
      <c r="W138" s="15" t="n">
        <v>0</v>
      </c>
      <c r="X138" s="15" t="n">
        <v>0</v>
      </c>
      <c r="Y138" s="15" t="n">
        <v>0</v>
      </c>
      <c r="Z138" s="15" t="n">
        <v>0</v>
      </c>
      <c r="AA138" s="15" t="n">
        <v>0</v>
      </c>
      <c r="AB138" s="15" t="n">
        <v>0</v>
      </c>
      <c r="AC138" s="17" t="n">
        <v>4</v>
      </c>
    </row>
    <row r="139" ht="15" customHeight="1">
      <c r="A139" s="15" t="n">
        <v>137</v>
      </c>
      <c r="B139" s="15" t="inlineStr">
        <is>
          <t>01612-2015</t>
        </is>
      </c>
      <c r="C139" s="15" t="inlineStr">
        <is>
          <t>Abreviado — anteriores a 2019 (ABR18_SV)</t>
        </is>
      </c>
      <c r="D139" s="15" t="inlineStr">
        <is>
          <t>2019</t>
        </is>
      </c>
      <c r="E139" s="15" t="inlineStr">
        <is>
          <t>1SC</t>
        </is>
      </c>
      <c r="F139" s="15" t="n">
        <v>0</v>
      </c>
      <c r="G139" s="15" t="n">
        <v>0</v>
      </c>
      <c r="H139" s="15" t="n">
        <v>1</v>
      </c>
      <c r="I139" s="15" t="n">
        <v>0</v>
      </c>
      <c r="J139" s="15" t="n">
        <v>0</v>
      </c>
      <c r="K139" s="15" t="n">
        <v>0</v>
      </c>
      <c r="L139" s="15" t="n">
        <v>0</v>
      </c>
      <c r="M139" s="15" t="n">
        <v>0</v>
      </c>
      <c r="N139" s="15" t="n">
        <v>0</v>
      </c>
      <c r="O139" s="15" t="n">
        <v>0</v>
      </c>
      <c r="P139" s="15" t="n">
        <v>0</v>
      </c>
      <c r="Q139" s="16" t="n">
        <v>0</v>
      </c>
      <c r="R139" s="15" t="n">
        <v>1</v>
      </c>
      <c r="S139" s="15" t="n">
        <v>0</v>
      </c>
      <c r="T139" s="16" t="n">
        <v>0</v>
      </c>
      <c r="U139" s="15" t="n">
        <v>0</v>
      </c>
      <c r="V139" s="15" t="n">
        <v>0</v>
      </c>
      <c r="W139" s="15" t="n">
        <v>0</v>
      </c>
      <c r="X139" s="15" t="n">
        <v>0</v>
      </c>
      <c r="Y139" s="15" t="n">
        <v>0</v>
      </c>
      <c r="Z139" s="15" t="n">
        <v>0</v>
      </c>
      <c r="AA139" s="15" t="n">
        <v>0</v>
      </c>
      <c r="AB139" s="15" t="n">
        <v>0</v>
      </c>
      <c r="AC139" s="17" t="n">
        <v>2</v>
      </c>
    </row>
    <row r="140" ht="15" customHeight="1">
      <c r="A140" s="15" t="n">
        <v>138</v>
      </c>
      <c r="B140" s="15" t="inlineStr">
        <is>
          <t>01763-2012</t>
        </is>
      </c>
      <c r="C140" s="15" t="inlineStr">
        <is>
          <t>Abreviado — anteriores a 2019 (ABR18_SV)</t>
        </is>
      </c>
      <c r="D140" s="15" t="inlineStr">
        <is>
          <t>2019</t>
        </is>
      </c>
      <c r="E140" s="15" t="inlineStr">
        <is>
          <t>2SC</t>
        </is>
      </c>
      <c r="F140" s="15" t="n">
        <v>0</v>
      </c>
      <c r="G140" s="15" t="n">
        <v>0</v>
      </c>
      <c r="H140" s="15" t="n">
        <v>0</v>
      </c>
      <c r="I140" s="15" t="n">
        <v>0</v>
      </c>
      <c r="J140" s="15" t="n">
        <v>0</v>
      </c>
      <c r="K140" s="15" t="n">
        <v>0</v>
      </c>
      <c r="L140" s="15" t="n">
        <v>0</v>
      </c>
      <c r="M140" s="15" t="n">
        <v>0</v>
      </c>
      <c r="N140" s="15" t="n">
        <v>0</v>
      </c>
      <c r="O140" s="15" t="n">
        <v>0</v>
      </c>
      <c r="P140" s="15" t="n">
        <v>0</v>
      </c>
      <c r="Q140" s="16" t="n">
        <v>0</v>
      </c>
      <c r="R140" s="15" t="n">
        <v>0</v>
      </c>
      <c r="S140" s="15" t="n">
        <v>0</v>
      </c>
      <c r="T140" s="16" t="n">
        <v>0</v>
      </c>
      <c r="U140" s="15" t="n">
        <v>0</v>
      </c>
      <c r="V140" s="15" t="n">
        <v>0</v>
      </c>
      <c r="W140" s="15" t="n">
        <v>0</v>
      </c>
      <c r="X140" s="15" t="n">
        <v>0</v>
      </c>
      <c r="Y140" s="15" t="n">
        <v>0</v>
      </c>
      <c r="Z140" s="15" t="n">
        <v>1</v>
      </c>
      <c r="AA140" s="15" t="n">
        <v>0</v>
      </c>
      <c r="AB140" s="15" t="n">
        <v>0</v>
      </c>
      <c r="AC140" s="17" t="n">
        <v>1</v>
      </c>
    </row>
    <row r="141" ht="15" customHeight="1">
      <c r="A141" s="15" t="n">
        <v>139</v>
      </c>
      <c r="B141" s="15" t="inlineStr">
        <is>
          <t>01852-2016</t>
        </is>
      </c>
      <c r="C141" s="15" t="inlineStr">
        <is>
          <t>Abreviado — anteriores a 2019 (ABR18_SV)</t>
        </is>
      </c>
      <c r="D141" s="15" t="inlineStr">
        <is>
          <t>2021</t>
        </is>
      </c>
      <c r="E141" s="15" t="inlineStr">
        <is>
          <t>2SC</t>
        </is>
      </c>
      <c r="F141" s="15" t="n">
        <v>0</v>
      </c>
      <c r="G141" s="15" t="n">
        <v>0</v>
      </c>
      <c r="H141" s="15" t="n">
        <v>0</v>
      </c>
      <c r="I141" s="15" t="n">
        <v>0</v>
      </c>
      <c r="J141" s="15" t="n">
        <v>0</v>
      </c>
      <c r="K141" s="15" t="n">
        <v>0</v>
      </c>
      <c r="L141" s="15" t="n">
        <v>0</v>
      </c>
      <c r="M141" s="15" t="n">
        <v>0</v>
      </c>
      <c r="N141" s="15" t="n">
        <v>0</v>
      </c>
      <c r="O141" s="15" t="n">
        <v>0</v>
      </c>
      <c r="P141" s="15" t="n">
        <v>0</v>
      </c>
      <c r="Q141" s="16" t="n">
        <v>1</v>
      </c>
      <c r="R141" s="15" t="n">
        <v>0</v>
      </c>
      <c r="S141" s="15" t="n">
        <v>0</v>
      </c>
      <c r="T141" s="16" t="n">
        <v>1</v>
      </c>
      <c r="U141" s="15" t="n">
        <v>0</v>
      </c>
      <c r="V141" s="15" t="n">
        <v>0</v>
      </c>
      <c r="W141" s="15" t="n">
        <v>0</v>
      </c>
      <c r="X141" s="15" t="n">
        <v>0</v>
      </c>
      <c r="Y141" s="15" t="n">
        <v>0</v>
      </c>
      <c r="Z141" s="15" t="n">
        <v>0</v>
      </c>
      <c r="AA141" s="15" t="n">
        <v>0</v>
      </c>
      <c r="AB141" s="15" t="n">
        <v>0</v>
      </c>
      <c r="AC141" s="17" t="n">
        <v>2</v>
      </c>
    </row>
    <row r="142" ht="15" customHeight="1">
      <c r="A142" s="15" t="n">
        <v>140</v>
      </c>
      <c r="B142" s="15" t="inlineStr">
        <is>
          <t>01922-2014</t>
        </is>
      </c>
      <c r="C142" s="15" t="inlineStr">
        <is>
          <t>Abreviado — anteriores a 2019 (ABR18_SV)</t>
        </is>
      </c>
      <c r="D142" s="15" t="inlineStr">
        <is>
          <t>2016</t>
        </is>
      </c>
      <c r="E142" s="15" t="inlineStr">
        <is>
          <t>1SC</t>
        </is>
      </c>
      <c r="F142" s="15" t="n">
        <v>0</v>
      </c>
      <c r="G142" s="15" t="n">
        <v>0</v>
      </c>
      <c r="H142" s="15" t="n">
        <v>0</v>
      </c>
      <c r="I142" s="15" t="n">
        <v>0</v>
      </c>
      <c r="J142" s="15" t="n">
        <v>0</v>
      </c>
      <c r="K142" s="15" t="n">
        <v>0</v>
      </c>
      <c r="L142" s="15" t="n">
        <v>0</v>
      </c>
      <c r="M142" s="15" t="n">
        <v>0</v>
      </c>
      <c r="N142" s="15" t="n">
        <v>0</v>
      </c>
      <c r="O142" s="15" t="n">
        <v>0</v>
      </c>
      <c r="P142" s="15" t="n">
        <v>0</v>
      </c>
      <c r="Q142" s="16" t="n">
        <v>0</v>
      </c>
      <c r="R142" s="15" t="n">
        <v>0</v>
      </c>
      <c r="S142" s="15" t="n">
        <v>0</v>
      </c>
      <c r="T142" s="16" t="n">
        <v>0</v>
      </c>
      <c r="U142" s="15" t="n">
        <v>0</v>
      </c>
      <c r="V142" s="15" t="n">
        <v>0</v>
      </c>
      <c r="W142" s="15" t="n">
        <v>0</v>
      </c>
      <c r="X142" s="15" t="n">
        <v>0</v>
      </c>
      <c r="Y142" s="15" t="n">
        <v>0</v>
      </c>
      <c r="Z142" s="15" t="n">
        <v>0</v>
      </c>
      <c r="AA142" s="15" t="n">
        <v>0</v>
      </c>
      <c r="AB142" s="15" t="n">
        <v>0</v>
      </c>
      <c r="AC142" s="17" t="n">
        <v>0</v>
      </c>
    </row>
    <row r="143" ht="15" customHeight="1">
      <c r="A143" s="15" t="n">
        <v>141</v>
      </c>
      <c r="B143" s="15" t="inlineStr">
        <is>
          <t>02126-2011</t>
        </is>
      </c>
      <c r="C143" s="15" t="inlineStr">
        <is>
          <t>Abreviado — anteriores a 2019 (ABR18_SV)</t>
        </is>
      </c>
      <c r="D143" s="15" t="inlineStr">
        <is>
          <t>2018</t>
        </is>
      </c>
      <c r="E143" s="15" t="inlineStr">
        <is>
          <t>1SC</t>
        </is>
      </c>
      <c r="F143" s="15" t="n">
        <v>0</v>
      </c>
      <c r="G143" s="15" t="n">
        <v>0</v>
      </c>
      <c r="H143" s="15" t="n">
        <v>0</v>
      </c>
      <c r="I143" s="15" t="n">
        <v>0</v>
      </c>
      <c r="J143" s="15" t="n">
        <v>0</v>
      </c>
      <c r="K143" s="15" t="n">
        <v>0</v>
      </c>
      <c r="L143" s="15" t="n">
        <v>1</v>
      </c>
      <c r="M143" s="15" t="n">
        <v>0</v>
      </c>
      <c r="N143" s="15" t="n">
        <v>0</v>
      </c>
      <c r="O143" s="15" t="n">
        <v>0</v>
      </c>
      <c r="P143" s="15" t="n">
        <v>1</v>
      </c>
      <c r="Q143" s="16" t="n">
        <v>1</v>
      </c>
      <c r="R143" s="15" t="n">
        <v>0</v>
      </c>
      <c r="S143" s="15" t="n">
        <v>1</v>
      </c>
      <c r="T143" s="16" t="n">
        <v>0</v>
      </c>
      <c r="U143" s="15" t="n">
        <v>1</v>
      </c>
      <c r="V143" s="15" t="n">
        <v>0</v>
      </c>
      <c r="W143" s="15" t="n">
        <v>0</v>
      </c>
      <c r="X143" s="15" t="n">
        <v>0</v>
      </c>
      <c r="Y143" s="15" t="n">
        <v>0</v>
      </c>
      <c r="Z143" s="15" t="n">
        <v>0</v>
      </c>
      <c r="AA143" s="15" t="n">
        <v>0</v>
      </c>
      <c r="AB143" s="15" t="n">
        <v>0</v>
      </c>
      <c r="AC143" s="17" t="n">
        <v>5</v>
      </c>
    </row>
    <row r="144" ht="15" customHeight="1">
      <c r="A144" s="15" t="n">
        <v>142</v>
      </c>
      <c r="B144" s="15" t="inlineStr">
        <is>
          <t>02412-2011</t>
        </is>
      </c>
      <c r="C144" s="15" t="inlineStr">
        <is>
          <t>Abreviado — anteriores a 2019 (ABR18_SV)</t>
        </is>
      </c>
      <c r="D144" s="15" t="inlineStr">
        <is>
          <t>2021</t>
        </is>
      </c>
      <c r="E144" s="15" t="inlineStr">
        <is>
          <t>3SC</t>
        </is>
      </c>
      <c r="F144" s="15" t="n">
        <v>0</v>
      </c>
      <c r="G144" s="15" t="n">
        <v>0</v>
      </c>
      <c r="H144" s="15" t="n">
        <v>0</v>
      </c>
      <c r="I144" s="15" t="n">
        <v>0</v>
      </c>
      <c r="J144" s="15" t="n">
        <v>0</v>
      </c>
      <c r="K144" s="15" t="n">
        <v>0</v>
      </c>
      <c r="L144" s="15" t="n">
        <v>0</v>
      </c>
      <c r="M144" s="15" t="n">
        <v>0</v>
      </c>
      <c r="N144" s="15" t="n">
        <v>0</v>
      </c>
      <c r="O144" s="15" t="n">
        <v>0</v>
      </c>
      <c r="P144" s="15" t="n">
        <v>0</v>
      </c>
      <c r="Q144" s="16" t="n">
        <v>0</v>
      </c>
      <c r="R144" s="15" t="n">
        <v>0</v>
      </c>
      <c r="S144" s="15" t="n">
        <v>0</v>
      </c>
      <c r="T144" s="16" t="n">
        <v>0</v>
      </c>
      <c r="U144" s="15" t="n">
        <v>0</v>
      </c>
      <c r="V144" s="15" t="n">
        <v>0</v>
      </c>
      <c r="W144" s="15" t="n">
        <v>0</v>
      </c>
      <c r="X144" s="15" t="n">
        <v>0</v>
      </c>
      <c r="Y144" s="15" t="n">
        <v>0</v>
      </c>
      <c r="Z144" s="15" t="n">
        <v>0</v>
      </c>
      <c r="AA144" s="15" t="n">
        <v>1</v>
      </c>
      <c r="AB144" s="15" t="n">
        <v>0</v>
      </c>
      <c r="AC144" s="17" t="n">
        <v>1</v>
      </c>
    </row>
    <row r="145" ht="15" customHeight="1">
      <c r="A145" s="15" t="n">
        <v>143</v>
      </c>
      <c r="B145" s="15" t="inlineStr">
        <is>
          <t>02476-2012</t>
        </is>
      </c>
      <c r="C145" s="15" t="inlineStr">
        <is>
          <t>Abreviado — anteriores a 2019 (ABR18_SV)</t>
        </is>
      </c>
      <c r="D145" s="15" t="inlineStr">
        <is>
          <t>2020</t>
        </is>
      </c>
      <c r="E145" s="15" t="inlineStr">
        <is>
          <t>2SC</t>
        </is>
      </c>
      <c r="F145" s="15" t="n">
        <v>0</v>
      </c>
      <c r="G145" s="15" t="n">
        <v>0</v>
      </c>
      <c r="H145" s="15" t="n">
        <v>0</v>
      </c>
      <c r="I145" s="15" t="n">
        <v>0</v>
      </c>
      <c r="J145" s="15" t="n">
        <v>0</v>
      </c>
      <c r="K145" s="15" t="n">
        <v>0</v>
      </c>
      <c r="L145" s="15" t="n">
        <v>0</v>
      </c>
      <c r="M145" s="15" t="n">
        <v>0</v>
      </c>
      <c r="N145" s="15" t="n">
        <v>0</v>
      </c>
      <c r="O145" s="15" t="n">
        <v>0</v>
      </c>
      <c r="P145" s="15" t="n">
        <v>0</v>
      </c>
      <c r="Q145" s="16" t="n">
        <v>0</v>
      </c>
      <c r="R145" s="15" t="n">
        <v>1</v>
      </c>
      <c r="S145" s="15" t="n">
        <v>0</v>
      </c>
      <c r="T145" s="16" t="n">
        <v>0</v>
      </c>
      <c r="U145" s="15" t="n">
        <v>0</v>
      </c>
      <c r="V145" s="15" t="n">
        <v>0</v>
      </c>
      <c r="W145" s="15" t="n">
        <v>0</v>
      </c>
      <c r="X145" s="15" t="n">
        <v>0</v>
      </c>
      <c r="Y145" s="15" t="n">
        <v>0</v>
      </c>
      <c r="Z145" s="15" t="n">
        <v>0</v>
      </c>
      <c r="AA145" s="15" t="n">
        <v>1</v>
      </c>
      <c r="AB145" s="15" t="n">
        <v>0</v>
      </c>
      <c r="AC145" s="17" t="n">
        <v>2</v>
      </c>
    </row>
    <row r="146" ht="15" customHeight="1">
      <c r="A146" s="15" t="n">
        <v>144</v>
      </c>
      <c r="B146" s="15" t="inlineStr">
        <is>
          <t>00025-2017</t>
        </is>
      </c>
      <c r="C146" s="15" t="inlineStr">
        <is>
          <t>Abreviado — anteriores a 2019 (ABR18_SV)</t>
        </is>
      </c>
      <c r="D146" s="15" t="inlineStr">
        <is>
          <t>2025</t>
        </is>
      </c>
      <c r="E146" s="15" t="inlineStr">
        <is>
          <t>2SC</t>
        </is>
      </c>
      <c r="F146" s="15" t="n">
        <v>0</v>
      </c>
      <c r="G146" s="15" t="n">
        <v>0</v>
      </c>
      <c r="H146" s="15" t="n">
        <v>0</v>
      </c>
      <c r="I146" s="15" t="n">
        <v>0</v>
      </c>
      <c r="J146" s="15" t="n">
        <v>0</v>
      </c>
      <c r="K146" s="15" t="n">
        <v>0</v>
      </c>
      <c r="L146" s="15" t="n">
        <v>0</v>
      </c>
      <c r="M146" s="15" t="n">
        <v>0</v>
      </c>
      <c r="N146" s="15" t="n">
        <v>0</v>
      </c>
      <c r="O146" s="15" t="n">
        <v>0</v>
      </c>
      <c r="P146" s="15" t="n">
        <v>0</v>
      </c>
      <c r="Q146" s="16" t="n">
        <v>0</v>
      </c>
      <c r="R146" s="15" t="n">
        <v>0</v>
      </c>
      <c r="S146" s="15" t="n">
        <v>0</v>
      </c>
      <c r="T146" s="16" t="n">
        <v>0</v>
      </c>
      <c r="U146" s="15" t="n">
        <v>1</v>
      </c>
      <c r="V146" s="15" t="n">
        <v>0</v>
      </c>
      <c r="W146" s="15" t="n">
        <v>0</v>
      </c>
      <c r="X146" s="15" t="n">
        <v>0</v>
      </c>
      <c r="Y146" s="15" t="n">
        <v>0</v>
      </c>
      <c r="Z146" s="15" t="n">
        <v>1</v>
      </c>
      <c r="AA146" s="15" t="n">
        <v>0</v>
      </c>
      <c r="AB146" s="15" t="n">
        <v>0</v>
      </c>
      <c r="AC146" s="17" t="n">
        <v>2</v>
      </c>
    </row>
    <row r="147" ht="15" customHeight="1">
      <c r="A147" s="15" t="n">
        <v>145</v>
      </c>
      <c r="B147" s="15" t="inlineStr">
        <is>
          <t>02592-2010</t>
        </is>
      </c>
      <c r="C147" s="15" t="inlineStr">
        <is>
          <t>Abreviado — anteriores a 2019 (ABR18_SV)</t>
        </is>
      </c>
      <c r="D147" s="15" t="inlineStr">
        <is>
          <t>2017</t>
        </is>
      </c>
      <c r="E147" s="15" t="inlineStr">
        <is>
          <t>2SC</t>
        </is>
      </c>
      <c r="F147" s="15" t="n">
        <v>0</v>
      </c>
      <c r="G147" s="15" t="n">
        <v>0</v>
      </c>
      <c r="H147" s="15" t="n">
        <v>0</v>
      </c>
      <c r="I147" s="15" t="n">
        <v>0</v>
      </c>
      <c r="J147" s="15" t="n">
        <v>0</v>
      </c>
      <c r="K147" s="15" t="n">
        <v>0</v>
      </c>
      <c r="L147" s="15" t="n">
        <v>0</v>
      </c>
      <c r="M147" s="15" t="n">
        <v>0</v>
      </c>
      <c r="N147" s="15" t="n">
        <v>0</v>
      </c>
      <c r="O147" s="15" t="n">
        <v>0</v>
      </c>
      <c r="P147" s="15" t="n">
        <v>0</v>
      </c>
      <c r="Q147" s="16" t="n">
        <v>0</v>
      </c>
      <c r="R147" s="15" t="n">
        <v>1</v>
      </c>
      <c r="S147" s="15" t="n">
        <v>0</v>
      </c>
      <c r="T147" s="16" t="n">
        <v>0</v>
      </c>
      <c r="U147" s="15" t="n">
        <v>1</v>
      </c>
      <c r="V147" s="15" t="n">
        <v>0</v>
      </c>
      <c r="W147" s="15" t="n">
        <v>0</v>
      </c>
      <c r="X147" s="15" t="n">
        <v>0</v>
      </c>
      <c r="Y147" s="15" t="n">
        <v>0</v>
      </c>
      <c r="Z147" s="15" t="n">
        <v>0</v>
      </c>
      <c r="AA147" s="15" t="n">
        <v>0</v>
      </c>
      <c r="AB147" s="15" t="n">
        <v>0</v>
      </c>
      <c r="AC147" s="17" t="n">
        <v>2</v>
      </c>
    </row>
    <row r="148" ht="15" customHeight="1">
      <c r="A148" s="15" t="n">
        <v>146</v>
      </c>
      <c r="B148" s="15" t="inlineStr">
        <is>
          <t>02676-2017</t>
        </is>
      </c>
      <c r="C148" s="15" t="inlineStr">
        <is>
          <t>Abreviado — anteriores a 2019 (ABR18_SV)</t>
        </is>
      </c>
      <c r="D148" s="15" t="inlineStr">
        <is>
          <t>2019</t>
        </is>
      </c>
      <c r="E148" s="15" t="inlineStr">
        <is>
          <t>2SC</t>
        </is>
      </c>
      <c r="F148" s="15" t="n">
        <v>0</v>
      </c>
      <c r="G148" s="15" t="n">
        <v>0</v>
      </c>
      <c r="H148" s="15" t="n">
        <v>0</v>
      </c>
      <c r="I148" s="15" t="n">
        <v>0</v>
      </c>
      <c r="J148" s="15" t="n">
        <v>0</v>
      </c>
      <c r="K148" s="15" t="n">
        <v>0</v>
      </c>
      <c r="L148" s="15" t="n">
        <v>0</v>
      </c>
      <c r="M148" s="15" t="n">
        <v>0</v>
      </c>
      <c r="N148" s="15" t="n">
        <v>0</v>
      </c>
      <c r="O148" s="15" t="n">
        <v>0</v>
      </c>
      <c r="P148" s="15" t="n">
        <v>0</v>
      </c>
      <c r="Q148" s="16" t="n">
        <v>0</v>
      </c>
      <c r="R148" s="15" t="n">
        <v>0</v>
      </c>
      <c r="S148" s="15" t="n">
        <v>0</v>
      </c>
      <c r="T148" s="16" t="n">
        <v>0</v>
      </c>
      <c r="U148" s="15" t="n">
        <v>0</v>
      </c>
      <c r="V148" s="15" t="n">
        <v>0</v>
      </c>
      <c r="W148" s="15" t="n">
        <v>0</v>
      </c>
      <c r="X148" s="15" t="n">
        <v>0</v>
      </c>
      <c r="Y148" s="15" t="n">
        <v>0</v>
      </c>
      <c r="Z148" s="15" t="n">
        <v>0</v>
      </c>
      <c r="AA148" s="15" t="n">
        <v>0</v>
      </c>
      <c r="AB148" s="15" t="n">
        <v>0</v>
      </c>
      <c r="AC148" s="17" t="n">
        <v>0</v>
      </c>
    </row>
    <row r="149" ht="15" customHeight="1">
      <c r="A149" s="15" t="n">
        <v>147</v>
      </c>
      <c r="B149" s="15" t="inlineStr">
        <is>
          <t>03271-2016</t>
        </is>
      </c>
      <c r="C149" s="15" t="inlineStr">
        <is>
          <t>Abreviado — anteriores a 2019 (ABR18_SV)</t>
        </is>
      </c>
      <c r="D149" s="15" t="inlineStr">
        <is>
          <t>2018</t>
        </is>
      </c>
      <c r="E149" s="15" t="inlineStr">
        <is>
          <t>3SC</t>
        </is>
      </c>
      <c r="F149" s="15" t="n">
        <v>0</v>
      </c>
      <c r="G149" s="15" t="n">
        <v>0</v>
      </c>
      <c r="H149" s="15" t="n">
        <v>0</v>
      </c>
      <c r="I149" s="15" t="n">
        <v>0</v>
      </c>
      <c r="J149" s="15" t="n">
        <v>0</v>
      </c>
      <c r="K149" s="15" t="n">
        <v>0</v>
      </c>
      <c r="L149" s="15" t="n">
        <v>0</v>
      </c>
      <c r="M149" s="15" t="n">
        <v>0</v>
      </c>
      <c r="N149" s="15" t="n">
        <v>0</v>
      </c>
      <c r="O149" s="15" t="n">
        <v>0</v>
      </c>
      <c r="P149" s="15" t="n">
        <v>0</v>
      </c>
      <c r="Q149" s="16" t="n">
        <v>0</v>
      </c>
      <c r="R149" s="15" t="n">
        <v>0</v>
      </c>
      <c r="S149" s="15" t="n">
        <v>0</v>
      </c>
      <c r="T149" s="16" t="n">
        <v>0</v>
      </c>
      <c r="U149" s="15" t="n">
        <v>1</v>
      </c>
      <c r="V149" s="15" t="n">
        <v>0</v>
      </c>
      <c r="W149" s="15" t="n">
        <v>0</v>
      </c>
      <c r="X149" s="15" t="n">
        <v>0</v>
      </c>
      <c r="Y149" s="15" t="n">
        <v>0</v>
      </c>
      <c r="Z149" s="15" t="n">
        <v>0</v>
      </c>
      <c r="AA149" s="15" t="n">
        <v>0</v>
      </c>
      <c r="AB149" s="15" t="n">
        <v>1</v>
      </c>
      <c r="AC149" s="17" t="n">
        <v>2</v>
      </c>
    </row>
    <row r="150" ht="15" customHeight="1">
      <c r="A150" s="15" t="n">
        <v>148</v>
      </c>
      <c r="B150" s="15" t="inlineStr">
        <is>
          <t>03379-2013</t>
        </is>
      </c>
      <c r="C150" s="15" t="inlineStr">
        <is>
          <t>Abreviado — anteriores a 2019 (ABR18_SV)</t>
        </is>
      </c>
      <c r="D150" s="15" t="inlineStr">
        <is>
          <t>2019</t>
        </is>
      </c>
      <c r="E150" s="15" t="inlineStr">
        <is>
          <t>3SC</t>
        </is>
      </c>
      <c r="F150" s="15" t="n">
        <v>0</v>
      </c>
      <c r="G150" s="15" t="n">
        <v>0</v>
      </c>
      <c r="H150" s="15" t="n">
        <v>0</v>
      </c>
      <c r="I150" s="15" t="n">
        <v>0</v>
      </c>
      <c r="J150" s="15" t="n">
        <v>0</v>
      </c>
      <c r="K150" s="15" t="n">
        <v>0</v>
      </c>
      <c r="L150" s="15" t="n">
        <v>0</v>
      </c>
      <c r="M150" s="15" t="n">
        <v>0</v>
      </c>
      <c r="N150" s="15" t="n">
        <v>0</v>
      </c>
      <c r="O150" s="15" t="n">
        <v>0</v>
      </c>
      <c r="P150" s="15" t="n">
        <v>0</v>
      </c>
      <c r="Q150" s="16" t="n">
        <v>0</v>
      </c>
      <c r="R150" s="15" t="n">
        <v>0</v>
      </c>
      <c r="S150" s="15" t="n">
        <v>0</v>
      </c>
      <c r="T150" s="16" t="n">
        <v>0</v>
      </c>
      <c r="U150" s="15" t="n">
        <v>0</v>
      </c>
      <c r="V150" s="15" t="n">
        <v>0</v>
      </c>
      <c r="W150" s="15" t="n">
        <v>0</v>
      </c>
      <c r="X150" s="15" t="n">
        <v>0</v>
      </c>
      <c r="Y150" s="15" t="n">
        <v>0</v>
      </c>
      <c r="Z150" s="15" t="n">
        <v>0</v>
      </c>
      <c r="AA150" s="15" t="n">
        <v>1</v>
      </c>
      <c r="AB150" s="15" t="n">
        <v>0</v>
      </c>
      <c r="AC150" s="17" t="n">
        <v>1</v>
      </c>
    </row>
    <row r="151" ht="15" customHeight="1">
      <c r="A151" s="15" t="n">
        <v>149</v>
      </c>
      <c r="B151" s="15" t="inlineStr">
        <is>
          <t>03601-2017</t>
        </is>
      </c>
      <c r="C151" s="15" t="inlineStr">
        <is>
          <t>Abreviado — anteriores a 2019 (ABR18_SV)</t>
        </is>
      </c>
      <c r="D151" s="15" t="inlineStr">
        <is>
          <t>2019</t>
        </is>
      </c>
      <c r="E151" s="15" t="inlineStr">
        <is>
          <t>2SC</t>
        </is>
      </c>
      <c r="F151" s="15" t="n">
        <v>0</v>
      </c>
      <c r="G151" s="15" t="n">
        <v>0</v>
      </c>
      <c r="H151" s="15" t="n">
        <v>0</v>
      </c>
      <c r="I151" s="15" t="n">
        <v>0</v>
      </c>
      <c r="J151" s="15" t="n">
        <v>0</v>
      </c>
      <c r="K151" s="15" t="n">
        <v>0</v>
      </c>
      <c r="L151" s="15" t="n">
        <v>0</v>
      </c>
      <c r="M151" s="15" t="n">
        <v>0</v>
      </c>
      <c r="N151" s="15" t="n">
        <v>0</v>
      </c>
      <c r="O151" s="15" t="n">
        <v>0</v>
      </c>
      <c r="P151" s="15" t="n">
        <v>0</v>
      </c>
      <c r="Q151" s="16" t="n">
        <v>0</v>
      </c>
      <c r="R151" s="15" t="n">
        <v>0</v>
      </c>
      <c r="S151" s="15" t="n">
        <v>0</v>
      </c>
      <c r="T151" s="16" t="n">
        <v>0</v>
      </c>
      <c r="U151" s="15" t="n">
        <v>0</v>
      </c>
      <c r="V151" s="15" t="n">
        <v>0</v>
      </c>
      <c r="W151" s="15" t="n">
        <v>0</v>
      </c>
      <c r="X151" s="15" t="n">
        <v>0</v>
      </c>
      <c r="Y151" s="15" t="n">
        <v>0</v>
      </c>
      <c r="Z151" s="15" t="n">
        <v>0</v>
      </c>
      <c r="AA151" s="15" t="n">
        <v>0</v>
      </c>
      <c r="AB151" s="15" t="n">
        <v>0</v>
      </c>
      <c r="AC151" s="17" t="n">
        <v>0</v>
      </c>
    </row>
    <row r="152" ht="15" customHeight="1">
      <c r="A152" s="15" t="n">
        <v>150</v>
      </c>
      <c r="B152" s="15" t="inlineStr">
        <is>
          <t>03656-2016</t>
        </is>
      </c>
      <c r="C152" s="15" t="inlineStr">
        <is>
          <t>Abreviado — anteriores a 2019 (ABR18_SV)</t>
        </is>
      </c>
      <c r="D152" s="15" t="inlineStr">
        <is>
          <t>2019</t>
        </is>
      </c>
      <c r="E152" s="15" t="inlineStr">
        <is>
          <t>2SC</t>
        </is>
      </c>
      <c r="F152" s="15" t="n">
        <v>1</v>
      </c>
      <c r="G152" s="15" t="n">
        <v>0</v>
      </c>
      <c r="H152" s="15" t="n">
        <v>0</v>
      </c>
      <c r="I152" s="15" t="n">
        <v>0</v>
      </c>
      <c r="J152" s="15" t="n">
        <v>0</v>
      </c>
      <c r="K152" s="15" t="n">
        <v>0</v>
      </c>
      <c r="L152" s="15" t="n">
        <v>0</v>
      </c>
      <c r="M152" s="15" t="n">
        <v>0</v>
      </c>
      <c r="N152" s="15" t="n">
        <v>0</v>
      </c>
      <c r="O152" s="15" t="n">
        <v>0</v>
      </c>
      <c r="P152" s="15" t="n">
        <v>0</v>
      </c>
      <c r="Q152" s="16" t="n">
        <v>1</v>
      </c>
      <c r="R152" s="15" t="n">
        <v>0</v>
      </c>
      <c r="S152" s="15" t="n">
        <v>0</v>
      </c>
      <c r="T152" s="16" t="n">
        <v>0</v>
      </c>
      <c r="U152" s="15" t="n">
        <v>0</v>
      </c>
      <c r="V152" s="15" t="n">
        <v>0</v>
      </c>
      <c r="W152" s="15" t="n">
        <v>0</v>
      </c>
      <c r="X152" s="15" t="n">
        <v>0</v>
      </c>
      <c r="Y152" s="15" t="n">
        <v>0</v>
      </c>
      <c r="Z152" s="15" t="n">
        <v>0</v>
      </c>
      <c r="AA152" s="15" t="n">
        <v>0</v>
      </c>
      <c r="AB152" s="15" t="n">
        <v>0</v>
      </c>
      <c r="AC152" s="17" t="n">
        <v>2</v>
      </c>
    </row>
    <row r="153" ht="15" customHeight="1">
      <c r="A153" s="15" t="n">
        <v>151</v>
      </c>
      <c r="B153" s="15" t="inlineStr">
        <is>
          <t>03697-2014</t>
        </is>
      </c>
      <c r="C153" s="15" t="inlineStr">
        <is>
          <t>Abreviado — anteriores a 2019 (ABR18_SV)</t>
        </is>
      </c>
      <c r="D153" s="15" t="inlineStr">
        <is>
          <t>2018</t>
        </is>
      </c>
      <c r="E153" s="15" t="inlineStr">
        <is>
          <t>3SC</t>
        </is>
      </c>
      <c r="F153" s="15" t="n">
        <v>0</v>
      </c>
      <c r="G153" s="15" t="n">
        <v>0</v>
      </c>
      <c r="H153" s="15" t="n">
        <v>0</v>
      </c>
      <c r="I153" s="15" t="n">
        <v>0</v>
      </c>
      <c r="J153" s="15" t="n">
        <v>0</v>
      </c>
      <c r="K153" s="15" t="n">
        <v>0</v>
      </c>
      <c r="L153" s="15" t="n">
        <v>0</v>
      </c>
      <c r="M153" s="15" t="n">
        <v>0</v>
      </c>
      <c r="N153" s="15" t="n">
        <v>0</v>
      </c>
      <c r="O153" s="15" t="n">
        <v>0</v>
      </c>
      <c r="P153" s="15" t="n">
        <v>0</v>
      </c>
      <c r="Q153" s="16" t="n">
        <v>0</v>
      </c>
      <c r="R153" s="15" t="n">
        <v>0</v>
      </c>
      <c r="S153" s="15" t="n">
        <v>0</v>
      </c>
      <c r="T153" s="16" t="n">
        <v>0</v>
      </c>
      <c r="U153" s="15" t="n">
        <v>0</v>
      </c>
      <c r="V153" s="15" t="n">
        <v>0</v>
      </c>
      <c r="W153" s="15" t="n">
        <v>0</v>
      </c>
      <c r="X153" s="15" t="n">
        <v>0</v>
      </c>
      <c r="Y153" s="15" t="n">
        <v>0</v>
      </c>
      <c r="Z153" s="15" t="n">
        <v>0</v>
      </c>
      <c r="AA153" s="15" t="n">
        <v>0</v>
      </c>
      <c r="AB153" s="15" t="n">
        <v>0</v>
      </c>
      <c r="AC153" s="17" t="n">
        <v>0</v>
      </c>
    </row>
    <row r="154" ht="15" customHeight="1">
      <c r="A154" s="15" t="n">
        <v>152</v>
      </c>
      <c r="B154" s="15" t="inlineStr">
        <is>
          <t>04246-2011</t>
        </is>
      </c>
      <c r="C154" s="15" t="inlineStr">
        <is>
          <t>Abreviado — anteriores a 2019 (ABR18_SV)</t>
        </is>
      </c>
      <c r="D154" s="15" t="inlineStr">
        <is>
          <t>2019</t>
        </is>
      </c>
      <c r="E154" s="15" t="inlineStr">
        <is>
          <t>3SC</t>
        </is>
      </c>
      <c r="F154" s="15" t="n">
        <v>0</v>
      </c>
      <c r="G154" s="15" t="n">
        <v>0</v>
      </c>
      <c r="H154" s="15" t="n">
        <v>0</v>
      </c>
      <c r="I154" s="15" t="n">
        <v>0</v>
      </c>
      <c r="J154" s="15" t="n">
        <v>0</v>
      </c>
      <c r="K154" s="15" t="n">
        <v>0</v>
      </c>
      <c r="L154" s="15" t="n">
        <v>0</v>
      </c>
      <c r="M154" s="15" t="n">
        <v>0</v>
      </c>
      <c r="N154" s="15" t="n">
        <v>0</v>
      </c>
      <c r="O154" s="15" t="n">
        <v>0</v>
      </c>
      <c r="P154" s="15" t="n">
        <v>0</v>
      </c>
      <c r="Q154" s="16" t="n">
        <v>1</v>
      </c>
      <c r="R154" s="15" t="n">
        <v>0</v>
      </c>
      <c r="S154" s="15" t="n">
        <v>0</v>
      </c>
      <c r="T154" s="16" t="n">
        <v>0</v>
      </c>
      <c r="U154" s="15" t="n">
        <v>0</v>
      </c>
      <c r="V154" s="15" t="n">
        <v>0</v>
      </c>
      <c r="W154" s="15" t="n">
        <v>0</v>
      </c>
      <c r="X154" s="15" t="n">
        <v>0</v>
      </c>
      <c r="Y154" s="15" t="n">
        <v>0</v>
      </c>
      <c r="Z154" s="15" t="n">
        <v>0</v>
      </c>
      <c r="AA154" s="15" t="n">
        <v>0</v>
      </c>
      <c r="AB154" s="15" t="n">
        <v>0</v>
      </c>
      <c r="AC154" s="17" t="n">
        <v>1</v>
      </c>
    </row>
    <row r="155" ht="15" customHeight="1">
      <c r="A155" s="15" t="n">
        <v>153</v>
      </c>
      <c r="B155" s="15" t="inlineStr">
        <is>
          <t>00442-2016</t>
        </is>
      </c>
      <c r="C155" s="15" t="inlineStr">
        <is>
          <t>Abreviado — anteriores a 2019 (ABR18_SV)</t>
        </is>
      </c>
      <c r="D155" s="15" t="inlineStr">
        <is>
          <t>2019</t>
        </is>
      </c>
      <c r="E155" s="15" t="inlineStr">
        <is>
          <t>1SC</t>
        </is>
      </c>
      <c r="F155" s="15" t="n">
        <v>0</v>
      </c>
      <c r="G155" s="15" t="n">
        <v>0</v>
      </c>
      <c r="H155" s="15" t="n">
        <v>0</v>
      </c>
      <c r="I155" s="15" t="n">
        <v>0</v>
      </c>
      <c r="J155" s="15" t="n">
        <v>0</v>
      </c>
      <c r="K155" s="15" t="n">
        <v>0</v>
      </c>
      <c r="L155" s="15" t="n">
        <v>0</v>
      </c>
      <c r="M155" s="15" t="n">
        <v>0</v>
      </c>
      <c r="N155" s="15" t="n">
        <v>0</v>
      </c>
      <c r="O155" s="15" t="n">
        <v>0</v>
      </c>
      <c r="P155" s="15" t="n">
        <v>0</v>
      </c>
      <c r="Q155" s="16" t="n">
        <v>1</v>
      </c>
      <c r="R155" s="15" t="n">
        <v>0</v>
      </c>
      <c r="S155" s="15" t="n">
        <v>0</v>
      </c>
      <c r="T155" s="16" t="n">
        <v>0</v>
      </c>
      <c r="U155" s="15" t="n">
        <v>0</v>
      </c>
      <c r="V155" s="15" t="n">
        <v>0</v>
      </c>
      <c r="W155" s="15" t="n">
        <v>0</v>
      </c>
      <c r="X155" s="15" t="n">
        <v>0</v>
      </c>
      <c r="Y155" s="15" t="n">
        <v>0</v>
      </c>
      <c r="Z155" s="15" t="n">
        <v>0</v>
      </c>
      <c r="AA155" s="15" t="n">
        <v>0</v>
      </c>
      <c r="AB155" s="15" t="n">
        <v>0</v>
      </c>
      <c r="AC155" s="17" t="n">
        <v>1</v>
      </c>
    </row>
    <row r="156" ht="15" customHeight="1">
      <c r="A156" s="15" t="n">
        <v>154</v>
      </c>
      <c r="B156" s="15" t="inlineStr">
        <is>
          <t>04422-2011</t>
        </is>
      </c>
      <c r="C156" s="15" t="inlineStr">
        <is>
          <t>Abreviado — anteriores a 2019 (ABR18_SV)</t>
        </is>
      </c>
      <c r="D156" s="15" t="inlineStr">
        <is>
          <t>2018</t>
        </is>
      </c>
      <c r="E156" s="15" t="inlineStr">
        <is>
          <t>2SC</t>
        </is>
      </c>
      <c r="F156" s="15" t="n">
        <v>0</v>
      </c>
      <c r="G156" s="15" t="n">
        <v>0</v>
      </c>
      <c r="H156" s="15" t="n">
        <v>0</v>
      </c>
      <c r="I156" s="15" t="n">
        <v>0</v>
      </c>
      <c r="J156" s="15" t="n">
        <v>0</v>
      </c>
      <c r="K156" s="15" t="n">
        <v>0</v>
      </c>
      <c r="L156" s="15" t="n">
        <v>0</v>
      </c>
      <c r="M156" s="15" t="n">
        <v>0</v>
      </c>
      <c r="N156" s="15" t="n">
        <v>0</v>
      </c>
      <c r="O156" s="15" t="n">
        <v>0</v>
      </c>
      <c r="P156" s="15" t="n">
        <v>0</v>
      </c>
      <c r="Q156" s="16" t="n">
        <v>0</v>
      </c>
      <c r="R156" s="15" t="n">
        <v>0</v>
      </c>
      <c r="S156" s="15" t="n">
        <v>0</v>
      </c>
      <c r="T156" s="16" t="n">
        <v>0</v>
      </c>
      <c r="U156" s="15" t="n">
        <v>1</v>
      </c>
      <c r="V156" s="15" t="n">
        <v>0</v>
      </c>
      <c r="W156" s="15" t="n">
        <v>1</v>
      </c>
      <c r="X156" s="15" t="n">
        <v>0</v>
      </c>
      <c r="Y156" s="15" t="n">
        <v>0</v>
      </c>
      <c r="Z156" s="15" t="n">
        <v>0</v>
      </c>
      <c r="AA156" s="15" t="n">
        <v>0</v>
      </c>
      <c r="AB156" s="15" t="n">
        <v>0</v>
      </c>
      <c r="AC156" s="17" t="n">
        <v>2</v>
      </c>
    </row>
    <row r="157" ht="15" customHeight="1">
      <c r="A157" s="15" t="n">
        <v>155</v>
      </c>
      <c r="B157" s="15" t="inlineStr">
        <is>
          <t>04649-2010</t>
        </is>
      </c>
      <c r="C157" s="15" t="inlineStr">
        <is>
          <t>Abreviado — anteriores a 2019 (ABR18_SV)</t>
        </is>
      </c>
      <c r="D157" s="15" t="inlineStr">
        <is>
          <t>2019</t>
        </is>
      </c>
      <c r="E157" s="15" t="inlineStr">
        <is>
          <t>1SC</t>
        </is>
      </c>
      <c r="F157" s="15" t="n">
        <v>0</v>
      </c>
      <c r="G157" s="15" t="n">
        <v>0</v>
      </c>
      <c r="H157" s="15" t="n">
        <v>0</v>
      </c>
      <c r="I157" s="15" t="n">
        <v>0</v>
      </c>
      <c r="J157" s="15" t="n">
        <v>0</v>
      </c>
      <c r="K157" s="15" t="n">
        <v>0</v>
      </c>
      <c r="L157" s="15" t="n">
        <v>0</v>
      </c>
      <c r="M157" s="15" t="n">
        <v>0</v>
      </c>
      <c r="N157" s="15" t="n">
        <v>0</v>
      </c>
      <c r="O157" s="15" t="n">
        <v>0</v>
      </c>
      <c r="P157" s="15" t="n">
        <v>0</v>
      </c>
      <c r="Q157" s="16" t="n">
        <v>1</v>
      </c>
      <c r="R157" s="15" t="n">
        <v>0</v>
      </c>
      <c r="S157" s="15" t="n">
        <v>0</v>
      </c>
      <c r="T157" s="16" t="n">
        <v>0</v>
      </c>
      <c r="U157" s="15" t="n">
        <v>0</v>
      </c>
      <c r="V157" s="15" t="n">
        <v>0</v>
      </c>
      <c r="W157" s="15" t="n">
        <v>0</v>
      </c>
      <c r="X157" s="15" t="n">
        <v>0</v>
      </c>
      <c r="Y157" s="15" t="n">
        <v>0</v>
      </c>
      <c r="Z157" s="15" t="n">
        <v>0</v>
      </c>
      <c r="AA157" s="15" t="n">
        <v>0</v>
      </c>
      <c r="AB157" s="15" t="n">
        <v>0</v>
      </c>
      <c r="AC157" s="17" t="n">
        <v>1</v>
      </c>
    </row>
    <row r="158" ht="15" customHeight="1">
      <c r="A158" s="15" t="n">
        <v>156</v>
      </c>
      <c r="B158" s="15" t="inlineStr">
        <is>
          <t>00051-2017</t>
        </is>
      </c>
      <c r="C158" s="15" t="inlineStr">
        <is>
          <t>Abreviado — anteriores a 2019 (ABR18_SV)</t>
        </is>
      </c>
      <c r="D158" s="15" t="inlineStr">
        <is>
          <t>2020</t>
        </is>
      </c>
      <c r="E158" s="15" t="inlineStr">
        <is>
          <t>2SC</t>
        </is>
      </c>
      <c r="F158" s="15" t="n">
        <v>0</v>
      </c>
      <c r="G158" s="15" t="n">
        <v>0</v>
      </c>
      <c r="H158" s="15" t="n">
        <v>0</v>
      </c>
      <c r="I158" s="15" t="n">
        <v>0</v>
      </c>
      <c r="J158" s="15" t="n">
        <v>0</v>
      </c>
      <c r="K158" s="15" t="n">
        <v>0</v>
      </c>
      <c r="L158" s="15" t="n">
        <v>0</v>
      </c>
      <c r="M158" s="15" t="n">
        <v>0</v>
      </c>
      <c r="N158" s="15" t="n">
        <v>0</v>
      </c>
      <c r="O158" s="15" t="n">
        <v>0</v>
      </c>
      <c r="P158" s="15" t="n">
        <v>0</v>
      </c>
      <c r="Q158" s="16" t="n">
        <v>0</v>
      </c>
      <c r="R158" s="15" t="n">
        <v>0</v>
      </c>
      <c r="S158" s="15" t="n">
        <v>0</v>
      </c>
      <c r="T158" s="16" t="n">
        <v>1</v>
      </c>
      <c r="U158" s="15" t="n">
        <v>0</v>
      </c>
      <c r="V158" s="15" t="n">
        <v>0</v>
      </c>
      <c r="W158" s="15" t="n">
        <v>1</v>
      </c>
      <c r="X158" s="15" t="n">
        <v>0</v>
      </c>
      <c r="Y158" s="15" t="n">
        <v>0</v>
      </c>
      <c r="Z158" s="15" t="n">
        <v>0</v>
      </c>
      <c r="AA158" s="15" t="n">
        <v>0</v>
      </c>
      <c r="AB158" s="15" t="n">
        <v>0</v>
      </c>
      <c r="AC158" s="17" t="n">
        <v>2</v>
      </c>
    </row>
    <row r="159" ht="15" customHeight="1">
      <c r="A159" s="15" t="n">
        <v>157</v>
      </c>
      <c r="B159" s="15" t="inlineStr">
        <is>
          <t>05208-2014</t>
        </is>
      </c>
      <c r="C159" s="15" t="inlineStr">
        <is>
          <t>Abreviado — anteriores a 2019 (ABR18_SV)</t>
        </is>
      </c>
      <c r="D159" s="15" t="inlineStr">
        <is>
          <t>2019</t>
        </is>
      </c>
      <c r="E159" s="15" t="inlineStr">
        <is>
          <t>3SC</t>
        </is>
      </c>
      <c r="F159" s="15" t="n">
        <v>0</v>
      </c>
      <c r="G159" s="15" t="n">
        <v>0</v>
      </c>
      <c r="H159" s="15" t="n">
        <v>0</v>
      </c>
      <c r="I159" s="15" t="n">
        <v>0</v>
      </c>
      <c r="J159" s="15" t="n">
        <v>0</v>
      </c>
      <c r="K159" s="15" t="n">
        <v>1</v>
      </c>
      <c r="L159" s="15" t="n">
        <v>0</v>
      </c>
      <c r="M159" s="15" t="n">
        <v>0</v>
      </c>
      <c r="N159" s="15" t="n">
        <v>0</v>
      </c>
      <c r="O159" s="15" t="n">
        <v>0</v>
      </c>
      <c r="P159" s="15" t="n">
        <v>0</v>
      </c>
      <c r="Q159" s="16" t="n">
        <v>0</v>
      </c>
      <c r="R159" s="15" t="n">
        <v>0</v>
      </c>
      <c r="S159" s="15" t="n">
        <v>1</v>
      </c>
      <c r="T159" s="16" t="n">
        <v>0</v>
      </c>
      <c r="U159" s="15" t="n">
        <v>1</v>
      </c>
      <c r="V159" s="15" t="n">
        <v>0</v>
      </c>
      <c r="W159" s="15" t="n">
        <v>0</v>
      </c>
      <c r="X159" s="15" t="n">
        <v>0</v>
      </c>
      <c r="Y159" s="15" t="n">
        <v>0</v>
      </c>
      <c r="Z159" s="15" t="n">
        <v>0</v>
      </c>
      <c r="AA159" s="15" t="n">
        <v>0</v>
      </c>
      <c r="AB159" s="15" t="n">
        <v>0</v>
      </c>
      <c r="AC159" s="17" t="n">
        <v>3</v>
      </c>
    </row>
    <row r="160" ht="15" customHeight="1">
      <c r="A160" s="15" t="n">
        <v>158</v>
      </c>
      <c r="B160" s="15" t="inlineStr">
        <is>
          <t>06617-2013</t>
        </is>
      </c>
      <c r="C160" s="15" t="inlineStr">
        <is>
          <t>Abreviado — anteriores a 2019 (ABR18_SV)</t>
        </is>
      </c>
      <c r="D160" s="15" t="inlineStr">
        <is>
          <t>2018</t>
        </is>
      </c>
      <c r="E160" s="15" t="inlineStr">
        <is>
          <t>2SC</t>
        </is>
      </c>
      <c r="F160" s="15" t="n">
        <v>0</v>
      </c>
      <c r="G160" s="15" t="n">
        <v>0</v>
      </c>
      <c r="H160" s="15" t="n">
        <v>0</v>
      </c>
      <c r="I160" s="15" t="n">
        <v>0</v>
      </c>
      <c r="J160" s="15" t="n">
        <v>0</v>
      </c>
      <c r="K160" s="15" t="n">
        <v>0</v>
      </c>
      <c r="L160" s="15" t="n">
        <v>0</v>
      </c>
      <c r="M160" s="15" t="n">
        <v>0</v>
      </c>
      <c r="N160" s="15" t="n">
        <v>0</v>
      </c>
      <c r="O160" s="15" t="n">
        <v>0</v>
      </c>
      <c r="P160" s="15" t="n">
        <v>0</v>
      </c>
      <c r="Q160" s="16" t="n">
        <v>1</v>
      </c>
      <c r="R160" s="15" t="n">
        <v>0</v>
      </c>
      <c r="S160" s="15" t="n">
        <v>0</v>
      </c>
      <c r="T160" s="16" t="n">
        <v>0</v>
      </c>
      <c r="U160" s="15" t="n">
        <v>0</v>
      </c>
      <c r="V160" s="15" t="n">
        <v>0</v>
      </c>
      <c r="W160" s="15" t="n">
        <v>0</v>
      </c>
      <c r="X160" s="15" t="n">
        <v>0</v>
      </c>
      <c r="Y160" s="15" t="n">
        <v>0</v>
      </c>
      <c r="Z160" s="15" t="n">
        <v>0</v>
      </c>
      <c r="AA160" s="15" t="n">
        <v>0</v>
      </c>
      <c r="AB160" s="15" t="n">
        <v>0</v>
      </c>
      <c r="AC160" s="17" t="n">
        <v>1</v>
      </c>
    </row>
    <row r="161" ht="15" customHeight="1">
      <c r="A161" s="15" t="n">
        <v>159</v>
      </c>
      <c r="B161" s="15" t="inlineStr">
        <is>
          <t>07218-2014</t>
        </is>
      </c>
      <c r="C161" s="15" t="inlineStr">
        <is>
          <t>Abreviado — anteriores a 2019 (ABR18_SV)</t>
        </is>
      </c>
      <c r="D161" s="15" t="inlineStr">
        <is>
          <t>2018</t>
        </is>
      </c>
      <c r="E161" s="15" t="inlineStr">
        <is>
          <t>1SC</t>
        </is>
      </c>
      <c r="F161" s="15" t="n">
        <v>0</v>
      </c>
      <c r="G161" s="15" t="n">
        <v>0</v>
      </c>
      <c r="H161" s="15" t="n">
        <v>0</v>
      </c>
      <c r="I161" s="15" t="n">
        <v>0</v>
      </c>
      <c r="J161" s="15" t="n">
        <v>0</v>
      </c>
      <c r="K161" s="15" t="n">
        <v>0</v>
      </c>
      <c r="L161" s="15" t="n">
        <v>0</v>
      </c>
      <c r="M161" s="15" t="n">
        <v>0</v>
      </c>
      <c r="N161" s="15" t="n">
        <v>0</v>
      </c>
      <c r="O161" s="15" t="n">
        <v>0</v>
      </c>
      <c r="P161" s="15" t="n">
        <v>0</v>
      </c>
      <c r="Q161" s="16" t="n">
        <v>0</v>
      </c>
      <c r="R161" s="15" t="n">
        <v>0</v>
      </c>
      <c r="S161" s="15" t="n">
        <v>0</v>
      </c>
      <c r="T161" s="16" t="n">
        <v>0</v>
      </c>
      <c r="U161" s="15" t="n">
        <v>0</v>
      </c>
      <c r="V161" s="15" t="n">
        <v>0</v>
      </c>
      <c r="W161" s="15" t="n">
        <v>0</v>
      </c>
      <c r="X161" s="15" t="n">
        <v>0</v>
      </c>
      <c r="Y161" s="15" t="n">
        <v>0</v>
      </c>
      <c r="Z161" s="15" t="n">
        <v>0</v>
      </c>
      <c r="AA161" s="15" t="n">
        <v>0</v>
      </c>
      <c r="AB161" s="15" t="n">
        <v>0</v>
      </c>
      <c r="AC161" s="17" t="n">
        <v>0</v>
      </c>
    </row>
    <row r="162" ht="15" customHeight="1">
      <c r="A162" s="15" t="n">
        <v>160</v>
      </c>
      <c r="B162" s="15" t="inlineStr">
        <is>
          <t>07394-2000</t>
        </is>
      </c>
      <c r="C162" s="15" t="inlineStr">
        <is>
          <t>Abreviado — anteriores a 2019 (ABR18_SV)</t>
        </is>
      </c>
      <c r="D162" s="15" t="inlineStr">
        <is>
          <t>2020</t>
        </is>
      </c>
      <c r="E162" s="15" t="inlineStr">
        <is>
          <t>2SC</t>
        </is>
      </c>
      <c r="F162" s="15" t="n">
        <v>0</v>
      </c>
      <c r="G162" s="15" t="n">
        <v>0</v>
      </c>
      <c r="H162" s="15" t="n">
        <v>0</v>
      </c>
      <c r="I162" s="15" t="n">
        <v>0</v>
      </c>
      <c r="J162" s="15" t="n">
        <v>0</v>
      </c>
      <c r="K162" s="15" t="n">
        <v>0</v>
      </c>
      <c r="L162" s="15" t="n">
        <v>0</v>
      </c>
      <c r="M162" s="15" t="n">
        <v>0</v>
      </c>
      <c r="N162" s="15" t="n">
        <v>0</v>
      </c>
      <c r="O162" s="15" t="n">
        <v>0</v>
      </c>
      <c r="P162" s="15" t="n">
        <v>0</v>
      </c>
      <c r="Q162" s="16" t="n">
        <v>1</v>
      </c>
      <c r="R162" s="15" t="n">
        <v>1</v>
      </c>
      <c r="S162" s="15" t="n">
        <v>0</v>
      </c>
      <c r="T162" s="16" t="n">
        <v>0</v>
      </c>
      <c r="U162" s="15" t="n">
        <v>0</v>
      </c>
      <c r="V162" s="15" t="n">
        <v>0</v>
      </c>
      <c r="W162" s="15" t="n">
        <v>0</v>
      </c>
      <c r="X162" s="15" t="n">
        <v>0</v>
      </c>
      <c r="Y162" s="15" t="n">
        <v>0</v>
      </c>
      <c r="Z162" s="15" t="n">
        <v>0</v>
      </c>
      <c r="AA162" s="15" t="n">
        <v>0</v>
      </c>
      <c r="AB162" s="15" t="n">
        <v>0</v>
      </c>
      <c r="AC162" s="17" t="n">
        <v>2</v>
      </c>
    </row>
    <row r="163" ht="15" customHeight="1">
      <c r="A163" s="15" t="n">
        <v>161</v>
      </c>
      <c r="B163" s="15" t="inlineStr">
        <is>
          <t>08011-2014</t>
        </is>
      </c>
      <c r="C163" s="15" t="inlineStr">
        <is>
          <t>Abreviado — anteriores a 2019 (ABR18_SV)</t>
        </is>
      </c>
      <c r="D163" s="15" t="inlineStr">
        <is>
          <t>2020</t>
        </is>
      </c>
      <c r="E163" s="15" t="inlineStr">
        <is>
          <t>2SC</t>
        </is>
      </c>
      <c r="F163" s="15" t="n">
        <v>0</v>
      </c>
      <c r="G163" s="15" t="n">
        <v>0</v>
      </c>
      <c r="H163" s="15" t="n">
        <v>0</v>
      </c>
      <c r="I163" s="15" t="n">
        <v>0</v>
      </c>
      <c r="J163" s="15" t="n">
        <v>0</v>
      </c>
      <c r="K163" s="15" t="n">
        <v>0</v>
      </c>
      <c r="L163" s="15" t="n">
        <v>0</v>
      </c>
      <c r="M163" s="15" t="n">
        <v>0</v>
      </c>
      <c r="N163" s="15" t="n">
        <v>0</v>
      </c>
      <c r="O163" s="15" t="n">
        <v>0</v>
      </c>
      <c r="P163" s="15" t="n">
        <v>0</v>
      </c>
      <c r="Q163" s="16" t="n">
        <v>1</v>
      </c>
      <c r="R163" s="15" t="n">
        <v>0</v>
      </c>
      <c r="S163" s="15" t="n">
        <v>0</v>
      </c>
      <c r="T163" s="16" t="n">
        <v>0</v>
      </c>
      <c r="U163" s="15" t="n">
        <v>0</v>
      </c>
      <c r="V163" s="15" t="n">
        <v>0</v>
      </c>
      <c r="W163" s="15" t="n">
        <v>0</v>
      </c>
      <c r="X163" s="15" t="n">
        <v>0</v>
      </c>
      <c r="Y163" s="15" t="n">
        <v>0</v>
      </c>
      <c r="Z163" s="15" t="n">
        <v>0</v>
      </c>
      <c r="AA163" s="15" t="n">
        <v>0</v>
      </c>
      <c r="AB163" s="15" t="n">
        <v>1</v>
      </c>
      <c r="AC163" s="17" t="n">
        <v>2</v>
      </c>
    </row>
    <row r="164" ht="15" customHeight="1">
      <c r="A164" s="15" t="n">
        <v>162</v>
      </c>
      <c r="B164" s="15" t="inlineStr">
        <is>
          <t>00925-2016</t>
        </is>
      </c>
      <c r="C164" s="15" t="inlineStr">
        <is>
          <t>Abreviado — anteriores a 2019 (ABR18_SV)</t>
        </is>
      </c>
      <c r="D164" s="15" t="inlineStr">
        <is>
          <t>2020</t>
        </is>
      </c>
      <c r="E164" s="15" t="inlineStr">
        <is>
          <t>2SC</t>
        </is>
      </c>
      <c r="F164" s="15" t="n">
        <v>0</v>
      </c>
      <c r="G164" s="15" t="n">
        <v>0</v>
      </c>
      <c r="H164" s="15" t="n">
        <v>1</v>
      </c>
      <c r="I164" s="15" t="n">
        <v>0</v>
      </c>
      <c r="J164" s="15" t="n">
        <v>0</v>
      </c>
      <c r="K164" s="15" t="n">
        <v>0</v>
      </c>
      <c r="L164" s="15" t="n">
        <v>0</v>
      </c>
      <c r="M164" s="15" t="n">
        <v>0</v>
      </c>
      <c r="N164" s="15" t="n">
        <v>0</v>
      </c>
      <c r="O164" s="15" t="n">
        <v>0</v>
      </c>
      <c r="P164" s="15" t="n">
        <v>0</v>
      </c>
      <c r="Q164" s="16" t="n">
        <v>0</v>
      </c>
      <c r="R164" s="15" t="n">
        <v>0</v>
      </c>
      <c r="S164" s="15" t="n">
        <v>0</v>
      </c>
      <c r="T164" s="16" t="n">
        <v>0</v>
      </c>
      <c r="U164" s="15" t="n">
        <v>0</v>
      </c>
      <c r="V164" s="15" t="n">
        <v>0</v>
      </c>
      <c r="W164" s="15" t="n">
        <v>0</v>
      </c>
      <c r="X164" s="15" t="n">
        <v>0</v>
      </c>
      <c r="Y164" s="15" t="n">
        <v>0</v>
      </c>
      <c r="Z164" s="15" t="n">
        <v>0</v>
      </c>
      <c r="AA164" s="15" t="n">
        <v>0</v>
      </c>
      <c r="AB164" s="15" t="n">
        <v>0</v>
      </c>
      <c r="AC164" s="17" t="n">
        <v>1</v>
      </c>
    </row>
    <row r="165" ht="15" customHeight="1">
      <c r="A165" s="15" t="n">
        <v>163</v>
      </c>
      <c r="B165" s="15" t="inlineStr">
        <is>
          <t>00925-2017</t>
        </is>
      </c>
      <c r="C165" s="15" t="inlineStr">
        <is>
          <t>Abreviado — anteriores a 2019 (ABR18_SV)</t>
        </is>
      </c>
      <c r="D165" s="15" t="inlineStr">
        <is>
          <t>2020</t>
        </is>
      </c>
      <c r="E165" s="15" t="inlineStr">
        <is>
          <t>2SC</t>
        </is>
      </c>
      <c r="F165" s="15" t="n">
        <v>0</v>
      </c>
      <c r="G165" s="15" t="n">
        <v>0</v>
      </c>
      <c r="H165" s="15" t="n">
        <v>0</v>
      </c>
      <c r="I165" s="15" t="n">
        <v>0</v>
      </c>
      <c r="J165" s="15" t="n">
        <v>0</v>
      </c>
      <c r="K165" s="15" t="n">
        <v>0</v>
      </c>
      <c r="L165" s="15" t="n">
        <v>0</v>
      </c>
      <c r="M165" s="15" t="n">
        <v>0</v>
      </c>
      <c r="N165" s="15" t="n">
        <v>0</v>
      </c>
      <c r="O165" s="15" t="n">
        <v>0</v>
      </c>
      <c r="P165" s="15" t="n">
        <v>0</v>
      </c>
      <c r="Q165" s="16" t="n">
        <v>0</v>
      </c>
      <c r="R165" s="15" t="n">
        <v>0</v>
      </c>
      <c r="S165" s="15" t="n">
        <v>0</v>
      </c>
      <c r="T165" s="16" t="n">
        <v>0</v>
      </c>
      <c r="U165" s="15" t="n">
        <v>0</v>
      </c>
      <c r="V165" s="15" t="n">
        <v>0</v>
      </c>
      <c r="W165" s="15" t="n">
        <v>0</v>
      </c>
      <c r="X165" s="15" t="n">
        <v>0</v>
      </c>
      <c r="Y165" s="15" t="n">
        <v>0</v>
      </c>
      <c r="Z165" s="15" t="n">
        <v>0</v>
      </c>
      <c r="AA165" s="15" t="n">
        <v>0</v>
      </c>
      <c r="AB165" s="15" t="n">
        <v>0</v>
      </c>
      <c r="AC165" s="17" t="n">
        <v>0</v>
      </c>
    </row>
    <row r="166" ht="15" customHeight="1">
      <c r="B166" s="18" t="inlineStr">
        <is>
          <t>TOTAL</t>
        </is>
      </c>
      <c r="F166" s="19" t="n">
        <v>8</v>
      </c>
      <c r="G166" s="19" t="n">
        <v>5</v>
      </c>
      <c r="H166" s="19" t="n">
        <v>7</v>
      </c>
      <c r="I166" s="19" t="n">
        <v>3</v>
      </c>
      <c r="J166" s="19" t="n">
        <v>0</v>
      </c>
      <c r="K166" s="19" t="n">
        <v>4</v>
      </c>
      <c r="L166" s="19" t="n">
        <v>5</v>
      </c>
      <c r="M166" s="19" t="n">
        <v>3</v>
      </c>
      <c r="N166" s="19" t="n">
        <v>2</v>
      </c>
      <c r="O166" s="19" t="n">
        <v>2</v>
      </c>
      <c r="P166" s="19" t="n">
        <v>9</v>
      </c>
      <c r="Q166" s="19" t="n">
        <v>25</v>
      </c>
      <c r="R166" s="19" t="n">
        <v>18</v>
      </c>
      <c r="S166" s="19" t="n">
        <v>10</v>
      </c>
      <c r="T166" s="19" t="n">
        <v>10</v>
      </c>
      <c r="U166" s="19" t="n">
        <v>32</v>
      </c>
      <c r="V166" s="19" t="n">
        <v>0</v>
      </c>
      <c r="W166" s="19" t="n">
        <v>2</v>
      </c>
      <c r="X166" s="19" t="n">
        <v>9</v>
      </c>
      <c r="Y166" s="19" t="n">
        <v>2</v>
      </c>
      <c r="Z166" s="19" t="n">
        <v>9</v>
      </c>
      <c r="AA166" s="19" t="n">
        <v>10</v>
      </c>
      <c r="AB166" s="19" t="n">
        <v>21</v>
      </c>
      <c r="AC166" s="19" t="n">
        <v>196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6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5" customWidth="1" min="2" max="2"/>
    <col width="26" customWidth="1" min="3" max="3"/>
    <col width="8" customWidth="1" min="4" max="4"/>
    <col width="7" customWidth="1" min="5" max="5"/>
    <col width="6" customWidth="1" min="6" max="6"/>
    <col width="7" customWidth="1" min="29" max="29"/>
  </cols>
  <sheetData>
    <row r="1" ht="15" customHeight="1">
      <c r="A1" s="14" t="inlineStr">
        <is>
          <t>Todos los registros, cualquiera sea su estatus (declarado, derivado, alegado, voto en minoría, advertido). Úsese solo para rastreo, no para frecuencias.</t>
        </is>
      </c>
    </row>
    <row r="2" ht="33.75" customHeight="1">
      <c r="A2" s="5" t="inlineStr">
        <is>
          <t>N°</t>
        </is>
      </c>
      <c r="B2" s="5" t="inlineStr">
        <is>
          <t>Clave expediente</t>
        </is>
      </c>
      <c r="C2" s="5" t="inlineStr">
        <is>
          <t>Corpus / grupo</t>
        </is>
      </c>
      <c r="D2" s="5" t="inlineStr">
        <is>
          <t>Año SV</t>
        </is>
      </c>
      <c r="E2" s="5" t="inlineStr">
        <is>
          <t>Sala</t>
        </is>
      </c>
      <c r="F2" s="5" t="inlineStr">
        <is>
          <t>D01</t>
        </is>
      </c>
      <c r="G2" s="5" t="inlineStr">
        <is>
          <t>D02</t>
        </is>
      </c>
      <c r="H2" s="5" t="inlineStr">
        <is>
          <t>D03</t>
        </is>
      </c>
      <c r="I2" s="5" t="inlineStr">
        <is>
          <t>D04</t>
        </is>
      </c>
      <c r="J2" s="5" t="inlineStr">
        <is>
          <t>D05</t>
        </is>
      </c>
      <c r="K2" s="5" t="inlineStr">
        <is>
          <t>D06</t>
        </is>
      </c>
      <c r="L2" s="5" t="inlineStr">
        <is>
          <t>D07</t>
        </is>
      </c>
      <c r="M2" s="5" t="inlineStr">
        <is>
          <t>D08</t>
        </is>
      </c>
      <c r="N2" s="5" t="inlineStr">
        <is>
          <t>D09</t>
        </is>
      </c>
      <c r="O2" s="5" t="inlineStr">
        <is>
          <t>D10</t>
        </is>
      </c>
      <c r="P2" s="5" t="inlineStr">
        <is>
          <t>D11</t>
        </is>
      </c>
      <c r="Q2" s="5" t="inlineStr">
        <is>
          <t>D12</t>
        </is>
      </c>
      <c r="R2" s="5" t="inlineStr">
        <is>
          <t>D13</t>
        </is>
      </c>
      <c r="S2" s="5" t="inlineStr">
        <is>
          <t>D14</t>
        </is>
      </c>
      <c r="T2" s="5" t="inlineStr">
        <is>
          <t>D15</t>
        </is>
      </c>
      <c r="U2" s="5" t="inlineStr">
        <is>
          <t>D16</t>
        </is>
      </c>
      <c r="V2" s="5" t="inlineStr">
        <is>
          <t>D17</t>
        </is>
      </c>
      <c r="W2" s="5" t="inlineStr">
        <is>
          <t>D18</t>
        </is>
      </c>
      <c r="X2" s="5" t="inlineStr">
        <is>
          <t>D19</t>
        </is>
      </c>
      <c r="Y2" s="5" t="inlineStr">
        <is>
          <t>D20</t>
        </is>
      </c>
      <c r="Z2" s="5" t="inlineStr">
        <is>
          <t>D21</t>
        </is>
      </c>
      <c r="AA2" s="5" t="inlineStr">
        <is>
          <t>D22</t>
        </is>
      </c>
      <c r="AB2" s="5" t="inlineStr">
        <is>
          <t>D23</t>
        </is>
      </c>
      <c r="AC2" s="5" t="inlineStr">
        <is>
          <t>Total</t>
        </is>
      </c>
    </row>
    <row r="3" ht="15" customHeight="1">
      <c r="A3" s="15" t="n">
        <v>1</v>
      </c>
      <c r="B3" s="15" t="inlineStr">
        <is>
          <t>00001-2018</t>
        </is>
      </c>
      <c r="C3" s="15" t="inlineStr">
        <is>
          <t>Matriz sumarísimos — anteriores a 2019</t>
        </is>
      </c>
      <c r="D3" s="15" t="inlineStr">
        <is>
          <t>2019</t>
        </is>
      </c>
      <c r="E3" s="15" t="inlineStr">
        <is>
          <t>2SC</t>
        </is>
      </c>
      <c r="F3" s="15" t="n">
        <v>0</v>
      </c>
      <c r="G3" s="15" t="n">
        <v>0</v>
      </c>
      <c r="H3" s="15" t="n">
        <v>0</v>
      </c>
      <c r="I3" s="15" t="n">
        <v>0</v>
      </c>
      <c r="J3" s="15" t="n">
        <v>0</v>
      </c>
      <c r="K3" s="15" t="n">
        <v>0</v>
      </c>
      <c r="L3" s="15" t="n">
        <v>0</v>
      </c>
      <c r="M3" s="15" t="n">
        <v>0</v>
      </c>
      <c r="N3" s="15" t="n">
        <v>0</v>
      </c>
      <c r="O3" s="15" t="n">
        <v>0</v>
      </c>
      <c r="P3" s="15" t="n">
        <v>0</v>
      </c>
      <c r="Q3" s="16" t="n">
        <v>1</v>
      </c>
      <c r="R3" s="15" t="n">
        <v>0</v>
      </c>
      <c r="S3" s="15" t="n">
        <v>0</v>
      </c>
      <c r="T3" s="16" t="n">
        <v>1</v>
      </c>
      <c r="U3" s="15" t="n">
        <v>0</v>
      </c>
      <c r="V3" s="15" t="n">
        <v>0</v>
      </c>
      <c r="W3" s="15" t="n">
        <v>0</v>
      </c>
      <c r="X3" s="15" t="n">
        <v>0</v>
      </c>
      <c r="Y3" s="15" t="n">
        <v>0</v>
      </c>
      <c r="Z3" s="15" t="n">
        <v>0</v>
      </c>
      <c r="AA3" s="15" t="n">
        <v>0</v>
      </c>
      <c r="AB3" s="15" t="n">
        <v>0</v>
      </c>
      <c r="AC3" s="17" t="n">
        <v>2</v>
      </c>
    </row>
    <row r="4" ht="15" customHeight="1">
      <c r="A4" s="15" t="n">
        <v>2</v>
      </c>
      <c r="B4" s="15" t="inlineStr">
        <is>
          <t>00072-2023</t>
        </is>
      </c>
      <c r="C4" s="15" t="inlineStr">
        <is>
          <t>Matriz sumarísimos — grupo 2024</t>
        </is>
      </c>
      <c r="D4" s="15" t="inlineStr">
        <is>
          <t>2025</t>
        </is>
      </c>
      <c r="E4" s="15" t="inlineStr">
        <is>
          <t>2SC</t>
        </is>
      </c>
      <c r="F4" s="15" t="n">
        <v>0</v>
      </c>
      <c r="G4" s="15" t="n">
        <v>0</v>
      </c>
      <c r="H4" s="15" t="n">
        <v>0</v>
      </c>
      <c r="I4" s="15" t="n">
        <v>0</v>
      </c>
      <c r="J4" s="15" t="n">
        <v>0</v>
      </c>
      <c r="K4" s="15" t="n">
        <v>0</v>
      </c>
      <c r="L4" s="15" t="n">
        <v>0</v>
      </c>
      <c r="M4" s="15" t="n">
        <v>0</v>
      </c>
      <c r="N4" s="15" t="n">
        <v>0</v>
      </c>
      <c r="O4" s="15" t="n">
        <v>0</v>
      </c>
      <c r="P4" s="16" t="n">
        <v>1</v>
      </c>
      <c r="Q4" s="15" t="n">
        <v>0</v>
      </c>
      <c r="R4" s="15" t="n">
        <v>0</v>
      </c>
      <c r="S4" s="15" t="n">
        <v>0</v>
      </c>
      <c r="T4" s="16" t="n">
        <v>1</v>
      </c>
      <c r="U4" s="16" t="n">
        <v>1</v>
      </c>
      <c r="V4" s="15" t="n">
        <v>0</v>
      </c>
      <c r="W4" s="15" t="n">
        <v>0</v>
      </c>
      <c r="X4" s="15" t="n">
        <v>0</v>
      </c>
      <c r="Y4" s="15" t="n">
        <v>0</v>
      </c>
      <c r="Z4" s="16" t="n">
        <v>1</v>
      </c>
      <c r="AA4" s="15" t="n">
        <v>0</v>
      </c>
      <c r="AB4" s="15" t="n">
        <v>0</v>
      </c>
      <c r="AC4" s="17" t="n">
        <v>4</v>
      </c>
    </row>
    <row r="5" ht="15" customHeight="1">
      <c r="A5" s="15" t="n">
        <v>3</v>
      </c>
      <c r="B5" s="15" t="inlineStr">
        <is>
          <t>00115-2012</t>
        </is>
      </c>
      <c r="C5" s="15" t="inlineStr">
        <is>
          <t>Matriz sumarísimos — anteriores a 2019</t>
        </is>
      </c>
      <c r="D5" s="15" t="inlineStr">
        <is>
          <t>2018</t>
        </is>
      </c>
      <c r="E5" s="15" t="inlineStr">
        <is>
          <t>2SC</t>
        </is>
      </c>
      <c r="F5" s="16" t="n">
        <v>1</v>
      </c>
      <c r="G5" s="16" t="n">
        <v>1</v>
      </c>
      <c r="H5" s="15" t="n">
        <v>0</v>
      </c>
      <c r="I5" s="15" t="n">
        <v>0</v>
      </c>
      <c r="J5" s="15" t="n">
        <v>0</v>
      </c>
      <c r="K5" s="15" t="n">
        <v>0</v>
      </c>
      <c r="L5" s="15" t="n">
        <v>0</v>
      </c>
      <c r="M5" s="15" t="n">
        <v>0</v>
      </c>
      <c r="N5" s="15" t="n">
        <v>0</v>
      </c>
      <c r="O5" s="15" t="n">
        <v>0</v>
      </c>
      <c r="P5" s="15" t="n">
        <v>0</v>
      </c>
      <c r="Q5" s="15" t="n">
        <v>0</v>
      </c>
      <c r="R5" s="15" t="n">
        <v>0</v>
      </c>
      <c r="S5" s="15" t="n">
        <v>0</v>
      </c>
      <c r="T5" s="15" t="n">
        <v>0</v>
      </c>
      <c r="U5" s="15" t="n">
        <v>0</v>
      </c>
      <c r="V5" s="15" t="n">
        <v>0</v>
      </c>
      <c r="W5" s="15" t="n">
        <v>0</v>
      </c>
      <c r="X5" s="15" t="n">
        <v>0</v>
      </c>
      <c r="Y5" s="15" t="n">
        <v>0</v>
      </c>
      <c r="Z5" s="15" t="n">
        <v>0</v>
      </c>
      <c r="AA5" s="15" t="n">
        <v>0</v>
      </c>
      <c r="AB5" s="15" t="n">
        <v>0</v>
      </c>
      <c r="AC5" s="17" t="n">
        <v>2</v>
      </c>
    </row>
    <row r="6" ht="15" customHeight="1">
      <c r="A6" s="15" t="n">
        <v>4</v>
      </c>
      <c r="B6" s="15" t="inlineStr">
        <is>
          <t>00129-2022</t>
        </is>
      </c>
      <c r="C6" s="15" t="inlineStr">
        <is>
          <t>Matriz sumarísimos — grupo 2024</t>
        </is>
      </c>
      <c r="D6" s="15" t="inlineStr">
        <is>
          <t>2024</t>
        </is>
      </c>
      <c r="E6" s="15" t="inlineStr">
        <is>
          <t>2SC</t>
        </is>
      </c>
      <c r="F6" s="15" t="n">
        <v>0</v>
      </c>
      <c r="G6" s="15" t="n">
        <v>0</v>
      </c>
      <c r="H6" s="15" t="n">
        <v>0</v>
      </c>
      <c r="I6" s="15" t="n">
        <v>0</v>
      </c>
      <c r="J6" s="15" t="n">
        <v>0</v>
      </c>
      <c r="K6" s="15" t="n">
        <v>0</v>
      </c>
      <c r="L6" s="15" t="n">
        <v>0</v>
      </c>
      <c r="M6" s="15" t="n">
        <v>0</v>
      </c>
      <c r="N6" s="15" t="n">
        <v>0</v>
      </c>
      <c r="O6" s="15" t="n">
        <v>0</v>
      </c>
      <c r="P6" s="15" t="n">
        <v>0</v>
      </c>
      <c r="Q6" s="15" t="n">
        <v>0</v>
      </c>
      <c r="R6" s="15" t="n">
        <v>0</v>
      </c>
      <c r="S6" s="15" t="n">
        <v>0</v>
      </c>
      <c r="T6" s="15" t="n">
        <v>0</v>
      </c>
      <c r="U6" s="15" t="n">
        <v>0</v>
      </c>
      <c r="V6" s="15" t="n">
        <v>0</v>
      </c>
      <c r="W6" s="15" t="n">
        <v>0</v>
      </c>
      <c r="X6" s="15" t="n">
        <v>0</v>
      </c>
      <c r="Y6" s="15" t="n">
        <v>0</v>
      </c>
      <c r="Z6" s="15" t="n">
        <v>0</v>
      </c>
      <c r="AA6" s="15" t="n">
        <v>0</v>
      </c>
      <c r="AB6" s="15" t="n">
        <v>0</v>
      </c>
      <c r="AC6" s="15" t="n">
        <v>0</v>
      </c>
    </row>
    <row r="7" ht="15" customHeight="1">
      <c r="A7" s="15" t="n">
        <v>5</v>
      </c>
      <c r="B7" s="15" t="inlineStr">
        <is>
          <t>00132-2015</t>
        </is>
      </c>
      <c r="C7" s="15" t="inlineStr">
        <is>
          <t>Pre-2019</t>
        </is>
      </c>
      <c r="D7" s="15" t="inlineStr">
        <is>
          <t>2018</t>
        </is>
      </c>
      <c r="E7" s="15" t="inlineStr">
        <is>
          <t>2SC</t>
        </is>
      </c>
      <c r="F7" s="15" t="n">
        <v>0</v>
      </c>
      <c r="G7" s="15" t="n">
        <v>0</v>
      </c>
      <c r="H7" s="15" t="n">
        <v>0</v>
      </c>
      <c r="I7" s="15" t="n">
        <v>0</v>
      </c>
      <c r="J7" s="15" t="n">
        <v>0</v>
      </c>
      <c r="K7" s="15" t="n">
        <v>0</v>
      </c>
      <c r="L7" s="15" t="n">
        <v>0</v>
      </c>
      <c r="M7" s="15" t="n">
        <v>0</v>
      </c>
      <c r="N7" s="15" t="n">
        <v>0</v>
      </c>
      <c r="O7" s="15" t="n">
        <v>0</v>
      </c>
      <c r="P7" s="15" t="n">
        <v>0</v>
      </c>
      <c r="Q7" s="15" t="n">
        <v>0</v>
      </c>
      <c r="R7" s="15" t="n">
        <v>0</v>
      </c>
      <c r="S7" s="15" t="n">
        <v>0</v>
      </c>
      <c r="T7" s="15" t="n">
        <v>0</v>
      </c>
      <c r="U7" s="15" t="n">
        <v>0</v>
      </c>
      <c r="V7" s="15" t="n">
        <v>0</v>
      </c>
      <c r="W7" s="15" t="n">
        <v>0</v>
      </c>
      <c r="X7" s="15" t="n">
        <v>0</v>
      </c>
      <c r="Y7" s="15" t="n">
        <v>0</v>
      </c>
      <c r="Z7" s="15" t="n">
        <v>0</v>
      </c>
      <c r="AA7" s="15" t="n">
        <v>0</v>
      </c>
      <c r="AB7" s="15" t="n">
        <v>0</v>
      </c>
      <c r="AC7" s="15" t="n">
        <v>0</v>
      </c>
    </row>
    <row r="8" ht="15" customHeight="1">
      <c r="A8" s="15" t="n">
        <v>6</v>
      </c>
      <c r="B8" s="15" t="inlineStr">
        <is>
          <t>00153-2022</t>
        </is>
      </c>
      <c r="C8" s="15" t="inlineStr">
        <is>
          <t>Matriz sumarísimos — grupo 2024</t>
        </is>
      </c>
      <c r="D8" s="15" t="inlineStr">
        <is>
          <t>2025</t>
        </is>
      </c>
      <c r="E8" s="15" t="inlineStr">
        <is>
          <t>3SC</t>
        </is>
      </c>
      <c r="F8" s="15" t="n">
        <v>0</v>
      </c>
      <c r="G8" s="15" t="n">
        <v>0</v>
      </c>
      <c r="H8" s="15" t="n">
        <v>0</v>
      </c>
      <c r="I8" s="15" t="n">
        <v>0</v>
      </c>
      <c r="J8" s="15" t="n">
        <v>0</v>
      </c>
      <c r="K8" s="15" t="n">
        <v>0</v>
      </c>
      <c r="L8" s="15" t="n">
        <v>0</v>
      </c>
      <c r="M8" s="15" t="n">
        <v>0</v>
      </c>
      <c r="N8" s="15" t="n">
        <v>0</v>
      </c>
      <c r="O8" s="15" t="n">
        <v>0</v>
      </c>
      <c r="P8" s="15" t="n">
        <v>0</v>
      </c>
      <c r="Q8" s="15" t="n">
        <v>0</v>
      </c>
      <c r="R8" s="15" t="n">
        <v>0</v>
      </c>
      <c r="S8" s="15" t="n">
        <v>0</v>
      </c>
      <c r="T8" s="15" t="n">
        <v>0</v>
      </c>
      <c r="U8" s="15" t="n">
        <v>0</v>
      </c>
      <c r="V8" s="15" t="n">
        <v>0</v>
      </c>
      <c r="W8" s="15" t="n">
        <v>0</v>
      </c>
      <c r="X8" s="15" t="n">
        <v>0</v>
      </c>
      <c r="Y8" s="15" t="n">
        <v>0</v>
      </c>
      <c r="Z8" s="15" t="n">
        <v>0</v>
      </c>
      <c r="AA8" s="15" t="n">
        <v>0</v>
      </c>
      <c r="AB8" s="15" t="n">
        <v>0</v>
      </c>
      <c r="AC8" s="15" t="n">
        <v>0</v>
      </c>
    </row>
    <row r="9" ht="15" customHeight="1">
      <c r="A9" s="15" t="n">
        <v>7</v>
      </c>
      <c r="B9" s="15" t="inlineStr">
        <is>
          <t>00192-2021</t>
        </is>
      </c>
      <c r="C9" s="15" t="inlineStr">
        <is>
          <t>2024</t>
        </is>
      </c>
      <c r="D9" s="15" t="inlineStr">
        <is>
          <t>2026</t>
        </is>
      </c>
      <c r="E9" s="15" t="n"/>
      <c r="F9" s="15" t="n">
        <v>0</v>
      </c>
      <c r="G9" s="15" t="n">
        <v>0</v>
      </c>
      <c r="H9" s="15" t="n">
        <v>0</v>
      </c>
      <c r="I9" s="15" t="n">
        <v>0</v>
      </c>
      <c r="J9" s="15" t="n">
        <v>0</v>
      </c>
      <c r="K9" s="15" t="n">
        <v>0</v>
      </c>
      <c r="L9" s="15" t="n">
        <v>0</v>
      </c>
      <c r="M9" s="15" t="n">
        <v>0</v>
      </c>
      <c r="N9" s="15" t="n">
        <v>0</v>
      </c>
      <c r="O9" s="15" t="n">
        <v>0</v>
      </c>
      <c r="P9" s="15" t="n">
        <v>0</v>
      </c>
      <c r="Q9" s="15" t="n">
        <v>0</v>
      </c>
      <c r="R9" s="15" t="n">
        <v>0</v>
      </c>
      <c r="S9" s="15" t="n">
        <v>0</v>
      </c>
      <c r="T9" s="15" t="n">
        <v>0</v>
      </c>
      <c r="U9" s="15" t="n">
        <v>0</v>
      </c>
      <c r="V9" s="15" t="n">
        <v>0</v>
      </c>
      <c r="W9" s="15" t="n">
        <v>0</v>
      </c>
      <c r="X9" s="15" t="n">
        <v>0</v>
      </c>
      <c r="Y9" s="15" t="n">
        <v>0</v>
      </c>
      <c r="Z9" s="15" t="n">
        <v>0</v>
      </c>
      <c r="AA9" s="15" t="n">
        <v>0</v>
      </c>
      <c r="AB9" s="15" t="n">
        <v>0</v>
      </c>
      <c r="AC9" s="15" t="n">
        <v>0</v>
      </c>
    </row>
    <row r="10" ht="15" customHeight="1">
      <c r="A10" s="15" t="n">
        <v>8</v>
      </c>
      <c r="B10" s="15" t="inlineStr">
        <is>
          <t>00234-2018</t>
        </is>
      </c>
      <c r="C10" s="15" t="inlineStr">
        <is>
          <t>Matriz sumarísimos — anteriores a 2019</t>
        </is>
      </c>
      <c r="D10" s="15" t="inlineStr">
        <is>
          <t>2019</t>
        </is>
      </c>
      <c r="E10" s="15" t="inlineStr">
        <is>
          <t>3SC</t>
        </is>
      </c>
      <c r="F10" s="15" t="n">
        <v>0</v>
      </c>
      <c r="G10" s="15" t="n">
        <v>0</v>
      </c>
      <c r="H10" s="15" t="n">
        <v>0</v>
      </c>
      <c r="I10" s="15" t="n">
        <v>0</v>
      </c>
      <c r="J10" s="15" t="n">
        <v>0</v>
      </c>
      <c r="K10" s="15" t="n">
        <v>0</v>
      </c>
      <c r="L10" s="15" t="n">
        <v>0</v>
      </c>
      <c r="M10" s="15" t="n">
        <v>0</v>
      </c>
      <c r="N10" s="15" t="n">
        <v>0</v>
      </c>
      <c r="O10" s="15" t="n">
        <v>0</v>
      </c>
      <c r="P10" s="15" t="n">
        <v>0</v>
      </c>
      <c r="Q10" s="15" t="n">
        <v>0</v>
      </c>
      <c r="R10" s="15" t="n">
        <v>0</v>
      </c>
      <c r="S10" s="15" t="n">
        <v>0</v>
      </c>
      <c r="T10" s="15" t="n">
        <v>0</v>
      </c>
      <c r="U10" s="15" t="n">
        <v>0</v>
      </c>
      <c r="V10" s="15" t="n">
        <v>0</v>
      </c>
      <c r="W10" s="15" t="n">
        <v>0</v>
      </c>
      <c r="X10" s="16" t="n">
        <v>1</v>
      </c>
      <c r="Y10" s="15" t="n">
        <v>0</v>
      </c>
      <c r="Z10" s="15" t="n">
        <v>0</v>
      </c>
      <c r="AA10" s="15" t="n">
        <v>0</v>
      </c>
      <c r="AB10" s="15" t="n">
        <v>0</v>
      </c>
      <c r="AC10" s="17" t="n">
        <v>1</v>
      </c>
    </row>
    <row r="11" ht="15" customHeight="1">
      <c r="A11" s="15" t="n">
        <v>9</v>
      </c>
      <c r="B11" s="15" t="inlineStr">
        <is>
          <t>00320-2023</t>
        </is>
      </c>
      <c r="C11" s="15" t="inlineStr">
        <is>
          <t>2024</t>
        </is>
      </c>
      <c r="D11" s="15" t="inlineStr">
        <is>
          <t>2025</t>
        </is>
      </c>
      <c r="E11" s="15" t="inlineStr">
        <is>
          <t>2SC</t>
        </is>
      </c>
      <c r="F11" s="15" t="n">
        <v>0</v>
      </c>
      <c r="G11" s="15" t="n">
        <v>0</v>
      </c>
      <c r="H11" s="15" t="n">
        <v>0</v>
      </c>
      <c r="I11" s="15" t="n">
        <v>0</v>
      </c>
      <c r="J11" s="15" t="n">
        <v>0</v>
      </c>
      <c r="K11" s="15" t="n">
        <v>0</v>
      </c>
      <c r="L11" s="15" t="n">
        <v>0</v>
      </c>
      <c r="M11" s="15" t="n">
        <v>0</v>
      </c>
      <c r="N11" s="15" t="n">
        <v>0</v>
      </c>
      <c r="O11" s="15" t="n">
        <v>0</v>
      </c>
      <c r="P11" s="15" t="n">
        <v>0</v>
      </c>
      <c r="Q11" s="15" t="n">
        <v>0</v>
      </c>
      <c r="R11" s="16" t="n">
        <v>1</v>
      </c>
      <c r="S11" s="15" t="n">
        <v>0</v>
      </c>
      <c r="T11" s="15" t="n">
        <v>0</v>
      </c>
      <c r="U11" s="15" t="n">
        <v>0</v>
      </c>
      <c r="V11" s="15" t="n">
        <v>0</v>
      </c>
      <c r="W11" s="15" t="n">
        <v>0</v>
      </c>
      <c r="X11" s="15" t="n">
        <v>0</v>
      </c>
      <c r="Y11" s="15" t="n">
        <v>0</v>
      </c>
      <c r="Z11" s="15" t="n">
        <v>0</v>
      </c>
      <c r="AA11" s="15" t="n">
        <v>0</v>
      </c>
      <c r="AB11" s="15" t="n">
        <v>0</v>
      </c>
      <c r="AC11" s="17" t="n">
        <v>1</v>
      </c>
    </row>
    <row r="12" ht="15" customHeight="1">
      <c r="A12" s="15" t="n">
        <v>10</v>
      </c>
      <c r="B12" s="15" t="inlineStr">
        <is>
          <t>00340-2002</t>
        </is>
      </c>
      <c r="C12" s="15" t="inlineStr">
        <is>
          <t>Pre-2019</t>
        </is>
      </c>
      <c r="D12" s="15" t="inlineStr">
        <is>
          <t>2018</t>
        </is>
      </c>
      <c r="E12" s="15" t="inlineStr">
        <is>
          <t>2SC</t>
        </is>
      </c>
      <c r="F12" s="15" t="n">
        <v>0</v>
      </c>
      <c r="G12" s="16" t="n">
        <v>1</v>
      </c>
      <c r="H12" s="15" t="n">
        <v>0</v>
      </c>
      <c r="I12" s="15" t="n">
        <v>0</v>
      </c>
      <c r="J12" s="15" t="n">
        <v>0</v>
      </c>
      <c r="K12" s="15" t="n">
        <v>0</v>
      </c>
      <c r="L12" s="15" t="n">
        <v>0</v>
      </c>
      <c r="M12" s="15" t="n">
        <v>0</v>
      </c>
      <c r="N12" s="15" t="n">
        <v>0</v>
      </c>
      <c r="O12" s="15" t="n">
        <v>0</v>
      </c>
      <c r="P12" s="15" t="n">
        <v>0</v>
      </c>
      <c r="Q12" s="15" t="n">
        <v>0</v>
      </c>
      <c r="R12" s="15" t="n">
        <v>0</v>
      </c>
      <c r="S12" s="15" t="n">
        <v>0</v>
      </c>
      <c r="T12" s="15" t="n">
        <v>0</v>
      </c>
      <c r="U12" s="16" t="n">
        <v>1</v>
      </c>
      <c r="V12" s="15" t="n">
        <v>0</v>
      </c>
      <c r="W12" s="15" t="n">
        <v>0</v>
      </c>
      <c r="X12" s="15" t="n">
        <v>0</v>
      </c>
      <c r="Y12" s="15" t="n">
        <v>0</v>
      </c>
      <c r="Z12" s="15" t="n">
        <v>0</v>
      </c>
      <c r="AA12" s="15" t="n">
        <v>0</v>
      </c>
      <c r="AB12" s="15" t="n">
        <v>0</v>
      </c>
      <c r="AC12" s="17" t="n">
        <v>2</v>
      </c>
    </row>
    <row r="13" ht="15" customHeight="1">
      <c r="A13" s="15" t="n">
        <v>11</v>
      </c>
      <c r="B13" s="15" t="inlineStr">
        <is>
          <t>00367-2024</t>
        </is>
      </c>
      <c r="C13" s="15" t="inlineStr">
        <is>
          <t>Matriz sumarísimos — grupo 2024</t>
        </is>
      </c>
      <c r="D13" s="15" t="inlineStr">
        <is>
          <t>2024</t>
        </is>
      </c>
      <c r="E13" s="15" t="inlineStr">
        <is>
          <t>1SC</t>
        </is>
      </c>
      <c r="F13" s="15" t="n">
        <v>0</v>
      </c>
      <c r="G13" s="15" t="n">
        <v>0</v>
      </c>
      <c r="H13" s="15" t="n">
        <v>0</v>
      </c>
      <c r="I13" s="15" t="n">
        <v>0</v>
      </c>
      <c r="J13" s="15" t="n">
        <v>0</v>
      </c>
      <c r="K13" s="15" t="n">
        <v>0</v>
      </c>
      <c r="L13" s="15" t="n">
        <v>0</v>
      </c>
      <c r="M13" s="15" t="n">
        <v>0</v>
      </c>
      <c r="N13" s="15" t="n">
        <v>0</v>
      </c>
      <c r="O13" s="15" t="n">
        <v>0</v>
      </c>
      <c r="P13" s="15" t="n">
        <v>0</v>
      </c>
      <c r="Q13" s="15" t="n">
        <v>0</v>
      </c>
      <c r="R13" s="15" t="n">
        <v>0</v>
      </c>
      <c r="S13" s="15" t="n">
        <v>0</v>
      </c>
      <c r="T13" s="15" t="n">
        <v>0</v>
      </c>
      <c r="U13" s="15" t="n">
        <v>0</v>
      </c>
      <c r="V13" s="15" t="n">
        <v>0</v>
      </c>
      <c r="W13" s="15" t="n">
        <v>0</v>
      </c>
      <c r="X13" s="15" t="n">
        <v>0</v>
      </c>
      <c r="Y13" s="15" t="n">
        <v>0</v>
      </c>
      <c r="Z13" s="15" t="n">
        <v>0</v>
      </c>
      <c r="AA13" s="15" t="n">
        <v>0</v>
      </c>
      <c r="AB13" s="15" t="n">
        <v>0</v>
      </c>
      <c r="AC13" s="15" t="n">
        <v>0</v>
      </c>
    </row>
    <row r="14" ht="15" customHeight="1">
      <c r="A14" s="15" t="n">
        <v>12</v>
      </c>
      <c r="B14" s="15" t="inlineStr">
        <is>
          <t>00414-2023</t>
        </is>
      </c>
      <c r="C14" s="15" t="inlineStr">
        <is>
          <t>Llamoja — SV de control (2021-2023)</t>
        </is>
      </c>
      <c r="D14" s="15" t="inlineStr">
        <is>
          <t>2025</t>
        </is>
      </c>
      <c r="E14" s="15" t="inlineStr">
        <is>
          <t>3SC</t>
        </is>
      </c>
      <c r="F14" s="15" t="n">
        <v>0</v>
      </c>
      <c r="G14" s="15" t="n">
        <v>0</v>
      </c>
      <c r="H14" s="15" t="n">
        <v>0</v>
      </c>
      <c r="I14" s="15" t="n">
        <v>0</v>
      </c>
      <c r="J14" s="15" t="n">
        <v>0</v>
      </c>
      <c r="K14" s="15" t="n">
        <v>0</v>
      </c>
      <c r="L14" s="15" t="n">
        <v>0</v>
      </c>
      <c r="M14" s="15" t="n">
        <v>0</v>
      </c>
      <c r="N14" s="15" t="n">
        <v>0</v>
      </c>
      <c r="O14" s="15" t="n">
        <v>0</v>
      </c>
      <c r="P14" s="15" t="n">
        <v>0</v>
      </c>
      <c r="Q14" s="15" t="n">
        <v>0</v>
      </c>
      <c r="R14" s="16" t="n">
        <v>1</v>
      </c>
      <c r="S14" s="15" t="n">
        <v>0</v>
      </c>
      <c r="T14" s="15" t="n">
        <v>0</v>
      </c>
      <c r="U14" s="16" t="n">
        <v>1</v>
      </c>
      <c r="V14" s="15" t="n">
        <v>0</v>
      </c>
      <c r="W14" s="15" t="n">
        <v>0</v>
      </c>
      <c r="X14" s="15" t="n">
        <v>0</v>
      </c>
      <c r="Y14" s="15" t="n">
        <v>0</v>
      </c>
      <c r="Z14" s="15" t="n">
        <v>0</v>
      </c>
      <c r="AA14" s="15" t="n">
        <v>0</v>
      </c>
      <c r="AB14" s="15" t="n">
        <v>0</v>
      </c>
      <c r="AC14" s="17" t="n">
        <v>2</v>
      </c>
    </row>
    <row r="15" ht="15" customHeight="1">
      <c r="A15" s="15" t="n">
        <v>13</v>
      </c>
      <c r="B15" s="15" t="inlineStr">
        <is>
          <t>00428-2017</t>
        </is>
      </c>
      <c r="C15" s="15" t="inlineStr">
        <is>
          <t>Matriz sumarísimos — anteriores a 2019</t>
        </is>
      </c>
      <c r="D15" s="15" t="inlineStr">
        <is>
          <t>2020</t>
        </is>
      </c>
      <c r="E15" s="15" t="inlineStr">
        <is>
          <t>2SC</t>
        </is>
      </c>
      <c r="F15" s="15" t="n">
        <v>0</v>
      </c>
      <c r="G15" s="15" t="n">
        <v>0</v>
      </c>
      <c r="H15" s="15" t="n">
        <v>0</v>
      </c>
      <c r="I15" s="15" t="n">
        <v>0</v>
      </c>
      <c r="J15" s="15" t="n">
        <v>0</v>
      </c>
      <c r="K15" s="15" t="n">
        <v>0</v>
      </c>
      <c r="L15" s="15" t="n">
        <v>0</v>
      </c>
      <c r="M15" s="15" t="n">
        <v>0</v>
      </c>
      <c r="N15" s="15" t="n">
        <v>0</v>
      </c>
      <c r="O15" s="15" t="n">
        <v>0</v>
      </c>
      <c r="P15" s="15" t="n">
        <v>0</v>
      </c>
      <c r="Q15" s="15" t="n">
        <v>0</v>
      </c>
      <c r="R15" s="16" t="n">
        <v>1</v>
      </c>
      <c r="S15" s="15" t="n">
        <v>0</v>
      </c>
      <c r="T15" s="15" t="n">
        <v>0</v>
      </c>
      <c r="U15" s="15" t="n">
        <v>0</v>
      </c>
      <c r="V15" s="15" t="n">
        <v>0</v>
      </c>
      <c r="W15" s="15" t="n">
        <v>0</v>
      </c>
      <c r="X15" s="15" t="n">
        <v>0</v>
      </c>
      <c r="Y15" s="15" t="n">
        <v>0</v>
      </c>
      <c r="Z15" s="16" t="n">
        <v>1</v>
      </c>
      <c r="AA15" s="15" t="n">
        <v>0</v>
      </c>
      <c r="AB15" s="15" t="n">
        <v>0</v>
      </c>
      <c r="AC15" s="17" t="n">
        <v>2</v>
      </c>
    </row>
    <row r="16" ht="15" customHeight="1">
      <c r="A16" s="15" t="n">
        <v>14</v>
      </c>
      <c r="B16" s="15" t="inlineStr">
        <is>
          <t>00598-2022</t>
        </is>
      </c>
      <c r="C16" s="15" t="inlineStr">
        <is>
          <t>2024</t>
        </is>
      </c>
      <c r="D16" s="15" t="inlineStr">
        <is>
          <t>2025</t>
        </is>
      </c>
      <c r="E16" s="15" t="inlineStr">
        <is>
          <t>3SC</t>
        </is>
      </c>
      <c r="F16" s="15" t="n">
        <v>0</v>
      </c>
      <c r="G16" s="15" t="n">
        <v>0</v>
      </c>
      <c r="H16" s="15" t="n">
        <v>0</v>
      </c>
      <c r="I16" s="15" t="n">
        <v>0</v>
      </c>
      <c r="J16" s="15" t="n">
        <v>0</v>
      </c>
      <c r="K16" s="15" t="n">
        <v>0</v>
      </c>
      <c r="L16" s="15" t="n">
        <v>0</v>
      </c>
      <c r="M16" s="15" t="n">
        <v>0</v>
      </c>
      <c r="N16" s="15" t="n">
        <v>0</v>
      </c>
      <c r="O16" s="15" t="n">
        <v>0</v>
      </c>
      <c r="P16" s="15" t="n">
        <v>0</v>
      </c>
      <c r="Q16" s="16" t="n">
        <v>1</v>
      </c>
      <c r="R16" s="16" t="n">
        <v>1</v>
      </c>
      <c r="S16" s="15" t="n">
        <v>0</v>
      </c>
      <c r="T16" s="15" t="n">
        <v>0</v>
      </c>
      <c r="U16" s="15" t="n">
        <v>0</v>
      </c>
      <c r="V16" s="15" t="n">
        <v>0</v>
      </c>
      <c r="W16" s="15" t="n">
        <v>0</v>
      </c>
      <c r="X16" s="15" t="n">
        <v>0</v>
      </c>
      <c r="Y16" s="15" t="n">
        <v>0</v>
      </c>
      <c r="Z16" s="15" t="n">
        <v>0</v>
      </c>
      <c r="AA16" s="15" t="n">
        <v>0</v>
      </c>
      <c r="AB16" s="15" t="n">
        <v>0</v>
      </c>
      <c r="AC16" s="17" t="n">
        <v>2</v>
      </c>
    </row>
    <row r="17" ht="15" customHeight="1">
      <c r="A17" s="15" t="n">
        <v>15</v>
      </c>
      <c r="B17" s="15" t="inlineStr">
        <is>
          <t>00646-2024</t>
        </is>
      </c>
      <c r="C17" s="15" t="inlineStr">
        <is>
          <t>Matriz sumarísimos — grupo 2024</t>
        </is>
      </c>
      <c r="D17" s="15" t="inlineStr">
        <is>
          <t>2025</t>
        </is>
      </c>
      <c r="E17" s="15" t="inlineStr">
        <is>
          <t>2SC</t>
        </is>
      </c>
      <c r="F17" s="15" t="n">
        <v>0</v>
      </c>
      <c r="G17" s="15" t="n">
        <v>0</v>
      </c>
      <c r="H17" s="15" t="n">
        <v>0</v>
      </c>
      <c r="I17" s="15" t="n">
        <v>0</v>
      </c>
      <c r="J17" s="15" t="n">
        <v>0</v>
      </c>
      <c r="K17" s="15" t="n">
        <v>0</v>
      </c>
      <c r="L17" s="15" t="n">
        <v>0</v>
      </c>
      <c r="M17" s="15" t="n">
        <v>0</v>
      </c>
      <c r="N17" s="15" t="n">
        <v>0</v>
      </c>
      <c r="O17" s="15" t="n">
        <v>0</v>
      </c>
      <c r="P17" s="15" t="n">
        <v>0</v>
      </c>
      <c r="Q17" s="16" t="n">
        <v>1</v>
      </c>
      <c r="R17" s="15" t="n">
        <v>0</v>
      </c>
      <c r="S17" s="15" t="n">
        <v>0</v>
      </c>
      <c r="T17" s="15" t="n">
        <v>0</v>
      </c>
      <c r="U17" s="16" t="n">
        <v>1</v>
      </c>
      <c r="V17" s="15" t="n">
        <v>0</v>
      </c>
      <c r="W17" s="15" t="n">
        <v>0</v>
      </c>
      <c r="X17" s="15" t="n">
        <v>0</v>
      </c>
      <c r="Y17" s="15" t="n">
        <v>0</v>
      </c>
      <c r="Z17" s="15" t="n">
        <v>0</v>
      </c>
      <c r="AA17" s="15" t="n">
        <v>0</v>
      </c>
      <c r="AB17" s="16" t="n">
        <v>1</v>
      </c>
      <c r="AC17" s="17" t="n">
        <v>3</v>
      </c>
    </row>
    <row r="18" ht="15" customHeight="1">
      <c r="A18" s="15" t="n">
        <v>16</v>
      </c>
      <c r="B18" s="15" t="inlineStr">
        <is>
          <t>00661-2023</t>
        </is>
      </c>
      <c r="C18" s="15" t="inlineStr">
        <is>
          <t>Matriz sumarísimos — grupo 2024</t>
        </is>
      </c>
      <c r="D18" s="15" t="inlineStr">
        <is>
          <t>2025</t>
        </is>
      </c>
      <c r="E18" s="15" t="inlineStr">
        <is>
          <t>2SC</t>
        </is>
      </c>
      <c r="F18" s="15" t="n">
        <v>0</v>
      </c>
      <c r="G18" s="15" t="n">
        <v>0</v>
      </c>
      <c r="H18" s="15" t="n">
        <v>0</v>
      </c>
      <c r="I18" s="15" t="n">
        <v>0</v>
      </c>
      <c r="J18" s="15" t="n">
        <v>0</v>
      </c>
      <c r="K18" s="15" t="n">
        <v>0</v>
      </c>
      <c r="L18" s="15" t="n">
        <v>0</v>
      </c>
      <c r="M18" s="15" t="n">
        <v>0</v>
      </c>
      <c r="N18" s="15" t="n">
        <v>0</v>
      </c>
      <c r="O18" s="15" t="n">
        <v>0</v>
      </c>
      <c r="P18" s="15" t="n">
        <v>0</v>
      </c>
      <c r="Q18" s="16" t="n">
        <v>1</v>
      </c>
      <c r="R18" s="16" t="n">
        <v>1</v>
      </c>
      <c r="S18" s="15" t="n">
        <v>0</v>
      </c>
      <c r="T18" s="15" t="n">
        <v>0</v>
      </c>
      <c r="U18" s="15" t="n">
        <v>0</v>
      </c>
      <c r="V18" s="15" t="n">
        <v>0</v>
      </c>
      <c r="W18" s="15" t="n">
        <v>0</v>
      </c>
      <c r="X18" s="15" t="n">
        <v>0</v>
      </c>
      <c r="Y18" s="15" t="n">
        <v>0</v>
      </c>
      <c r="Z18" s="15" t="n">
        <v>0</v>
      </c>
      <c r="AA18" s="15" t="n">
        <v>0</v>
      </c>
      <c r="AB18" s="15" t="n">
        <v>0</v>
      </c>
      <c r="AC18" s="17" t="n">
        <v>2</v>
      </c>
    </row>
    <row r="19" ht="15" customHeight="1">
      <c r="A19" s="15" t="n">
        <v>17</v>
      </c>
      <c r="B19" s="15" t="inlineStr">
        <is>
          <t>00742-2022</t>
        </is>
      </c>
      <c r="C19" s="15" t="inlineStr">
        <is>
          <t>2024</t>
        </is>
      </c>
      <c r="D19" s="15" t="inlineStr">
        <is>
          <t>2025</t>
        </is>
      </c>
      <c r="E19" s="15" t="n"/>
      <c r="F19" s="15" t="n">
        <v>0</v>
      </c>
      <c r="G19" s="16" t="n">
        <v>1</v>
      </c>
      <c r="H19" s="15" t="n">
        <v>0</v>
      </c>
      <c r="I19" s="16" t="n">
        <v>1</v>
      </c>
      <c r="J19" s="15" t="n">
        <v>0</v>
      </c>
      <c r="K19" s="15" t="n">
        <v>0</v>
      </c>
      <c r="L19" s="15" t="n">
        <v>0</v>
      </c>
      <c r="M19" s="15" t="n">
        <v>0</v>
      </c>
      <c r="N19" s="15" t="n">
        <v>0</v>
      </c>
      <c r="O19" s="15" t="n">
        <v>0</v>
      </c>
      <c r="P19" s="16" t="n">
        <v>1</v>
      </c>
      <c r="Q19" s="15" t="n">
        <v>0</v>
      </c>
      <c r="R19" s="15" t="n">
        <v>0</v>
      </c>
      <c r="S19" s="15" t="n">
        <v>0</v>
      </c>
      <c r="T19" s="15" t="n">
        <v>0</v>
      </c>
      <c r="U19" s="16" t="n">
        <v>1</v>
      </c>
      <c r="V19" s="15" t="n">
        <v>0</v>
      </c>
      <c r="W19" s="15" t="n">
        <v>0</v>
      </c>
      <c r="X19" s="15" t="n">
        <v>0</v>
      </c>
      <c r="Y19" s="15" t="n">
        <v>0</v>
      </c>
      <c r="Z19" s="15" t="n">
        <v>0</v>
      </c>
      <c r="AA19" s="15" t="n">
        <v>0</v>
      </c>
      <c r="AB19" s="15" t="n">
        <v>0</v>
      </c>
      <c r="AC19" s="17" t="n">
        <v>4</v>
      </c>
    </row>
    <row r="20" ht="15" customHeight="1">
      <c r="A20" s="15" t="n">
        <v>18</v>
      </c>
      <c r="B20" s="15" t="inlineStr">
        <is>
          <t>00748-2013</t>
        </is>
      </c>
      <c r="C20" s="15" t="inlineStr">
        <is>
          <t>Pre-2019</t>
        </is>
      </c>
      <c r="D20" s="15" t="inlineStr">
        <is>
          <t>2018</t>
        </is>
      </c>
      <c r="E20" s="15" t="inlineStr">
        <is>
          <t>2SC</t>
        </is>
      </c>
      <c r="F20" s="15" t="n">
        <v>0</v>
      </c>
      <c r="G20" s="15" t="n">
        <v>0</v>
      </c>
      <c r="H20" s="15" t="n">
        <v>0</v>
      </c>
      <c r="I20" s="15" t="n">
        <v>0</v>
      </c>
      <c r="J20" s="15" t="n">
        <v>0</v>
      </c>
      <c r="K20" s="15" t="n">
        <v>0</v>
      </c>
      <c r="L20" s="15" t="n">
        <v>0</v>
      </c>
      <c r="M20" s="15" t="n">
        <v>0</v>
      </c>
      <c r="N20" s="15" t="n">
        <v>0</v>
      </c>
      <c r="O20" s="15" t="n">
        <v>0</v>
      </c>
      <c r="P20" s="15" t="n">
        <v>0</v>
      </c>
      <c r="Q20" s="15" t="n">
        <v>0</v>
      </c>
      <c r="R20" s="15" t="n">
        <v>0</v>
      </c>
      <c r="S20" s="15" t="n">
        <v>0</v>
      </c>
      <c r="T20" s="16" t="n">
        <v>1</v>
      </c>
      <c r="U20" s="15" t="n">
        <v>0</v>
      </c>
      <c r="V20" s="15" t="n">
        <v>0</v>
      </c>
      <c r="W20" s="15" t="n">
        <v>0</v>
      </c>
      <c r="X20" s="15" t="n">
        <v>0</v>
      </c>
      <c r="Y20" s="15" t="n">
        <v>0</v>
      </c>
      <c r="Z20" s="15" t="n">
        <v>0</v>
      </c>
      <c r="AA20" s="15" t="n">
        <v>0</v>
      </c>
      <c r="AB20" s="15" t="n">
        <v>0</v>
      </c>
      <c r="AC20" s="17" t="n">
        <v>1</v>
      </c>
    </row>
    <row r="21" ht="15" customHeight="1">
      <c r="A21" s="15" t="n">
        <v>19</v>
      </c>
      <c r="B21" s="15" t="inlineStr">
        <is>
          <t>00760-2021</t>
        </is>
      </c>
      <c r="C21" s="15" t="inlineStr">
        <is>
          <t>Llamoja — SV de control (2021-2023)</t>
        </is>
      </c>
      <c r="D21" s="15" t="inlineStr">
        <is>
          <t>2025</t>
        </is>
      </c>
      <c r="E21" s="15" t="inlineStr">
        <is>
          <t>3SC</t>
        </is>
      </c>
      <c r="F21" s="15" t="n">
        <v>0</v>
      </c>
      <c r="G21" s="15" t="n">
        <v>0</v>
      </c>
      <c r="H21" s="15" t="n">
        <v>0</v>
      </c>
      <c r="I21" s="15" t="n">
        <v>0</v>
      </c>
      <c r="J21" s="15" t="n">
        <v>0</v>
      </c>
      <c r="K21" s="15" t="n">
        <v>0</v>
      </c>
      <c r="L21" s="15" t="n">
        <v>0</v>
      </c>
      <c r="M21" s="16" t="n">
        <v>1</v>
      </c>
      <c r="N21" s="15" t="n">
        <v>0</v>
      </c>
      <c r="O21" s="16" t="n">
        <v>1</v>
      </c>
      <c r="P21" s="15" t="n">
        <v>0</v>
      </c>
      <c r="Q21" s="15" t="n">
        <v>0</v>
      </c>
      <c r="R21" s="15" t="n">
        <v>0</v>
      </c>
      <c r="S21" s="15" t="n">
        <v>0</v>
      </c>
      <c r="T21" s="15" t="n">
        <v>0</v>
      </c>
      <c r="U21" s="15" t="n">
        <v>0</v>
      </c>
      <c r="V21" s="15" t="n">
        <v>0</v>
      </c>
      <c r="W21" s="15" t="n">
        <v>0</v>
      </c>
      <c r="X21" s="15" t="n">
        <v>0</v>
      </c>
      <c r="Y21" s="15" t="n">
        <v>0</v>
      </c>
      <c r="Z21" s="15" t="n">
        <v>0</v>
      </c>
      <c r="AA21" s="15" t="n">
        <v>0</v>
      </c>
      <c r="AB21" s="15" t="n">
        <v>0</v>
      </c>
      <c r="AC21" s="17" t="n">
        <v>2</v>
      </c>
    </row>
    <row r="22" ht="15" customHeight="1">
      <c r="A22" s="15" t="n">
        <v>20</v>
      </c>
      <c r="B22" s="15" t="inlineStr">
        <is>
          <t>00774-2021</t>
        </is>
      </c>
      <c r="C22" s="15" t="inlineStr">
        <is>
          <t>Llamoja — SV de control (2021-2023)</t>
        </is>
      </c>
      <c r="D22" s="15" t="inlineStr">
        <is>
          <t>2025</t>
        </is>
      </c>
      <c r="E22" s="15" t="inlineStr">
        <is>
          <t>2SC</t>
        </is>
      </c>
      <c r="F22" s="15" t="n">
        <v>0</v>
      </c>
      <c r="G22" s="15" t="n">
        <v>0</v>
      </c>
      <c r="H22" s="15" t="n">
        <v>0</v>
      </c>
      <c r="I22" s="15" t="n">
        <v>0</v>
      </c>
      <c r="J22" s="15" t="n">
        <v>0</v>
      </c>
      <c r="K22" s="15" t="n">
        <v>0</v>
      </c>
      <c r="L22" s="15" t="n">
        <v>0</v>
      </c>
      <c r="M22" s="15" t="n">
        <v>0</v>
      </c>
      <c r="N22" s="15" t="n">
        <v>0</v>
      </c>
      <c r="O22" s="15" t="n">
        <v>0</v>
      </c>
      <c r="P22" s="15" t="n">
        <v>0</v>
      </c>
      <c r="Q22" s="15" t="n">
        <v>0</v>
      </c>
      <c r="R22" s="15" t="n">
        <v>0</v>
      </c>
      <c r="S22" s="15" t="n">
        <v>0</v>
      </c>
      <c r="T22" s="15" t="n">
        <v>0</v>
      </c>
      <c r="U22" s="16" t="n">
        <v>1</v>
      </c>
      <c r="V22" s="15" t="n">
        <v>0</v>
      </c>
      <c r="W22" s="15" t="n">
        <v>0</v>
      </c>
      <c r="X22" s="15" t="n">
        <v>0</v>
      </c>
      <c r="Y22" s="15" t="n">
        <v>0</v>
      </c>
      <c r="Z22" s="16" t="n">
        <v>1</v>
      </c>
      <c r="AA22" s="15" t="n">
        <v>0</v>
      </c>
      <c r="AB22" s="15" t="n">
        <v>0</v>
      </c>
      <c r="AC22" s="17" t="n">
        <v>2</v>
      </c>
    </row>
    <row r="23" ht="15" customHeight="1">
      <c r="A23" s="15" t="n">
        <v>21</v>
      </c>
      <c r="B23" s="15" t="inlineStr">
        <is>
          <t>00788-2013</t>
        </is>
      </c>
      <c r="C23" s="15" t="inlineStr">
        <is>
          <t>Pre-2019</t>
        </is>
      </c>
      <c r="D23" s="15" t="inlineStr">
        <is>
          <t>2021</t>
        </is>
      </c>
      <c r="E23" s="15" t="inlineStr">
        <is>
          <t>2SC</t>
        </is>
      </c>
      <c r="F23" s="15" t="n">
        <v>0</v>
      </c>
      <c r="G23" s="15" t="n">
        <v>0</v>
      </c>
      <c r="H23" s="15" t="n">
        <v>0</v>
      </c>
      <c r="I23" s="15" t="n">
        <v>0</v>
      </c>
      <c r="J23" s="15" t="n">
        <v>0</v>
      </c>
      <c r="K23" s="15" t="n">
        <v>0</v>
      </c>
      <c r="L23" s="15" t="n">
        <v>0</v>
      </c>
      <c r="M23" s="15" t="n">
        <v>0</v>
      </c>
      <c r="N23" s="15" t="n">
        <v>0</v>
      </c>
      <c r="O23" s="15" t="n">
        <v>0</v>
      </c>
      <c r="P23" s="15" t="n">
        <v>0</v>
      </c>
      <c r="Q23" s="15" t="n">
        <v>0</v>
      </c>
      <c r="R23" s="15" t="n">
        <v>0</v>
      </c>
      <c r="S23" s="15" t="n">
        <v>0</v>
      </c>
      <c r="T23" s="15" t="n">
        <v>0</v>
      </c>
      <c r="U23" s="16" t="n">
        <v>1</v>
      </c>
      <c r="V23" s="15" t="n">
        <v>0</v>
      </c>
      <c r="W23" s="15" t="n">
        <v>0</v>
      </c>
      <c r="X23" s="15" t="n">
        <v>0</v>
      </c>
      <c r="Y23" s="15" t="n">
        <v>0</v>
      </c>
      <c r="Z23" s="15" t="n">
        <v>0</v>
      </c>
      <c r="AA23" s="15" t="n">
        <v>0</v>
      </c>
      <c r="AB23" s="15" t="n">
        <v>0</v>
      </c>
      <c r="AC23" s="17" t="n">
        <v>1</v>
      </c>
    </row>
    <row r="24" ht="15" customHeight="1">
      <c r="A24" s="15" t="n">
        <v>22</v>
      </c>
      <c r="B24" s="15" t="inlineStr">
        <is>
          <t>00848-2011</t>
        </is>
      </c>
      <c r="C24" s="15" t="inlineStr">
        <is>
          <t>Matriz sumarísimos — anteriores a 2019</t>
        </is>
      </c>
      <c r="D24" s="15" t="inlineStr">
        <is>
          <t>2019</t>
        </is>
      </c>
      <c r="E24" s="15" t="inlineStr">
        <is>
          <t>3SC</t>
        </is>
      </c>
      <c r="F24" s="15" t="n">
        <v>0</v>
      </c>
      <c r="G24" s="15" t="n">
        <v>0</v>
      </c>
      <c r="H24" s="15" t="n">
        <v>0</v>
      </c>
      <c r="I24" s="15" t="n">
        <v>0</v>
      </c>
      <c r="J24" s="15" t="n">
        <v>0</v>
      </c>
      <c r="K24" s="15" t="n">
        <v>0</v>
      </c>
      <c r="L24" s="15" t="n">
        <v>0</v>
      </c>
      <c r="M24" s="15" t="n">
        <v>0</v>
      </c>
      <c r="N24" s="15" t="n">
        <v>0</v>
      </c>
      <c r="O24" s="15" t="n">
        <v>0</v>
      </c>
      <c r="P24" s="15" t="n">
        <v>0</v>
      </c>
      <c r="Q24" s="16" t="n">
        <v>1</v>
      </c>
      <c r="R24" s="15" t="n">
        <v>0</v>
      </c>
      <c r="S24" s="15" t="n">
        <v>0</v>
      </c>
      <c r="T24" s="15" t="n">
        <v>0</v>
      </c>
      <c r="U24" s="15" t="n">
        <v>0</v>
      </c>
      <c r="V24" s="15" t="n">
        <v>0</v>
      </c>
      <c r="W24" s="15" t="n">
        <v>0</v>
      </c>
      <c r="X24" s="15" t="n">
        <v>0</v>
      </c>
      <c r="Y24" s="15" t="n">
        <v>0</v>
      </c>
      <c r="Z24" s="15" t="n">
        <v>0</v>
      </c>
      <c r="AA24" s="15" t="n">
        <v>0</v>
      </c>
      <c r="AB24" s="15" t="n">
        <v>0</v>
      </c>
      <c r="AC24" s="17" t="n">
        <v>1</v>
      </c>
    </row>
    <row r="25" ht="15" customHeight="1">
      <c r="A25" s="15" t="n">
        <v>23</v>
      </c>
      <c r="B25" s="15" t="inlineStr">
        <is>
          <t>00856-2017</t>
        </is>
      </c>
      <c r="C25" s="15" t="inlineStr">
        <is>
          <t>Pre-2019</t>
        </is>
      </c>
      <c r="D25" s="15" t="inlineStr">
        <is>
          <t>2019</t>
        </is>
      </c>
      <c r="E25" s="15" t="inlineStr">
        <is>
          <t>1SC</t>
        </is>
      </c>
      <c r="F25" s="15" t="n">
        <v>0</v>
      </c>
      <c r="G25" s="15" t="n">
        <v>0</v>
      </c>
      <c r="H25" s="15" t="n">
        <v>0</v>
      </c>
      <c r="I25" s="15" t="n">
        <v>0</v>
      </c>
      <c r="J25" s="15" t="n">
        <v>0</v>
      </c>
      <c r="K25" s="15" t="n">
        <v>0</v>
      </c>
      <c r="L25" s="15" t="n">
        <v>0</v>
      </c>
      <c r="M25" s="15" t="n">
        <v>0</v>
      </c>
      <c r="N25" s="15" t="n">
        <v>0</v>
      </c>
      <c r="O25" s="15" t="n">
        <v>0</v>
      </c>
      <c r="P25" s="15" t="n">
        <v>0</v>
      </c>
      <c r="Q25" s="15" t="n">
        <v>0</v>
      </c>
      <c r="R25" s="15" t="n">
        <v>0</v>
      </c>
      <c r="S25" s="15" t="n">
        <v>0</v>
      </c>
      <c r="T25" s="15" t="n">
        <v>0</v>
      </c>
      <c r="U25" s="16" t="n">
        <v>1</v>
      </c>
      <c r="V25" s="15" t="n">
        <v>0</v>
      </c>
      <c r="W25" s="15" t="n">
        <v>0</v>
      </c>
      <c r="X25" s="15" t="n">
        <v>0</v>
      </c>
      <c r="Y25" s="15" t="n">
        <v>0</v>
      </c>
      <c r="Z25" s="15" t="n">
        <v>0</v>
      </c>
      <c r="AA25" s="15" t="n">
        <v>0</v>
      </c>
      <c r="AB25" s="15" t="n">
        <v>0</v>
      </c>
      <c r="AC25" s="17" t="n">
        <v>1</v>
      </c>
    </row>
    <row r="26" ht="15" customHeight="1">
      <c r="A26" s="15" t="n">
        <v>24</v>
      </c>
      <c r="B26" s="15" t="inlineStr">
        <is>
          <t>00879-2022</t>
        </is>
      </c>
      <c r="C26" s="15" t="inlineStr">
        <is>
          <t>Llamoja — SV de control (2021-2023)</t>
        </is>
      </c>
      <c r="D26" s="15" t="inlineStr">
        <is>
          <t>2025</t>
        </is>
      </c>
      <c r="E26" s="15" t="inlineStr">
        <is>
          <t>1SC</t>
        </is>
      </c>
      <c r="F26" s="15" t="n">
        <v>0</v>
      </c>
      <c r="G26" s="15" t="n">
        <v>0</v>
      </c>
      <c r="H26" s="15" t="n">
        <v>0</v>
      </c>
      <c r="I26" s="15" t="n">
        <v>0</v>
      </c>
      <c r="J26" s="15" t="n">
        <v>0</v>
      </c>
      <c r="K26" s="15" t="n">
        <v>0</v>
      </c>
      <c r="L26" s="15" t="n">
        <v>0</v>
      </c>
      <c r="M26" s="15" t="n">
        <v>0</v>
      </c>
      <c r="N26" s="15" t="n">
        <v>0</v>
      </c>
      <c r="O26" s="15" t="n">
        <v>0</v>
      </c>
      <c r="P26" s="15" t="n">
        <v>0</v>
      </c>
      <c r="Q26" s="15" t="n">
        <v>0</v>
      </c>
      <c r="R26" s="15" t="n">
        <v>0</v>
      </c>
      <c r="S26" s="15" t="n">
        <v>0</v>
      </c>
      <c r="T26" s="16" t="n">
        <v>1</v>
      </c>
      <c r="U26" s="16" t="n">
        <v>1</v>
      </c>
      <c r="V26" s="15" t="n">
        <v>0</v>
      </c>
      <c r="W26" s="15" t="n">
        <v>0</v>
      </c>
      <c r="X26" s="15" t="n">
        <v>0</v>
      </c>
      <c r="Y26" s="15" t="n">
        <v>0</v>
      </c>
      <c r="Z26" s="15" t="n">
        <v>0</v>
      </c>
      <c r="AA26" s="15" t="n">
        <v>0</v>
      </c>
      <c r="AB26" s="15" t="n">
        <v>0</v>
      </c>
      <c r="AC26" s="17" t="n">
        <v>2</v>
      </c>
    </row>
    <row r="27" ht="15" customHeight="1">
      <c r="A27" s="15" t="n">
        <v>25</v>
      </c>
      <c r="B27" s="15" t="inlineStr">
        <is>
          <t>00898-2013</t>
        </is>
      </c>
      <c r="C27" s="15" t="inlineStr">
        <is>
          <t>Pre-2019</t>
        </is>
      </c>
      <c r="D27" s="15" t="inlineStr">
        <is>
          <t>2018</t>
        </is>
      </c>
      <c r="E27" s="15" t="inlineStr">
        <is>
          <t>3SC</t>
        </is>
      </c>
      <c r="F27" s="15" t="n">
        <v>0</v>
      </c>
      <c r="G27" s="15" t="n">
        <v>0</v>
      </c>
      <c r="H27" s="15" t="n">
        <v>0</v>
      </c>
      <c r="I27" s="15" t="n">
        <v>0</v>
      </c>
      <c r="J27" s="15" t="n">
        <v>0</v>
      </c>
      <c r="K27" s="15" t="n">
        <v>0</v>
      </c>
      <c r="L27" s="15" t="n">
        <v>0</v>
      </c>
      <c r="M27" s="15" t="n">
        <v>0</v>
      </c>
      <c r="N27" s="15" t="n">
        <v>0</v>
      </c>
      <c r="O27" s="15" t="n">
        <v>0</v>
      </c>
      <c r="P27" s="15" t="n">
        <v>0</v>
      </c>
      <c r="Q27" s="15" t="n">
        <v>0</v>
      </c>
      <c r="R27" s="15" t="n">
        <v>0</v>
      </c>
      <c r="S27" s="15" t="n">
        <v>0</v>
      </c>
      <c r="T27" s="15" t="n">
        <v>0</v>
      </c>
      <c r="U27" s="16" t="n">
        <v>1</v>
      </c>
      <c r="V27" s="15" t="n">
        <v>0</v>
      </c>
      <c r="W27" s="15" t="n">
        <v>0</v>
      </c>
      <c r="X27" s="15" t="n">
        <v>0</v>
      </c>
      <c r="Y27" s="15" t="n">
        <v>0</v>
      </c>
      <c r="Z27" s="15" t="n">
        <v>0</v>
      </c>
      <c r="AA27" s="15" t="n">
        <v>0</v>
      </c>
      <c r="AB27" s="15" t="n">
        <v>0</v>
      </c>
      <c r="AC27" s="17" t="n">
        <v>1</v>
      </c>
    </row>
    <row r="28" ht="15" customHeight="1">
      <c r="A28" s="15" t="n">
        <v>26</v>
      </c>
      <c r="B28" s="15" t="inlineStr">
        <is>
          <t>00933-2022</t>
        </is>
      </c>
      <c r="C28" s="15" t="inlineStr">
        <is>
          <t>Llamoja — SV de control (2021-2023)</t>
        </is>
      </c>
      <c r="D28" s="15" t="inlineStr">
        <is>
          <t>2024</t>
        </is>
      </c>
      <c r="E28" s="15" t="inlineStr">
        <is>
          <t>3SC</t>
        </is>
      </c>
      <c r="F28" s="15" t="n">
        <v>0</v>
      </c>
      <c r="G28" s="15" t="n">
        <v>0</v>
      </c>
      <c r="H28" s="15" t="n">
        <v>0</v>
      </c>
      <c r="I28" s="15" t="n">
        <v>0</v>
      </c>
      <c r="J28" s="15" t="n">
        <v>0</v>
      </c>
      <c r="K28" s="15" t="n">
        <v>0</v>
      </c>
      <c r="L28" s="15" t="n">
        <v>0</v>
      </c>
      <c r="M28" s="15" t="n">
        <v>0</v>
      </c>
      <c r="N28" s="15" t="n">
        <v>0</v>
      </c>
      <c r="O28" s="15" t="n">
        <v>0</v>
      </c>
      <c r="P28" s="15" t="n">
        <v>0</v>
      </c>
      <c r="Q28" s="15" t="n">
        <v>0</v>
      </c>
      <c r="R28" s="15" t="n">
        <v>0</v>
      </c>
      <c r="S28" s="16" t="n">
        <v>1</v>
      </c>
      <c r="T28" s="15" t="n">
        <v>0</v>
      </c>
      <c r="U28" s="16" t="n">
        <v>1</v>
      </c>
      <c r="V28" s="15" t="n">
        <v>0</v>
      </c>
      <c r="W28" s="15" t="n">
        <v>0</v>
      </c>
      <c r="X28" s="15" t="n">
        <v>0</v>
      </c>
      <c r="Y28" s="15" t="n">
        <v>0</v>
      </c>
      <c r="Z28" s="15" t="n">
        <v>0</v>
      </c>
      <c r="AA28" s="15" t="n">
        <v>0</v>
      </c>
      <c r="AB28" s="15" t="n">
        <v>0</v>
      </c>
      <c r="AC28" s="17" t="n">
        <v>2</v>
      </c>
    </row>
    <row r="29" ht="15" customHeight="1">
      <c r="A29" s="15" t="n">
        <v>27</v>
      </c>
      <c r="B29" s="15" t="inlineStr">
        <is>
          <t>00965-2015</t>
        </is>
      </c>
      <c r="C29" s="15" t="inlineStr">
        <is>
          <t>Pre-2019</t>
        </is>
      </c>
      <c r="D29" s="15" t="inlineStr">
        <is>
          <t>2019</t>
        </is>
      </c>
      <c r="E29" s="15" t="inlineStr">
        <is>
          <t>3SC</t>
        </is>
      </c>
      <c r="F29" s="15" t="n">
        <v>0</v>
      </c>
      <c r="G29" s="15" t="n">
        <v>0</v>
      </c>
      <c r="H29" s="15" t="n">
        <v>0</v>
      </c>
      <c r="I29" s="15" t="n">
        <v>0</v>
      </c>
      <c r="J29" s="15" t="n">
        <v>0</v>
      </c>
      <c r="K29" s="16" t="n">
        <v>1</v>
      </c>
      <c r="L29" s="15" t="n">
        <v>0</v>
      </c>
      <c r="M29" s="15" t="n">
        <v>0</v>
      </c>
      <c r="N29" s="15" t="n">
        <v>0</v>
      </c>
      <c r="O29" s="15" t="n">
        <v>0</v>
      </c>
      <c r="P29" s="15" t="n">
        <v>0</v>
      </c>
      <c r="Q29" s="15" t="n">
        <v>0</v>
      </c>
      <c r="R29" s="15" t="n">
        <v>0</v>
      </c>
      <c r="S29" s="15" t="n">
        <v>0</v>
      </c>
      <c r="T29" s="15" t="n">
        <v>0</v>
      </c>
      <c r="U29" s="15" t="n">
        <v>0</v>
      </c>
      <c r="V29" s="15" t="n">
        <v>0</v>
      </c>
      <c r="W29" s="15" t="n">
        <v>0</v>
      </c>
      <c r="X29" s="15" t="n">
        <v>0</v>
      </c>
      <c r="Y29" s="15" t="n">
        <v>0</v>
      </c>
      <c r="Z29" s="15" t="n">
        <v>0</v>
      </c>
      <c r="AA29" s="15" t="n">
        <v>0</v>
      </c>
      <c r="AB29" s="16" t="n">
        <v>1</v>
      </c>
      <c r="AC29" s="17" t="n">
        <v>2</v>
      </c>
    </row>
    <row r="30" ht="15" customHeight="1">
      <c r="A30" s="15" t="n">
        <v>28</v>
      </c>
      <c r="B30" s="15" t="inlineStr">
        <is>
          <t>00979-2024</t>
        </is>
      </c>
      <c r="C30" s="15" t="inlineStr">
        <is>
          <t>Matriz sumarísimos — grupo 2024</t>
        </is>
      </c>
      <c r="D30" s="15" t="inlineStr">
        <is>
          <t>2025</t>
        </is>
      </c>
      <c r="E30" s="15" t="inlineStr">
        <is>
          <t>1SC</t>
        </is>
      </c>
      <c r="F30" s="15" t="n">
        <v>0</v>
      </c>
      <c r="G30" s="15" t="n">
        <v>0</v>
      </c>
      <c r="H30" s="15" t="n">
        <v>0</v>
      </c>
      <c r="I30" s="15" t="n">
        <v>0</v>
      </c>
      <c r="J30" s="15" t="n">
        <v>0</v>
      </c>
      <c r="K30" s="15" t="n">
        <v>0</v>
      </c>
      <c r="L30" s="15" t="n">
        <v>0</v>
      </c>
      <c r="M30" s="15" t="n">
        <v>0</v>
      </c>
      <c r="N30" s="15" t="n">
        <v>0</v>
      </c>
      <c r="O30" s="15" t="n">
        <v>0</v>
      </c>
      <c r="P30" s="15" t="n">
        <v>0</v>
      </c>
      <c r="Q30" s="15" t="n">
        <v>0</v>
      </c>
      <c r="R30" s="15" t="n">
        <v>0</v>
      </c>
      <c r="S30" s="15" t="n">
        <v>0</v>
      </c>
      <c r="T30" s="15" t="n">
        <v>0</v>
      </c>
      <c r="U30" s="15" t="n">
        <v>0</v>
      </c>
      <c r="V30" s="15" t="n">
        <v>0</v>
      </c>
      <c r="W30" s="15" t="n">
        <v>0</v>
      </c>
      <c r="X30" s="15" t="n">
        <v>0</v>
      </c>
      <c r="Y30" s="15" t="n">
        <v>0</v>
      </c>
      <c r="Z30" s="15" t="n">
        <v>0</v>
      </c>
      <c r="AA30" s="15" t="n">
        <v>0</v>
      </c>
      <c r="AB30" s="15" t="n">
        <v>0</v>
      </c>
      <c r="AC30" s="15" t="n">
        <v>0</v>
      </c>
    </row>
    <row r="31" ht="15" customHeight="1">
      <c r="A31" s="15" t="n">
        <v>29</v>
      </c>
      <c r="B31" s="15" t="inlineStr">
        <is>
          <t>00992-2016</t>
        </is>
      </c>
      <c r="C31" s="15" t="inlineStr">
        <is>
          <t>Pre-2019</t>
        </is>
      </c>
      <c r="D31" s="15" t="inlineStr">
        <is>
          <t>2019</t>
        </is>
      </c>
      <c r="E31" s="15" t="inlineStr">
        <is>
          <t>3SC</t>
        </is>
      </c>
      <c r="F31" s="15" t="n">
        <v>0</v>
      </c>
      <c r="G31" s="15" t="n">
        <v>0</v>
      </c>
      <c r="H31" s="15" t="n">
        <v>0</v>
      </c>
      <c r="I31" s="15" t="n">
        <v>0</v>
      </c>
      <c r="J31" s="15" t="n">
        <v>0</v>
      </c>
      <c r="K31" s="15" t="n">
        <v>0</v>
      </c>
      <c r="L31" s="15" t="n">
        <v>0</v>
      </c>
      <c r="M31" s="15" t="n">
        <v>0</v>
      </c>
      <c r="N31" s="15" t="n">
        <v>0</v>
      </c>
      <c r="O31" s="15" t="n">
        <v>0</v>
      </c>
      <c r="P31" s="15" t="n">
        <v>0</v>
      </c>
      <c r="Q31" s="15" t="n">
        <v>0</v>
      </c>
      <c r="R31" s="15" t="n">
        <v>0</v>
      </c>
      <c r="S31" s="15" t="n">
        <v>0</v>
      </c>
      <c r="T31" s="15" t="n">
        <v>0</v>
      </c>
      <c r="U31" s="16" t="n">
        <v>1</v>
      </c>
      <c r="V31" s="15" t="n">
        <v>0</v>
      </c>
      <c r="W31" s="15" t="n">
        <v>0</v>
      </c>
      <c r="X31" s="15" t="n">
        <v>0</v>
      </c>
      <c r="Y31" s="15" t="n">
        <v>0</v>
      </c>
      <c r="Z31" s="15" t="n">
        <v>0</v>
      </c>
      <c r="AA31" s="15" t="n">
        <v>0</v>
      </c>
      <c r="AB31" s="16" t="n">
        <v>1</v>
      </c>
      <c r="AC31" s="17" t="n">
        <v>2</v>
      </c>
    </row>
    <row r="32" ht="15" customHeight="1">
      <c r="A32" s="15" t="n">
        <v>30</v>
      </c>
      <c r="B32" s="15" t="inlineStr">
        <is>
          <t>01033-2023</t>
        </is>
      </c>
      <c r="C32" s="15" t="inlineStr">
        <is>
          <t>Llamoja — SV de control (2021-2023)</t>
        </is>
      </c>
      <c r="D32" s="15" t="inlineStr">
        <is>
          <t>2025</t>
        </is>
      </c>
      <c r="E32" s="15" t="inlineStr">
        <is>
          <t>2SC</t>
        </is>
      </c>
      <c r="F32" s="15" t="n">
        <v>0</v>
      </c>
      <c r="G32" s="15" t="n">
        <v>0</v>
      </c>
      <c r="H32" s="15" t="n">
        <v>0</v>
      </c>
      <c r="I32" s="15" t="n">
        <v>0</v>
      </c>
      <c r="J32" s="15" t="n">
        <v>0</v>
      </c>
      <c r="K32" s="15" t="n">
        <v>0</v>
      </c>
      <c r="L32" s="15" t="n">
        <v>0</v>
      </c>
      <c r="M32" s="15" t="n">
        <v>0</v>
      </c>
      <c r="N32" s="15" t="n">
        <v>0</v>
      </c>
      <c r="O32" s="15" t="n">
        <v>0</v>
      </c>
      <c r="P32" s="15" t="n">
        <v>0</v>
      </c>
      <c r="Q32" s="15" t="n">
        <v>0</v>
      </c>
      <c r="R32" s="15" t="n">
        <v>0</v>
      </c>
      <c r="S32" s="15" t="n">
        <v>0</v>
      </c>
      <c r="T32" s="15" t="n">
        <v>0</v>
      </c>
      <c r="U32" s="16" t="n">
        <v>1</v>
      </c>
      <c r="V32" s="15" t="n">
        <v>0</v>
      </c>
      <c r="W32" s="15" t="n">
        <v>0</v>
      </c>
      <c r="X32" s="15" t="n">
        <v>0</v>
      </c>
      <c r="Y32" s="15" t="n">
        <v>0</v>
      </c>
      <c r="Z32" s="15" t="n">
        <v>0</v>
      </c>
      <c r="AA32" s="15" t="n">
        <v>0</v>
      </c>
      <c r="AB32" s="15" t="n">
        <v>0</v>
      </c>
      <c r="AC32" s="17" t="n">
        <v>1</v>
      </c>
    </row>
    <row r="33" ht="15" customHeight="1">
      <c r="A33" s="15" t="n">
        <v>31</v>
      </c>
      <c r="B33" s="15" t="inlineStr">
        <is>
          <t>01101-2022</t>
        </is>
      </c>
      <c r="C33" s="15" t="inlineStr">
        <is>
          <t>2024</t>
        </is>
      </c>
      <c r="D33" s="15" t="inlineStr">
        <is>
          <t>2025</t>
        </is>
      </c>
      <c r="E33" s="15" t="inlineStr">
        <is>
          <t>2SC</t>
        </is>
      </c>
      <c r="F33" s="15" t="n">
        <v>0</v>
      </c>
      <c r="G33" s="15" t="n">
        <v>0</v>
      </c>
      <c r="H33" s="15" t="n">
        <v>0</v>
      </c>
      <c r="I33" s="15" t="n">
        <v>0</v>
      </c>
      <c r="J33" s="15" t="n">
        <v>0</v>
      </c>
      <c r="K33" s="15" t="n">
        <v>0</v>
      </c>
      <c r="L33" s="15" t="n">
        <v>0</v>
      </c>
      <c r="M33" s="15" t="n">
        <v>0</v>
      </c>
      <c r="N33" s="15" t="n">
        <v>0</v>
      </c>
      <c r="O33" s="15" t="n">
        <v>0</v>
      </c>
      <c r="P33" s="15" t="n">
        <v>0</v>
      </c>
      <c r="Q33" s="15" t="n">
        <v>0</v>
      </c>
      <c r="R33" s="15" t="n">
        <v>0</v>
      </c>
      <c r="S33" s="15" t="n">
        <v>0</v>
      </c>
      <c r="T33" s="15" t="n">
        <v>0</v>
      </c>
      <c r="U33" s="15" t="n">
        <v>0</v>
      </c>
      <c r="V33" s="15" t="n">
        <v>0</v>
      </c>
      <c r="W33" s="15" t="n">
        <v>0</v>
      </c>
      <c r="X33" s="15" t="n">
        <v>0</v>
      </c>
      <c r="Y33" s="15" t="n">
        <v>0</v>
      </c>
      <c r="Z33" s="15" t="n">
        <v>0</v>
      </c>
      <c r="AA33" s="15" t="n">
        <v>0</v>
      </c>
      <c r="AB33" s="16" t="n">
        <v>1</v>
      </c>
      <c r="AC33" s="17" t="n">
        <v>1</v>
      </c>
    </row>
    <row r="34" ht="15" customHeight="1">
      <c r="A34" s="15" t="n">
        <v>32</v>
      </c>
      <c r="B34" s="15" t="inlineStr">
        <is>
          <t>01286-2022</t>
        </is>
      </c>
      <c r="C34" s="15" t="inlineStr">
        <is>
          <t>2024</t>
        </is>
      </c>
      <c r="D34" s="15" t="inlineStr">
        <is>
          <t>2025</t>
        </is>
      </c>
      <c r="E34" s="15" t="inlineStr">
        <is>
          <t>2SC</t>
        </is>
      </c>
      <c r="F34" s="16" t="n">
        <v>1</v>
      </c>
      <c r="G34" s="16" t="n">
        <v>1</v>
      </c>
      <c r="H34" s="15" t="n">
        <v>0</v>
      </c>
      <c r="I34" s="16" t="n">
        <v>1</v>
      </c>
      <c r="J34" s="15" t="n">
        <v>0</v>
      </c>
      <c r="K34" s="15" t="n">
        <v>0</v>
      </c>
      <c r="L34" s="15" t="n">
        <v>0</v>
      </c>
      <c r="M34" s="15" t="n">
        <v>0</v>
      </c>
      <c r="N34" s="15" t="n">
        <v>0</v>
      </c>
      <c r="O34" s="15" t="n">
        <v>0</v>
      </c>
      <c r="P34" s="15" t="n">
        <v>0</v>
      </c>
      <c r="Q34" s="15" t="n">
        <v>0</v>
      </c>
      <c r="R34" s="15" t="n">
        <v>0</v>
      </c>
      <c r="S34" s="15" t="n">
        <v>0</v>
      </c>
      <c r="T34" s="15" t="n">
        <v>0</v>
      </c>
      <c r="U34" s="15" t="n">
        <v>0</v>
      </c>
      <c r="V34" s="15" t="n">
        <v>0</v>
      </c>
      <c r="W34" s="15" t="n">
        <v>0</v>
      </c>
      <c r="X34" s="15" t="n">
        <v>0</v>
      </c>
      <c r="Y34" s="15" t="n">
        <v>0</v>
      </c>
      <c r="Z34" s="15" t="n">
        <v>0</v>
      </c>
      <c r="AA34" s="15" t="n">
        <v>0</v>
      </c>
      <c r="AB34" s="15" t="n">
        <v>0</v>
      </c>
      <c r="AC34" s="17" t="n">
        <v>3</v>
      </c>
    </row>
    <row r="35" ht="15" customHeight="1">
      <c r="A35" s="15" t="n">
        <v>33</v>
      </c>
      <c r="B35" s="15" t="inlineStr">
        <is>
          <t>01328-2023</t>
        </is>
      </c>
      <c r="C35" s="15" t="inlineStr">
        <is>
          <t>2024</t>
        </is>
      </c>
      <c r="D35" s="15" t="inlineStr">
        <is>
          <t>2025</t>
        </is>
      </c>
      <c r="E35" s="15" t="inlineStr">
        <is>
          <t>2SC</t>
        </is>
      </c>
      <c r="F35" s="15" t="n">
        <v>0</v>
      </c>
      <c r="G35" s="15" t="n">
        <v>0</v>
      </c>
      <c r="H35" s="15" t="n">
        <v>0</v>
      </c>
      <c r="I35" s="15" t="n">
        <v>0</v>
      </c>
      <c r="J35" s="15" t="n">
        <v>0</v>
      </c>
      <c r="K35" s="15" t="n">
        <v>0</v>
      </c>
      <c r="L35" s="15" t="n">
        <v>0</v>
      </c>
      <c r="M35" s="15" t="n">
        <v>0</v>
      </c>
      <c r="N35" s="15" t="n">
        <v>0</v>
      </c>
      <c r="O35" s="15" t="n">
        <v>0</v>
      </c>
      <c r="P35" s="15" t="n">
        <v>0</v>
      </c>
      <c r="Q35" s="15" t="n">
        <v>0</v>
      </c>
      <c r="R35" s="15" t="n">
        <v>0</v>
      </c>
      <c r="S35" s="15" t="n">
        <v>0</v>
      </c>
      <c r="T35" s="15" t="n">
        <v>0</v>
      </c>
      <c r="U35" s="15" t="n">
        <v>0</v>
      </c>
      <c r="V35" s="15" t="n">
        <v>0</v>
      </c>
      <c r="W35" s="15" t="n">
        <v>0</v>
      </c>
      <c r="X35" s="15" t="n">
        <v>0</v>
      </c>
      <c r="Y35" s="15" t="n">
        <v>0</v>
      </c>
      <c r="Z35" s="15" t="n">
        <v>0</v>
      </c>
      <c r="AA35" s="15" t="n">
        <v>0</v>
      </c>
      <c r="AB35" s="15" t="n">
        <v>0</v>
      </c>
      <c r="AC35" s="15" t="n">
        <v>0</v>
      </c>
    </row>
    <row r="36" ht="15" customHeight="1">
      <c r="A36" s="15" t="n">
        <v>34</v>
      </c>
      <c r="B36" s="15" t="inlineStr">
        <is>
          <t>01376-2023</t>
        </is>
      </c>
      <c r="C36" s="15" t="inlineStr">
        <is>
          <t>2024</t>
        </is>
      </c>
      <c r="D36" s="15" t="inlineStr">
        <is>
          <t>2026</t>
        </is>
      </c>
      <c r="E36" s="15" t="inlineStr">
        <is>
          <t>2SC</t>
        </is>
      </c>
      <c r="F36" s="15" t="n">
        <v>0</v>
      </c>
      <c r="G36" s="15" t="n">
        <v>0</v>
      </c>
      <c r="H36" s="15" t="n">
        <v>0</v>
      </c>
      <c r="I36" s="15" t="n">
        <v>0</v>
      </c>
      <c r="J36" s="15" t="n">
        <v>0</v>
      </c>
      <c r="K36" s="15" t="n">
        <v>0</v>
      </c>
      <c r="L36" s="15" t="n">
        <v>0</v>
      </c>
      <c r="M36" s="15" t="n">
        <v>0</v>
      </c>
      <c r="N36" s="15" t="n">
        <v>0</v>
      </c>
      <c r="O36" s="15" t="n">
        <v>0</v>
      </c>
      <c r="P36" s="15" t="n">
        <v>0</v>
      </c>
      <c r="Q36" s="16" t="n">
        <v>1</v>
      </c>
      <c r="R36" s="15" t="n">
        <v>0</v>
      </c>
      <c r="S36" s="15" t="n">
        <v>0</v>
      </c>
      <c r="T36" s="15" t="n">
        <v>0</v>
      </c>
      <c r="U36" s="15" t="n">
        <v>0</v>
      </c>
      <c r="V36" s="15" t="n">
        <v>0</v>
      </c>
      <c r="W36" s="15" t="n">
        <v>0</v>
      </c>
      <c r="X36" s="16" t="n">
        <v>1</v>
      </c>
      <c r="Y36" s="15" t="n">
        <v>0</v>
      </c>
      <c r="Z36" s="15" t="n">
        <v>0</v>
      </c>
      <c r="AA36" s="15" t="n">
        <v>0</v>
      </c>
      <c r="AB36" s="15" t="n">
        <v>0</v>
      </c>
      <c r="AC36" s="17" t="n">
        <v>2</v>
      </c>
    </row>
    <row r="37" ht="15" customHeight="1">
      <c r="A37" s="15" t="n">
        <v>35</v>
      </c>
      <c r="B37" s="15" t="inlineStr">
        <is>
          <t>01417-2017</t>
        </is>
      </c>
      <c r="C37" s="15" t="inlineStr">
        <is>
          <t>Pre-2019</t>
        </is>
      </c>
      <c r="D37" s="15" t="inlineStr">
        <is>
          <t>2020</t>
        </is>
      </c>
      <c r="E37" s="15" t="inlineStr">
        <is>
          <t>2SC</t>
        </is>
      </c>
      <c r="F37" s="15" t="n">
        <v>0</v>
      </c>
      <c r="G37" s="15" t="n">
        <v>0</v>
      </c>
      <c r="H37" s="15" t="n">
        <v>0</v>
      </c>
      <c r="I37" s="15" t="n">
        <v>0</v>
      </c>
      <c r="J37" s="15" t="n">
        <v>0</v>
      </c>
      <c r="K37" s="15" t="n">
        <v>0</v>
      </c>
      <c r="L37" s="15" t="n">
        <v>0</v>
      </c>
      <c r="M37" s="15" t="n">
        <v>0</v>
      </c>
      <c r="N37" s="15" t="n">
        <v>0</v>
      </c>
      <c r="O37" s="15" t="n">
        <v>0</v>
      </c>
      <c r="P37" s="15" t="n">
        <v>0</v>
      </c>
      <c r="Q37" s="15" t="n">
        <v>0</v>
      </c>
      <c r="R37" s="15" t="n">
        <v>0</v>
      </c>
      <c r="S37" s="15" t="n">
        <v>0</v>
      </c>
      <c r="T37" s="15" t="n">
        <v>0</v>
      </c>
      <c r="U37" s="15" t="n">
        <v>0</v>
      </c>
      <c r="V37" s="15" t="n">
        <v>0</v>
      </c>
      <c r="W37" s="15" t="n">
        <v>0</v>
      </c>
      <c r="X37" s="15" t="n">
        <v>0</v>
      </c>
      <c r="Y37" s="15" t="n">
        <v>0</v>
      </c>
      <c r="Z37" s="15" t="n">
        <v>0</v>
      </c>
      <c r="AA37" s="15" t="n">
        <v>0</v>
      </c>
      <c r="AB37" s="16" t="n">
        <v>1</v>
      </c>
      <c r="AC37" s="17" t="n">
        <v>1</v>
      </c>
    </row>
    <row r="38" ht="15" customHeight="1">
      <c r="A38" s="15" t="n">
        <v>36</v>
      </c>
      <c r="B38" s="15" t="inlineStr">
        <is>
          <t>01535-2022</t>
        </is>
      </c>
      <c r="C38" s="15" t="inlineStr">
        <is>
          <t>2024</t>
        </is>
      </c>
      <c r="D38" s="15" t="inlineStr">
        <is>
          <t>2024</t>
        </is>
      </c>
      <c r="E38" s="15" t="inlineStr">
        <is>
          <t>2SC</t>
        </is>
      </c>
      <c r="F38" s="15" t="n">
        <v>0</v>
      </c>
      <c r="G38" s="15" t="n">
        <v>0</v>
      </c>
      <c r="H38" s="15" t="n">
        <v>0</v>
      </c>
      <c r="I38" s="15" t="n">
        <v>0</v>
      </c>
      <c r="J38" s="15" t="n">
        <v>0</v>
      </c>
      <c r="K38" s="15" t="n">
        <v>0</v>
      </c>
      <c r="L38" s="15" t="n">
        <v>0</v>
      </c>
      <c r="M38" s="15" t="n">
        <v>0</v>
      </c>
      <c r="N38" s="15" t="n">
        <v>0</v>
      </c>
      <c r="O38" s="15" t="n">
        <v>0</v>
      </c>
      <c r="P38" s="16" t="n">
        <v>1</v>
      </c>
      <c r="Q38" s="15" t="n">
        <v>0</v>
      </c>
      <c r="R38" s="15" t="n">
        <v>0</v>
      </c>
      <c r="S38" s="16" t="n">
        <v>1</v>
      </c>
      <c r="T38" s="15" t="n">
        <v>0</v>
      </c>
      <c r="U38" s="15" t="n">
        <v>0</v>
      </c>
      <c r="V38" s="15" t="n">
        <v>0</v>
      </c>
      <c r="W38" s="15" t="n">
        <v>0</v>
      </c>
      <c r="X38" s="15" t="n">
        <v>0</v>
      </c>
      <c r="Y38" s="15" t="n">
        <v>0</v>
      </c>
      <c r="Z38" s="15" t="n">
        <v>0</v>
      </c>
      <c r="AA38" s="15" t="n">
        <v>0</v>
      </c>
      <c r="AB38" s="15" t="n">
        <v>0</v>
      </c>
      <c r="AC38" s="17" t="n">
        <v>2</v>
      </c>
    </row>
    <row r="39" ht="15" customHeight="1">
      <c r="A39" s="15" t="n">
        <v>37</v>
      </c>
      <c r="B39" s="15" t="inlineStr">
        <is>
          <t>01549-2017</t>
        </is>
      </c>
      <c r="C39" s="15" t="inlineStr">
        <is>
          <t>Matriz sumarísimos — anteriores a 2019</t>
        </is>
      </c>
      <c r="D39" s="15" t="inlineStr">
        <is>
          <t>2019</t>
        </is>
      </c>
      <c r="E39" s="15" t="inlineStr">
        <is>
          <t>2SC</t>
        </is>
      </c>
      <c r="F39" s="15" t="n">
        <v>0</v>
      </c>
      <c r="G39" s="15" t="n">
        <v>0</v>
      </c>
      <c r="H39" s="15" t="n">
        <v>0</v>
      </c>
      <c r="I39" s="15" t="n">
        <v>0</v>
      </c>
      <c r="J39" s="15" t="n">
        <v>0</v>
      </c>
      <c r="K39" s="15" t="n">
        <v>0</v>
      </c>
      <c r="L39" s="15" t="n">
        <v>0</v>
      </c>
      <c r="M39" s="15" t="n">
        <v>0</v>
      </c>
      <c r="N39" s="15" t="n">
        <v>0</v>
      </c>
      <c r="O39" s="15" t="n">
        <v>0</v>
      </c>
      <c r="P39" s="15" t="n">
        <v>0</v>
      </c>
      <c r="Q39" s="15" t="n">
        <v>0</v>
      </c>
      <c r="R39" s="15" t="n">
        <v>0</v>
      </c>
      <c r="S39" s="15" t="n">
        <v>0</v>
      </c>
      <c r="T39" s="15" t="n">
        <v>0</v>
      </c>
      <c r="U39" s="15" t="n">
        <v>0</v>
      </c>
      <c r="V39" s="15" t="n">
        <v>0</v>
      </c>
      <c r="W39" s="15" t="n">
        <v>0</v>
      </c>
      <c r="X39" s="15" t="n">
        <v>0</v>
      </c>
      <c r="Y39" s="15" t="n">
        <v>0</v>
      </c>
      <c r="Z39" s="15" t="n">
        <v>0</v>
      </c>
      <c r="AA39" s="15" t="n">
        <v>0</v>
      </c>
      <c r="AB39" s="15" t="n">
        <v>0</v>
      </c>
      <c r="AC39" s="15" t="n">
        <v>0</v>
      </c>
    </row>
    <row r="40" ht="15" customHeight="1">
      <c r="A40" s="15" t="n">
        <v>38</v>
      </c>
      <c r="B40" s="15" t="inlineStr">
        <is>
          <t>01647-2019</t>
        </is>
      </c>
      <c r="C40" s="15" t="inlineStr">
        <is>
          <t>2024</t>
        </is>
      </c>
      <c r="D40" s="15" t="inlineStr">
        <is>
          <t>2026</t>
        </is>
      </c>
      <c r="E40" s="15" t="inlineStr">
        <is>
          <t>2SC</t>
        </is>
      </c>
      <c r="F40" s="15" t="n">
        <v>0</v>
      </c>
      <c r="G40" s="15" t="n">
        <v>0</v>
      </c>
      <c r="H40" s="15" t="n">
        <v>0</v>
      </c>
      <c r="I40" s="15" t="n">
        <v>0</v>
      </c>
      <c r="J40" s="15" t="n">
        <v>0</v>
      </c>
      <c r="K40" s="15" t="n">
        <v>0</v>
      </c>
      <c r="L40" s="15" t="n">
        <v>0</v>
      </c>
      <c r="M40" s="15" t="n">
        <v>0</v>
      </c>
      <c r="N40" s="15" t="n">
        <v>0</v>
      </c>
      <c r="O40" s="15" t="n">
        <v>0</v>
      </c>
      <c r="P40" s="15" t="n">
        <v>0</v>
      </c>
      <c r="Q40" s="16" t="n">
        <v>1</v>
      </c>
      <c r="R40" s="15" t="n">
        <v>0</v>
      </c>
      <c r="S40" s="16" t="n">
        <v>1</v>
      </c>
      <c r="T40" s="15" t="n">
        <v>0</v>
      </c>
      <c r="U40" s="15" t="n">
        <v>0</v>
      </c>
      <c r="V40" s="15" t="n">
        <v>0</v>
      </c>
      <c r="W40" s="15" t="n">
        <v>0</v>
      </c>
      <c r="X40" s="15" t="n">
        <v>0</v>
      </c>
      <c r="Y40" s="15" t="n">
        <v>0</v>
      </c>
      <c r="Z40" s="15" t="n">
        <v>0</v>
      </c>
      <c r="AA40" s="15" t="n">
        <v>0</v>
      </c>
      <c r="AB40" s="15" t="n">
        <v>0</v>
      </c>
      <c r="AC40" s="17" t="n">
        <v>2</v>
      </c>
    </row>
    <row r="41" ht="15" customHeight="1">
      <c r="A41" s="15" t="n">
        <v>39</v>
      </c>
      <c r="B41" s="15" t="inlineStr">
        <is>
          <t>01650-2023</t>
        </is>
      </c>
      <c r="C41" s="15" t="inlineStr">
        <is>
          <t>2024</t>
        </is>
      </c>
      <c r="D41" s="15" t="inlineStr">
        <is>
          <t>2025</t>
        </is>
      </c>
      <c r="E41" s="15" t="n"/>
      <c r="F41" s="15" t="n">
        <v>0</v>
      </c>
      <c r="G41" s="15" t="n">
        <v>0</v>
      </c>
      <c r="H41" s="15" t="n">
        <v>0</v>
      </c>
      <c r="I41" s="15" t="n">
        <v>0</v>
      </c>
      <c r="J41" s="15" t="n">
        <v>0</v>
      </c>
      <c r="K41" s="15" t="n">
        <v>0</v>
      </c>
      <c r="L41" s="15" t="n">
        <v>0</v>
      </c>
      <c r="M41" s="15" t="n">
        <v>0</v>
      </c>
      <c r="N41" s="15" t="n">
        <v>0</v>
      </c>
      <c r="O41" s="15" t="n">
        <v>0</v>
      </c>
      <c r="P41" s="15" t="n">
        <v>0</v>
      </c>
      <c r="Q41" s="15" t="n">
        <v>0</v>
      </c>
      <c r="R41" s="15" t="n">
        <v>0</v>
      </c>
      <c r="S41" s="15" t="n">
        <v>0</v>
      </c>
      <c r="T41" s="15" t="n">
        <v>0</v>
      </c>
      <c r="U41" s="15" t="n">
        <v>0</v>
      </c>
      <c r="V41" s="15" t="n">
        <v>0</v>
      </c>
      <c r="W41" s="15" t="n">
        <v>0</v>
      </c>
      <c r="X41" s="15" t="n">
        <v>0</v>
      </c>
      <c r="Y41" s="15" t="n">
        <v>0</v>
      </c>
      <c r="Z41" s="15" t="n">
        <v>0</v>
      </c>
      <c r="AA41" s="15" t="n">
        <v>0</v>
      </c>
      <c r="AB41" s="15" t="n">
        <v>0</v>
      </c>
      <c r="AC41" s="15" t="n">
        <v>0</v>
      </c>
    </row>
    <row r="42" ht="15" customHeight="1">
      <c r="A42" s="15" t="n">
        <v>40</v>
      </c>
      <c r="B42" s="15" t="inlineStr">
        <is>
          <t>01681-2023</t>
        </is>
      </c>
      <c r="C42" s="15" t="inlineStr">
        <is>
          <t>Llamoja — SV de control (2021-2023)</t>
        </is>
      </c>
      <c r="D42" s="15" t="inlineStr">
        <is>
          <t>2025</t>
        </is>
      </c>
      <c r="E42" s="15" t="inlineStr">
        <is>
          <t>3SC</t>
        </is>
      </c>
      <c r="F42" s="15" t="n">
        <v>0</v>
      </c>
      <c r="G42" s="15" t="n">
        <v>0</v>
      </c>
      <c r="H42" s="15" t="n">
        <v>0</v>
      </c>
      <c r="I42" s="15" t="n">
        <v>0</v>
      </c>
      <c r="J42" s="15" t="n">
        <v>0</v>
      </c>
      <c r="K42" s="16" t="n">
        <v>1</v>
      </c>
      <c r="L42" s="15" t="n">
        <v>0</v>
      </c>
      <c r="M42" s="15" t="n">
        <v>0</v>
      </c>
      <c r="N42" s="15" t="n">
        <v>0</v>
      </c>
      <c r="O42" s="15" t="n">
        <v>0</v>
      </c>
      <c r="P42" s="15" t="n">
        <v>0</v>
      </c>
      <c r="Q42" s="15" t="n">
        <v>0</v>
      </c>
      <c r="R42" s="15" t="n">
        <v>0</v>
      </c>
      <c r="S42" s="15" t="n">
        <v>0</v>
      </c>
      <c r="T42" s="16" t="n">
        <v>1</v>
      </c>
      <c r="U42" s="15" t="n">
        <v>0</v>
      </c>
      <c r="V42" s="15" t="n">
        <v>0</v>
      </c>
      <c r="W42" s="15" t="n">
        <v>0</v>
      </c>
      <c r="X42" s="15" t="n">
        <v>0</v>
      </c>
      <c r="Y42" s="15" t="n">
        <v>0</v>
      </c>
      <c r="Z42" s="15" t="n">
        <v>0</v>
      </c>
      <c r="AA42" s="15" t="n">
        <v>0</v>
      </c>
      <c r="AB42" s="15" t="n">
        <v>0</v>
      </c>
      <c r="AC42" s="17" t="n">
        <v>2</v>
      </c>
    </row>
    <row r="43" ht="15" customHeight="1">
      <c r="A43" s="15" t="n">
        <v>41</v>
      </c>
      <c r="B43" s="15" t="inlineStr">
        <is>
          <t>01723-2022</t>
        </is>
      </c>
      <c r="C43" s="15" t="inlineStr">
        <is>
          <t>Llamoja — SV de control (2021-2023)</t>
        </is>
      </c>
      <c r="D43" s="15" t="inlineStr">
        <is>
          <t>2025</t>
        </is>
      </c>
      <c r="E43" s="15" t="inlineStr">
        <is>
          <t>2SC</t>
        </is>
      </c>
      <c r="F43" s="15" t="n">
        <v>0</v>
      </c>
      <c r="G43" s="15" t="n">
        <v>0</v>
      </c>
      <c r="H43" s="15" t="n">
        <v>0</v>
      </c>
      <c r="I43" s="15" t="n">
        <v>0</v>
      </c>
      <c r="J43" s="15" t="n">
        <v>0</v>
      </c>
      <c r="K43" s="15" t="n">
        <v>0</v>
      </c>
      <c r="L43" s="15" t="n">
        <v>0</v>
      </c>
      <c r="M43" s="15" t="n">
        <v>0</v>
      </c>
      <c r="N43" s="15" t="n">
        <v>0</v>
      </c>
      <c r="O43" s="15" t="n">
        <v>0</v>
      </c>
      <c r="P43" s="15" t="n">
        <v>0</v>
      </c>
      <c r="Q43" s="15" t="n">
        <v>0</v>
      </c>
      <c r="R43" s="15" t="n">
        <v>0</v>
      </c>
      <c r="S43" s="15" t="n">
        <v>0</v>
      </c>
      <c r="T43" s="15" t="n">
        <v>0</v>
      </c>
      <c r="U43" s="15" t="n">
        <v>0</v>
      </c>
      <c r="V43" s="15" t="n">
        <v>0</v>
      </c>
      <c r="W43" s="15" t="n">
        <v>0</v>
      </c>
      <c r="X43" s="15" t="n">
        <v>0</v>
      </c>
      <c r="Y43" s="15" t="n">
        <v>0</v>
      </c>
      <c r="Z43" s="15" t="n">
        <v>0</v>
      </c>
      <c r="AA43" s="15" t="n">
        <v>0</v>
      </c>
      <c r="AB43" s="15" t="n">
        <v>0</v>
      </c>
      <c r="AC43" s="15" t="n">
        <v>0</v>
      </c>
    </row>
    <row r="44" ht="15" customHeight="1">
      <c r="A44" s="15" t="n">
        <v>42</v>
      </c>
      <c r="B44" s="15" t="inlineStr">
        <is>
          <t>01734-2017</t>
        </is>
      </c>
      <c r="C44" s="15" t="inlineStr">
        <is>
          <t>Pre-2019</t>
        </is>
      </c>
      <c r="D44" s="15" t="inlineStr">
        <is>
          <t>2019</t>
        </is>
      </c>
      <c r="E44" s="15" t="inlineStr">
        <is>
          <t>2SC</t>
        </is>
      </c>
      <c r="F44" s="15" t="n">
        <v>0</v>
      </c>
      <c r="G44" s="15" t="n">
        <v>0</v>
      </c>
      <c r="H44" s="15" t="n">
        <v>0</v>
      </c>
      <c r="I44" s="15" t="n">
        <v>0</v>
      </c>
      <c r="J44" s="15" t="n">
        <v>0</v>
      </c>
      <c r="K44" s="15" t="n">
        <v>0</v>
      </c>
      <c r="L44" s="15" t="n">
        <v>0</v>
      </c>
      <c r="M44" s="15" t="n">
        <v>0</v>
      </c>
      <c r="N44" s="15" t="n">
        <v>0</v>
      </c>
      <c r="O44" s="15" t="n">
        <v>0</v>
      </c>
      <c r="P44" s="15" t="n">
        <v>0</v>
      </c>
      <c r="Q44" s="15" t="n">
        <v>0</v>
      </c>
      <c r="R44" s="15" t="n">
        <v>0</v>
      </c>
      <c r="S44" s="15" t="n">
        <v>0</v>
      </c>
      <c r="T44" s="16" t="n">
        <v>1</v>
      </c>
      <c r="U44" s="15" t="n">
        <v>0</v>
      </c>
      <c r="V44" s="15" t="n">
        <v>0</v>
      </c>
      <c r="W44" s="15" t="n">
        <v>0</v>
      </c>
      <c r="X44" s="15" t="n">
        <v>0</v>
      </c>
      <c r="Y44" s="15" t="n">
        <v>0</v>
      </c>
      <c r="Z44" s="15" t="n">
        <v>0</v>
      </c>
      <c r="AA44" s="15" t="n">
        <v>0</v>
      </c>
      <c r="AB44" s="15" t="n">
        <v>0</v>
      </c>
      <c r="AC44" s="17" t="n">
        <v>1</v>
      </c>
    </row>
    <row r="45" ht="15" customHeight="1">
      <c r="A45" s="15" t="n">
        <v>43</v>
      </c>
      <c r="B45" s="15" t="inlineStr">
        <is>
          <t>01835-2024</t>
        </is>
      </c>
      <c r="C45" s="15" t="inlineStr">
        <is>
          <t>2024</t>
        </is>
      </c>
      <c r="D45" s="15" t="inlineStr">
        <is>
          <t>2025</t>
        </is>
      </c>
      <c r="E45" s="15" t="inlineStr">
        <is>
          <t>1SC</t>
        </is>
      </c>
      <c r="F45" s="15" t="n">
        <v>0</v>
      </c>
      <c r="G45" s="15" t="n">
        <v>0</v>
      </c>
      <c r="H45" s="15" t="n">
        <v>0</v>
      </c>
      <c r="I45" s="15" t="n">
        <v>0</v>
      </c>
      <c r="J45" s="15" t="n">
        <v>0</v>
      </c>
      <c r="K45" s="15" t="n">
        <v>0</v>
      </c>
      <c r="L45" s="15" t="n">
        <v>0</v>
      </c>
      <c r="M45" s="15" t="n">
        <v>0</v>
      </c>
      <c r="N45" s="15" t="n">
        <v>0</v>
      </c>
      <c r="O45" s="15" t="n">
        <v>0</v>
      </c>
      <c r="P45" s="15" t="n">
        <v>0</v>
      </c>
      <c r="Q45" s="15" t="n">
        <v>0</v>
      </c>
      <c r="R45" s="15" t="n">
        <v>0</v>
      </c>
      <c r="S45" s="15" t="n">
        <v>0</v>
      </c>
      <c r="T45" s="15" t="n">
        <v>0</v>
      </c>
      <c r="U45" s="15" t="n">
        <v>0</v>
      </c>
      <c r="V45" s="15" t="n">
        <v>0</v>
      </c>
      <c r="W45" s="15" t="n">
        <v>0</v>
      </c>
      <c r="X45" s="15" t="n">
        <v>0</v>
      </c>
      <c r="Y45" s="15" t="n">
        <v>0</v>
      </c>
      <c r="Z45" s="15" t="n">
        <v>0</v>
      </c>
      <c r="AA45" s="15" t="n">
        <v>0</v>
      </c>
      <c r="AB45" s="15" t="n">
        <v>0</v>
      </c>
      <c r="AC45" s="15" t="n">
        <v>0</v>
      </c>
    </row>
    <row r="46" ht="15" customHeight="1">
      <c r="A46" s="15" t="n">
        <v>44</v>
      </c>
      <c r="B46" s="15" t="inlineStr">
        <is>
          <t>01869-2023</t>
        </is>
      </c>
      <c r="C46" s="15" t="inlineStr">
        <is>
          <t>Llamoja — SV de control (2021-2023)</t>
        </is>
      </c>
      <c r="D46" s="15" t="inlineStr">
        <is>
          <t>2026</t>
        </is>
      </c>
      <c r="E46" s="15" t="inlineStr">
        <is>
          <t>2SC</t>
        </is>
      </c>
      <c r="F46" s="15" t="n">
        <v>0</v>
      </c>
      <c r="G46" s="15" t="n">
        <v>0</v>
      </c>
      <c r="H46" s="15" t="n">
        <v>0</v>
      </c>
      <c r="I46" s="15" t="n">
        <v>0</v>
      </c>
      <c r="J46" s="15" t="n">
        <v>0</v>
      </c>
      <c r="K46" s="15" t="n">
        <v>0</v>
      </c>
      <c r="L46" s="15" t="n">
        <v>0</v>
      </c>
      <c r="M46" s="15" t="n">
        <v>0</v>
      </c>
      <c r="N46" s="15" t="n">
        <v>0</v>
      </c>
      <c r="O46" s="15" t="n">
        <v>0</v>
      </c>
      <c r="P46" s="15" t="n">
        <v>0</v>
      </c>
      <c r="Q46" s="16" t="n">
        <v>1</v>
      </c>
      <c r="R46" s="16" t="n">
        <v>1</v>
      </c>
      <c r="S46" s="15" t="n">
        <v>0</v>
      </c>
      <c r="T46" s="15" t="n">
        <v>0</v>
      </c>
      <c r="U46" s="15" t="n">
        <v>0</v>
      </c>
      <c r="V46" s="15" t="n">
        <v>0</v>
      </c>
      <c r="W46" s="15" t="n">
        <v>0</v>
      </c>
      <c r="X46" s="15" t="n">
        <v>0</v>
      </c>
      <c r="Y46" s="15" t="n">
        <v>0</v>
      </c>
      <c r="Z46" s="16" t="n">
        <v>1</v>
      </c>
      <c r="AA46" s="15" t="n">
        <v>0</v>
      </c>
      <c r="AB46" s="15" t="n">
        <v>0</v>
      </c>
      <c r="AC46" s="17" t="n">
        <v>3</v>
      </c>
    </row>
    <row r="47" ht="15" customHeight="1">
      <c r="A47" s="15" t="n">
        <v>45</v>
      </c>
      <c r="B47" s="15" t="inlineStr">
        <is>
          <t>01879-2022</t>
        </is>
      </c>
      <c r="C47" s="15" t="inlineStr">
        <is>
          <t>2024</t>
        </is>
      </c>
      <c r="D47" s="15" t="inlineStr">
        <is>
          <t>2025</t>
        </is>
      </c>
      <c r="E47" s="15" t="inlineStr">
        <is>
          <t>2SC</t>
        </is>
      </c>
      <c r="F47" s="15" t="n">
        <v>0</v>
      </c>
      <c r="G47" s="15" t="n">
        <v>0</v>
      </c>
      <c r="H47" s="15" t="n">
        <v>0</v>
      </c>
      <c r="I47" s="15" t="n">
        <v>0</v>
      </c>
      <c r="J47" s="15" t="n">
        <v>0</v>
      </c>
      <c r="K47" s="15" t="n">
        <v>0</v>
      </c>
      <c r="L47" s="15" t="n">
        <v>0</v>
      </c>
      <c r="M47" s="15" t="n">
        <v>0</v>
      </c>
      <c r="N47" s="15" t="n">
        <v>0</v>
      </c>
      <c r="O47" s="15" t="n">
        <v>0</v>
      </c>
      <c r="P47" s="15" t="n">
        <v>0</v>
      </c>
      <c r="Q47" s="15" t="n">
        <v>0</v>
      </c>
      <c r="R47" s="15" t="n">
        <v>0</v>
      </c>
      <c r="S47" s="15" t="n">
        <v>0</v>
      </c>
      <c r="T47" s="15" t="n">
        <v>0</v>
      </c>
      <c r="U47" s="15" t="n">
        <v>0</v>
      </c>
      <c r="V47" s="15" t="n">
        <v>0</v>
      </c>
      <c r="W47" s="15" t="n">
        <v>0</v>
      </c>
      <c r="X47" s="15" t="n">
        <v>0</v>
      </c>
      <c r="Y47" s="15" t="n">
        <v>0</v>
      </c>
      <c r="Z47" s="15" t="n">
        <v>0</v>
      </c>
      <c r="AA47" s="15" t="n">
        <v>0</v>
      </c>
      <c r="AB47" s="16" t="n">
        <v>1</v>
      </c>
      <c r="AC47" s="17" t="n">
        <v>1</v>
      </c>
    </row>
    <row r="48" ht="15" customHeight="1">
      <c r="A48" s="15" t="n">
        <v>46</v>
      </c>
      <c r="B48" s="15" t="inlineStr">
        <is>
          <t>01888-2011</t>
        </is>
      </c>
      <c r="C48" s="15" t="inlineStr">
        <is>
          <t>Pre-2019</t>
        </is>
      </c>
      <c r="D48" s="15" t="inlineStr">
        <is>
          <t>2020</t>
        </is>
      </c>
      <c r="E48" s="15" t="inlineStr">
        <is>
          <t>2SC</t>
        </is>
      </c>
      <c r="F48" s="15" t="n">
        <v>0</v>
      </c>
      <c r="G48" s="15" t="n">
        <v>0</v>
      </c>
      <c r="H48" s="15" t="n">
        <v>0</v>
      </c>
      <c r="I48" s="15" t="n">
        <v>0</v>
      </c>
      <c r="J48" s="15" t="n">
        <v>0</v>
      </c>
      <c r="K48" s="15" t="n">
        <v>0</v>
      </c>
      <c r="L48" s="15" t="n">
        <v>0</v>
      </c>
      <c r="M48" s="15" t="n">
        <v>0</v>
      </c>
      <c r="N48" s="15" t="n">
        <v>0</v>
      </c>
      <c r="O48" s="15" t="n">
        <v>0</v>
      </c>
      <c r="P48" s="15" t="n">
        <v>0</v>
      </c>
      <c r="Q48" s="15" t="n">
        <v>0</v>
      </c>
      <c r="R48" s="15" t="n">
        <v>0</v>
      </c>
      <c r="S48" s="15" t="n">
        <v>0</v>
      </c>
      <c r="T48" s="15" t="n">
        <v>0</v>
      </c>
      <c r="U48" s="15" t="n">
        <v>0</v>
      </c>
      <c r="V48" s="15" t="n">
        <v>0</v>
      </c>
      <c r="W48" s="15" t="n">
        <v>0</v>
      </c>
      <c r="X48" s="16" t="n">
        <v>1</v>
      </c>
      <c r="Y48" s="15" t="n">
        <v>0</v>
      </c>
      <c r="Z48" s="15" t="n">
        <v>0</v>
      </c>
      <c r="AA48" s="15" t="n">
        <v>0</v>
      </c>
      <c r="AB48" s="15" t="n">
        <v>0</v>
      </c>
      <c r="AC48" s="17" t="n">
        <v>1</v>
      </c>
    </row>
    <row r="49" ht="15" customHeight="1">
      <c r="A49" s="15" t="n">
        <v>47</v>
      </c>
      <c r="B49" s="15" t="inlineStr">
        <is>
          <t>01946-2016</t>
        </is>
      </c>
      <c r="C49" s="15" t="inlineStr">
        <is>
          <t>Pre-2019</t>
        </is>
      </c>
      <c r="D49" s="15" t="inlineStr">
        <is>
          <t>2019</t>
        </is>
      </c>
      <c r="E49" s="15" t="inlineStr">
        <is>
          <t>3SC</t>
        </is>
      </c>
      <c r="F49" s="15" t="n">
        <v>0</v>
      </c>
      <c r="G49" s="15" t="n">
        <v>0</v>
      </c>
      <c r="H49" s="15" t="n">
        <v>0</v>
      </c>
      <c r="I49" s="15" t="n">
        <v>0</v>
      </c>
      <c r="J49" s="15" t="n">
        <v>0</v>
      </c>
      <c r="K49" s="15" t="n">
        <v>0</v>
      </c>
      <c r="L49" s="15" t="n">
        <v>0</v>
      </c>
      <c r="M49" s="15" t="n">
        <v>0</v>
      </c>
      <c r="N49" s="15" t="n">
        <v>0</v>
      </c>
      <c r="O49" s="15" t="n">
        <v>0</v>
      </c>
      <c r="P49" s="15" t="n">
        <v>0</v>
      </c>
      <c r="Q49" s="15" t="n">
        <v>0</v>
      </c>
      <c r="R49" s="15" t="n">
        <v>0</v>
      </c>
      <c r="S49" s="15" t="n">
        <v>0</v>
      </c>
      <c r="T49" s="15" t="n">
        <v>0</v>
      </c>
      <c r="U49" s="15" t="n">
        <v>0</v>
      </c>
      <c r="V49" s="15" t="n">
        <v>0</v>
      </c>
      <c r="W49" s="15" t="n">
        <v>0</v>
      </c>
      <c r="X49" s="15" t="n">
        <v>0</v>
      </c>
      <c r="Y49" s="15" t="n">
        <v>0</v>
      </c>
      <c r="Z49" s="15" t="n">
        <v>0</v>
      </c>
      <c r="AA49" s="15" t="n">
        <v>0</v>
      </c>
      <c r="AB49" s="15" t="n">
        <v>0</v>
      </c>
      <c r="AC49" s="15" t="n">
        <v>0</v>
      </c>
    </row>
    <row r="50" ht="15" customHeight="1">
      <c r="A50" s="15" t="n">
        <v>48</v>
      </c>
      <c r="B50" s="15" t="inlineStr">
        <is>
          <t>02167-2023</t>
        </is>
      </c>
      <c r="C50" s="15" t="inlineStr">
        <is>
          <t>Matriz sumarísimos — grupo 2024</t>
        </is>
      </c>
      <c r="D50" s="15" t="inlineStr">
        <is>
          <t>2025</t>
        </is>
      </c>
      <c r="E50" s="15" t="inlineStr">
        <is>
          <t>2SC</t>
        </is>
      </c>
      <c r="F50" s="15" t="n">
        <v>0</v>
      </c>
      <c r="G50" s="15" t="n">
        <v>0</v>
      </c>
      <c r="H50" s="15" t="n">
        <v>0</v>
      </c>
      <c r="I50" s="15" t="n">
        <v>0</v>
      </c>
      <c r="J50" s="15" t="n">
        <v>0</v>
      </c>
      <c r="K50" s="16" t="n">
        <v>1</v>
      </c>
      <c r="L50" s="15" t="n">
        <v>0</v>
      </c>
      <c r="M50" s="15" t="n">
        <v>0</v>
      </c>
      <c r="N50" s="16" t="n">
        <v>1</v>
      </c>
      <c r="O50" s="15" t="n">
        <v>0</v>
      </c>
      <c r="P50" s="15" t="n">
        <v>0</v>
      </c>
      <c r="Q50" s="15" t="n">
        <v>0</v>
      </c>
      <c r="R50" s="15" t="n">
        <v>0</v>
      </c>
      <c r="S50" s="15" t="n">
        <v>0</v>
      </c>
      <c r="T50" s="15" t="n">
        <v>0</v>
      </c>
      <c r="U50" s="15" t="n">
        <v>0</v>
      </c>
      <c r="V50" s="15" t="n">
        <v>0</v>
      </c>
      <c r="W50" s="15" t="n">
        <v>0</v>
      </c>
      <c r="X50" s="15" t="n">
        <v>0</v>
      </c>
      <c r="Y50" s="15" t="n">
        <v>0</v>
      </c>
      <c r="Z50" s="15" t="n">
        <v>0</v>
      </c>
      <c r="AA50" s="15" t="n">
        <v>0</v>
      </c>
      <c r="AB50" s="16" t="n">
        <v>1</v>
      </c>
      <c r="AC50" s="17" t="n">
        <v>3</v>
      </c>
    </row>
    <row r="51" ht="15" customHeight="1">
      <c r="A51" s="15" t="n">
        <v>49</v>
      </c>
      <c r="B51" s="15" t="inlineStr">
        <is>
          <t>02275-2023</t>
        </is>
      </c>
      <c r="C51" s="15" t="inlineStr">
        <is>
          <t>Llamoja — SV de control (2021-2023)</t>
        </is>
      </c>
      <c r="D51" s="15" t="inlineStr">
        <is>
          <t>2025</t>
        </is>
      </c>
      <c r="E51" s="15" t="inlineStr">
        <is>
          <t>3SC</t>
        </is>
      </c>
      <c r="F51" s="16" t="n">
        <v>1</v>
      </c>
      <c r="G51" s="15" t="n">
        <v>0</v>
      </c>
      <c r="H51" s="15" t="n">
        <v>0</v>
      </c>
      <c r="I51" s="16" t="n">
        <v>1</v>
      </c>
      <c r="J51" s="15" t="n">
        <v>0</v>
      </c>
      <c r="K51" s="15" t="n">
        <v>0</v>
      </c>
      <c r="L51" s="15" t="n">
        <v>0</v>
      </c>
      <c r="M51" s="15" t="n">
        <v>0</v>
      </c>
      <c r="N51" s="15" t="n">
        <v>0</v>
      </c>
      <c r="O51" s="15" t="n">
        <v>0</v>
      </c>
      <c r="P51" s="15" t="n">
        <v>0</v>
      </c>
      <c r="Q51" s="15" t="n">
        <v>0</v>
      </c>
      <c r="R51" s="15" t="n">
        <v>0</v>
      </c>
      <c r="S51" s="15" t="n">
        <v>0</v>
      </c>
      <c r="T51" s="15" t="n">
        <v>0</v>
      </c>
      <c r="U51" s="15" t="n">
        <v>0</v>
      </c>
      <c r="V51" s="15" t="n">
        <v>0</v>
      </c>
      <c r="W51" s="15" t="n">
        <v>0</v>
      </c>
      <c r="X51" s="15" t="n">
        <v>0</v>
      </c>
      <c r="Y51" s="15" t="n">
        <v>0</v>
      </c>
      <c r="Z51" s="15" t="n">
        <v>0</v>
      </c>
      <c r="AA51" s="15" t="n">
        <v>0</v>
      </c>
      <c r="AB51" s="15" t="n">
        <v>0</v>
      </c>
      <c r="AC51" s="17" t="n">
        <v>2</v>
      </c>
    </row>
    <row r="52" ht="15" customHeight="1">
      <c r="A52" s="15" t="n">
        <v>50</v>
      </c>
      <c r="B52" s="15" t="inlineStr">
        <is>
          <t>02371-2021</t>
        </is>
      </c>
      <c r="C52" s="15" t="inlineStr">
        <is>
          <t>2024</t>
        </is>
      </c>
      <c r="D52" s="15" t="inlineStr">
        <is>
          <t>2025</t>
        </is>
      </c>
      <c r="E52" s="15" t="n"/>
      <c r="F52" s="15" t="n">
        <v>0</v>
      </c>
      <c r="G52" s="15" t="n">
        <v>0</v>
      </c>
      <c r="H52" s="15" t="n">
        <v>0</v>
      </c>
      <c r="I52" s="15" t="n">
        <v>0</v>
      </c>
      <c r="J52" s="15" t="n">
        <v>0</v>
      </c>
      <c r="K52" s="15" t="n">
        <v>0</v>
      </c>
      <c r="L52" s="15" t="n">
        <v>0</v>
      </c>
      <c r="M52" s="15" t="n">
        <v>0</v>
      </c>
      <c r="N52" s="15" t="n">
        <v>0</v>
      </c>
      <c r="O52" s="15" t="n">
        <v>0</v>
      </c>
      <c r="P52" s="15" t="n">
        <v>0</v>
      </c>
      <c r="Q52" s="15" t="n">
        <v>0</v>
      </c>
      <c r="R52" s="15" t="n">
        <v>0</v>
      </c>
      <c r="S52" s="15" t="n">
        <v>0</v>
      </c>
      <c r="T52" s="15" t="n">
        <v>0</v>
      </c>
      <c r="U52" s="15" t="n">
        <v>0</v>
      </c>
      <c r="V52" s="15" t="n">
        <v>0</v>
      </c>
      <c r="W52" s="15" t="n">
        <v>0</v>
      </c>
      <c r="X52" s="15" t="n">
        <v>0</v>
      </c>
      <c r="Y52" s="15" t="n">
        <v>0</v>
      </c>
      <c r="Z52" s="15" t="n">
        <v>0</v>
      </c>
      <c r="AA52" s="15" t="n">
        <v>0</v>
      </c>
      <c r="AB52" s="15" t="n">
        <v>0</v>
      </c>
      <c r="AC52" s="15" t="n">
        <v>0</v>
      </c>
    </row>
    <row r="53" ht="15" customHeight="1">
      <c r="A53" s="15" t="n">
        <v>51</v>
      </c>
      <c r="B53" s="15" t="inlineStr">
        <is>
          <t>02483-2021</t>
        </is>
      </c>
      <c r="C53" s="15" t="inlineStr">
        <is>
          <t>Llamoja — SV de control (2021-2023)</t>
        </is>
      </c>
      <c r="D53" s="15" t="inlineStr">
        <is>
          <t>2023</t>
        </is>
      </c>
      <c r="E53" s="15" t="inlineStr">
        <is>
          <t>2SC</t>
        </is>
      </c>
      <c r="F53" s="15" t="n">
        <v>0</v>
      </c>
      <c r="G53" s="15" t="n">
        <v>0</v>
      </c>
      <c r="H53" s="16" t="n">
        <v>1</v>
      </c>
      <c r="I53" s="15" t="n">
        <v>0</v>
      </c>
      <c r="J53" s="15" t="n">
        <v>0</v>
      </c>
      <c r="K53" s="15" t="n">
        <v>0</v>
      </c>
      <c r="L53" s="15" t="n">
        <v>0</v>
      </c>
      <c r="M53" s="15" t="n">
        <v>0</v>
      </c>
      <c r="N53" s="15" t="n">
        <v>0</v>
      </c>
      <c r="O53" s="15" t="n">
        <v>0</v>
      </c>
      <c r="P53" s="15" t="n">
        <v>0</v>
      </c>
      <c r="Q53" s="15" t="n">
        <v>0</v>
      </c>
      <c r="R53" s="15" t="n">
        <v>0</v>
      </c>
      <c r="S53" s="15" t="n">
        <v>0</v>
      </c>
      <c r="T53" s="15" t="n">
        <v>0</v>
      </c>
      <c r="U53" s="15" t="n">
        <v>0</v>
      </c>
      <c r="V53" s="15" t="n">
        <v>0</v>
      </c>
      <c r="W53" s="15" t="n">
        <v>0</v>
      </c>
      <c r="X53" s="15" t="n">
        <v>0</v>
      </c>
      <c r="Y53" s="15" t="n">
        <v>0</v>
      </c>
      <c r="Z53" s="15" t="n">
        <v>0</v>
      </c>
      <c r="AA53" s="15" t="n">
        <v>0</v>
      </c>
      <c r="AB53" s="15" t="n">
        <v>0</v>
      </c>
      <c r="AC53" s="17" t="n">
        <v>1</v>
      </c>
    </row>
    <row r="54" ht="15" customHeight="1">
      <c r="A54" s="15" t="n">
        <v>52</v>
      </c>
      <c r="B54" s="15" t="inlineStr">
        <is>
          <t>02505-2009</t>
        </is>
      </c>
      <c r="C54" s="15" t="inlineStr">
        <is>
          <t>Pre-2019</t>
        </is>
      </c>
      <c r="D54" s="15" t="inlineStr">
        <is>
          <t>2019</t>
        </is>
      </c>
      <c r="E54" s="15" t="inlineStr">
        <is>
          <t>3SC</t>
        </is>
      </c>
      <c r="F54" s="15" t="n">
        <v>0</v>
      </c>
      <c r="G54" s="16" t="n">
        <v>1</v>
      </c>
      <c r="H54" s="15" t="n">
        <v>0</v>
      </c>
      <c r="I54" s="15" t="n">
        <v>0</v>
      </c>
      <c r="J54" s="15" t="n">
        <v>0</v>
      </c>
      <c r="K54" s="15" t="n">
        <v>0</v>
      </c>
      <c r="L54" s="15" t="n">
        <v>0</v>
      </c>
      <c r="M54" s="15" t="n">
        <v>0</v>
      </c>
      <c r="N54" s="15" t="n">
        <v>0</v>
      </c>
      <c r="O54" s="15" t="n">
        <v>0</v>
      </c>
      <c r="P54" s="15" t="n">
        <v>0</v>
      </c>
      <c r="Q54" s="15" t="n">
        <v>0</v>
      </c>
      <c r="R54" s="15" t="n">
        <v>0</v>
      </c>
      <c r="S54" s="15" t="n">
        <v>0</v>
      </c>
      <c r="T54" s="15" t="n">
        <v>0</v>
      </c>
      <c r="U54" s="16" t="n">
        <v>1</v>
      </c>
      <c r="V54" s="15" t="n">
        <v>0</v>
      </c>
      <c r="W54" s="15" t="n">
        <v>0</v>
      </c>
      <c r="X54" s="15" t="n">
        <v>0</v>
      </c>
      <c r="Y54" s="15" t="n">
        <v>0</v>
      </c>
      <c r="Z54" s="15" t="n">
        <v>0</v>
      </c>
      <c r="AA54" s="15" t="n">
        <v>0</v>
      </c>
      <c r="AB54" s="15" t="n">
        <v>0</v>
      </c>
      <c r="AC54" s="17" t="n">
        <v>2</v>
      </c>
    </row>
    <row r="55" ht="15" customHeight="1">
      <c r="A55" s="15" t="n">
        <v>53</v>
      </c>
      <c r="B55" s="15" t="inlineStr">
        <is>
          <t>02532-2017</t>
        </is>
      </c>
      <c r="C55" s="15" t="inlineStr">
        <is>
          <t>Matriz sumarísimos — anteriores a 2019</t>
        </is>
      </c>
      <c r="D55" s="15" t="inlineStr">
        <is>
          <t>2018</t>
        </is>
      </c>
      <c r="E55" s="15" t="inlineStr">
        <is>
          <t>1SC</t>
        </is>
      </c>
      <c r="F55" s="16" t="n">
        <v>1</v>
      </c>
      <c r="G55" s="16" t="n">
        <v>1</v>
      </c>
      <c r="H55" s="16" t="n">
        <v>1</v>
      </c>
      <c r="I55" s="15" t="n">
        <v>0</v>
      </c>
      <c r="J55" s="15" t="n">
        <v>0</v>
      </c>
      <c r="K55" s="15" t="n">
        <v>0</v>
      </c>
      <c r="L55" s="15" t="n">
        <v>0</v>
      </c>
      <c r="M55" s="15" t="n">
        <v>0</v>
      </c>
      <c r="N55" s="15" t="n">
        <v>0</v>
      </c>
      <c r="O55" s="15" t="n">
        <v>0</v>
      </c>
      <c r="P55" s="15" t="n">
        <v>0</v>
      </c>
      <c r="Q55" s="15" t="n">
        <v>0</v>
      </c>
      <c r="R55" s="15" t="n">
        <v>0</v>
      </c>
      <c r="S55" s="15" t="n">
        <v>0</v>
      </c>
      <c r="T55" s="15" t="n">
        <v>0</v>
      </c>
      <c r="U55" s="15" t="n">
        <v>0</v>
      </c>
      <c r="V55" s="15" t="n">
        <v>0</v>
      </c>
      <c r="W55" s="15" t="n">
        <v>0</v>
      </c>
      <c r="X55" s="15" t="n">
        <v>0</v>
      </c>
      <c r="Y55" s="15" t="n">
        <v>0</v>
      </c>
      <c r="Z55" s="15" t="n">
        <v>0</v>
      </c>
      <c r="AA55" s="15" t="n">
        <v>0</v>
      </c>
      <c r="AB55" s="15" t="n">
        <v>0</v>
      </c>
      <c r="AC55" s="17" t="n">
        <v>3</v>
      </c>
    </row>
    <row r="56" ht="15" customHeight="1">
      <c r="A56" s="15" t="n">
        <v>54</v>
      </c>
      <c r="B56" s="15" t="inlineStr">
        <is>
          <t>02635-2019</t>
        </is>
      </c>
      <c r="C56" s="15" t="inlineStr">
        <is>
          <t>2024</t>
        </is>
      </c>
      <c r="D56" s="15" t="inlineStr">
        <is>
          <t>2023</t>
        </is>
      </c>
      <c r="E56" s="15" t="n"/>
      <c r="F56" s="15" t="n">
        <v>0</v>
      </c>
      <c r="G56" s="15" t="n">
        <v>0</v>
      </c>
      <c r="H56" s="15" t="n">
        <v>0</v>
      </c>
      <c r="I56" s="15" t="n">
        <v>0</v>
      </c>
      <c r="J56" s="15" t="n">
        <v>0</v>
      </c>
      <c r="K56" s="15" t="n">
        <v>0</v>
      </c>
      <c r="L56" s="15" t="n">
        <v>0</v>
      </c>
      <c r="M56" s="15" t="n">
        <v>0</v>
      </c>
      <c r="N56" s="15" t="n">
        <v>0</v>
      </c>
      <c r="O56" s="15" t="n">
        <v>0</v>
      </c>
      <c r="P56" s="16" t="n">
        <v>1</v>
      </c>
      <c r="Q56" s="15" t="n">
        <v>0</v>
      </c>
      <c r="R56" s="15" t="n">
        <v>0</v>
      </c>
      <c r="S56" s="16" t="n">
        <v>1</v>
      </c>
      <c r="T56" s="15" t="n">
        <v>0</v>
      </c>
      <c r="U56" s="15" t="n">
        <v>0</v>
      </c>
      <c r="V56" s="15" t="n">
        <v>0</v>
      </c>
      <c r="W56" s="15" t="n">
        <v>0</v>
      </c>
      <c r="X56" s="15" t="n">
        <v>0</v>
      </c>
      <c r="Y56" s="15" t="n">
        <v>0</v>
      </c>
      <c r="Z56" s="15" t="n">
        <v>0</v>
      </c>
      <c r="AA56" s="15" t="n">
        <v>0</v>
      </c>
      <c r="AB56" s="15" t="n">
        <v>0</v>
      </c>
      <c r="AC56" s="17" t="n">
        <v>2</v>
      </c>
    </row>
    <row r="57" ht="15" customHeight="1">
      <c r="A57" s="15" t="n">
        <v>55</v>
      </c>
      <c r="B57" s="15" t="inlineStr">
        <is>
          <t>02641-2010</t>
        </is>
      </c>
      <c r="C57" s="15" t="inlineStr">
        <is>
          <t>Pre-2019</t>
        </is>
      </c>
      <c r="D57" s="15" t="inlineStr">
        <is>
          <t>2018</t>
        </is>
      </c>
      <c r="E57" s="15" t="inlineStr">
        <is>
          <t>1SC</t>
        </is>
      </c>
      <c r="F57" s="15" t="n">
        <v>0</v>
      </c>
      <c r="G57" s="15" t="n">
        <v>0</v>
      </c>
      <c r="H57" s="15" t="n">
        <v>0</v>
      </c>
      <c r="I57" s="15" t="n">
        <v>0</v>
      </c>
      <c r="J57" s="15" t="n">
        <v>0</v>
      </c>
      <c r="K57" s="15" t="n">
        <v>0</v>
      </c>
      <c r="L57" s="16" t="n">
        <v>1</v>
      </c>
      <c r="M57" s="15" t="n">
        <v>0</v>
      </c>
      <c r="N57" s="15" t="n">
        <v>0</v>
      </c>
      <c r="O57" s="15" t="n">
        <v>0</v>
      </c>
      <c r="P57" s="15" t="n">
        <v>0</v>
      </c>
      <c r="Q57" s="15" t="n">
        <v>0</v>
      </c>
      <c r="R57" s="15" t="n">
        <v>0</v>
      </c>
      <c r="S57" s="15" t="n">
        <v>0</v>
      </c>
      <c r="T57" s="15" t="n">
        <v>0</v>
      </c>
      <c r="U57" s="15" t="n">
        <v>0</v>
      </c>
      <c r="V57" s="15" t="n">
        <v>0</v>
      </c>
      <c r="W57" s="15" t="n">
        <v>0</v>
      </c>
      <c r="X57" s="15" t="n">
        <v>0</v>
      </c>
      <c r="Y57" s="15" t="n">
        <v>0</v>
      </c>
      <c r="Z57" s="15" t="n">
        <v>0</v>
      </c>
      <c r="AA57" s="15" t="n">
        <v>0</v>
      </c>
      <c r="AB57" s="15" t="n">
        <v>0</v>
      </c>
      <c r="AC57" s="17" t="n">
        <v>1</v>
      </c>
    </row>
    <row r="58" ht="15" customHeight="1">
      <c r="A58" s="15" t="n">
        <v>56</v>
      </c>
      <c r="B58" s="15" t="inlineStr">
        <is>
          <t>02706-2015</t>
        </is>
      </c>
      <c r="C58" s="15" t="inlineStr">
        <is>
          <t>Pre-2019</t>
        </is>
      </c>
      <c r="D58" s="15" t="inlineStr">
        <is>
          <t>2019</t>
        </is>
      </c>
      <c r="E58" s="15" t="inlineStr">
        <is>
          <t>2SC</t>
        </is>
      </c>
      <c r="F58" s="15" t="n">
        <v>0</v>
      </c>
      <c r="G58" s="15" t="n">
        <v>0</v>
      </c>
      <c r="H58" s="16" t="n">
        <v>1</v>
      </c>
      <c r="I58" s="15" t="n">
        <v>0</v>
      </c>
      <c r="J58" s="15" t="n">
        <v>0</v>
      </c>
      <c r="K58" s="15" t="n">
        <v>0</v>
      </c>
      <c r="L58" s="15" t="n">
        <v>0</v>
      </c>
      <c r="M58" s="15" t="n">
        <v>0</v>
      </c>
      <c r="N58" s="15" t="n">
        <v>0</v>
      </c>
      <c r="O58" s="15" t="n">
        <v>0</v>
      </c>
      <c r="P58" s="15" t="n">
        <v>0</v>
      </c>
      <c r="Q58" s="15" t="n">
        <v>0</v>
      </c>
      <c r="R58" s="15" t="n">
        <v>0</v>
      </c>
      <c r="S58" s="15" t="n">
        <v>0</v>
      </c>
      <c r="T58" s="15" t="n">
        <v>0</v>
      </c>
      <c r="U58" s="15" t="n">
        <v>0</v>
      </c>
      <c r="V58" s="15" t="n">
        <v>0</v>
      </c>
      <c r="W58" s="15" t="n">
        <v>0</v>
      </c>
      <c r="X58" s="15" t="n">
        <v>0</v>
      </c>
      <c r="Y58" s="15" t="n">
        <v>0</v>
      </c>
      <c r="Z58" s="15" t="n">
        <v>0</v>
      </c>
      <c r="AA58" s="15" t="n">
        <v>0</v>
      </c>
      <c r="AB58" s="15" t="n">
        <v>0</v>
      </c>
      <c r="AC58" s="17" t="n">
        <v>1</v>
      </c>
    </row>
    <row r="59" ht="15" customHeight="1">
      <c r="A59" s="15" t="n">
        <v>57</v>
      </c>
      <c r="B59" s="15" t="inlineStr">
        <is>
          <t>02706-2016</t>
        </is>
      </c>
      <c r="C59" s="15" t="inlineStr">
        <is>
          <t>Matriz sumarísimos — anteriores a 2019</t>
        </is>
      </c>
      <c r="D59" s="15" t="inlineStr">
        <is>
          <t>2021</t>
        </is>
      </c>
      <c r="E59" s="15" t="inlineStr">
        <is>
          <t>2SC</t>
        </is>
      </c>
      <c r="F59" s="15" t="n">
        <v>0</v>
      </c>
      <c r="G59" s="15" t="n">
        <v>0</v>
      </c>
      <c r="H59" s="15" t="n">
        <v>0</v>
      </c>
      <c r="I59" s="15" t="n">
        <v>0</v>
      </c>
      <c r="J59" s="15" t="n">
        <v>0</v>
      </c>
      <c r="K59" s="16" t="n">
        <v>1</v>
      </c>
      <c r="L59" s="15" t="n">
        <v>0</v>
      </c>
      <c r="M59" s="16" t="n">
        <v>1</v>
      </c>
      <c r="N59" s="15" t="n">
        <v>0</v>
      </c>
      <c r="O59" s="15" t="n">
        <v>0</v>
      </c>
      <c r="P59" s="15" t="n">
        <v>0</v>
      </c>
      <c r="Q59" s="15" t="n">
        <v>0</v>
      </c>
      <c r="R59" s="15" t="n">
        <v>0</v>
      </c>
      <c r="S59" s="15" t="n">
        <v>0</v>
      </c>
      <c r="T59" s="15" t="n">
        <v>0</v>
      </c>
      <c r="U59" s="15" t="n">
        <v>0</v>
      </c>
      <c r="V59" s="15" t="n">
        <v>0</v>
      </c>
      <c r="W59" s="15" t="n">
        <v>0</v>
      </c>
      <c r="X59" s="15" t="n">
        <v>0</v>
      </c>
      <c r="Y59" s="15" t="n">
        <v>0</v>
      </c>
      <c r="Z59" s="15" t="n">
        <v>0</v>
      </c>
      <c r="AA59" s="15" t="n">
        <v>0</v>
      </c>
      <c r="AB59" s="15" t="n">
        <v>0</v>
      </c>
      <c r="AC59" s="17" t="n">
        <v>2</v>
      </c>
    </row>
    <row r="60" ht="15" customHeight="1">
      <c r="A60" s="15" t="n">
        <v>58</v>
      </c>
      <c r="B60" s="15" t="inlineStr">
        <is>
          <t>02712-2023</t>
        </is>
      </c>
      <c r="C60" s="15" t="inlineStr">
        <is>
          <t>Llamoja — SV de control (2021-2023)</t>
        </is>
      </c>
      <c r="D60" s="15" t="inlineStr">
        <is>
          <t>2025</t>
        </is>
      </c>
      <c r="E60" s="15" t="inlineStr">
        <is>
          <t>2SC</t>
        </is>
      </c>
      <c r="F60" s="15" t="n">
        <v>0</v>
      </c>
      <c r="G60" s="15" t="n">
        <v>0</v>
      </c>
      <c r="H60" s="15" t="n">
        <v>0</v>
      </c>
      <c r="I60" s="15" t="n">
        <v>0</v>
      </c>
      <c r="J60" s="15" t="n">
        <v>0</v>
      </c>
      <c r="K60" s="15" t="n">
        <v>0</v>
      </c>
      <c r="L60" s="15" t="n">
        <v>0</v>
      </c>
      <c r="M60" s="15" t="n">
        <v>0</v>
      </c>
      <c r="N60" s="15" t="n">
        <v>0</v>
      </c>
      <c r="O60" s="15" t="n">
        <v>0</v>
      </c>
      <c r="P60" s="15" t="n">
        <v>0</v>
      </c>
      <c r="Q60" s="15" t="n">
        <v>0</v>
      </c>
      <c r="R60" s="15" t="n">
        <v>0</v>
      </c>
      <c r="S60" s="15" t="n">
        <v>0</v>
      </c>
      <c r="T60" s="15" t="n">
        <v>0</v>
      </c>
      <c r="U60" s="15" t="n">
        <v>0</v>
      </c>
      <c r="V60" s="15" t="n">
        <v>0</v>
      </c>
      <c r="W60" s="15" t="n">
        <v>0</v>
      </c>
      <c r="X60" s="15" t="n">
        <v>0</v>
      </c>
      <c r="Y60" s="15" t="n">
        <v>0</v>
      </c>
      <c r="Z60" s="15" t="n">
        <v>0</v>
      </c>
      <c r="AA60" s="15" t="n">
        <v>0</v>
      </c>
      <c r="AB60" s="15" t="n">
        <v>0</v>
      </c>
      <c r="AC60" s="15" t="n">
        <v>0</v>
      </c>
    </row>
    <row r="61" ht="15" customHeight="1">
      <c r="A61" s="15" t="n">
        <v>59</v>
      </c>
      <c r="B61" s="15" t="inlineStr">
        <is>
          <t>02718-2015</t>
        </is>
      </c>
      <c r="C61" s="15" t="inlineStr">
        <is>
          <t>Matriz sumarísimos — anteriores a 2019</t>
        </is>
      </c>
      <c r="D61" s="15" t="inlineStr">
        <is>
          <t>2018</t>
        </is>
      </c>
      <c r="E61" s="15" t="inlineStr">
        <is>
          <t>1SC</t>
        </is>
      </c>
      <c r="F61" s="15" t="n">
        <v>0</v>
      </c>
      <c r="G61" s="15" t="n">
        <v>0</v>
      </c>
      <c r="H61" s="15" t="n">
        <v>0</v>
      </c>
      <c r="I61" s="15" t="n">
        <v>0</v>
      </c>
      <c r="J61" s="15" t="n">
        <v>0</v>
      </c>
      <c r="K61" s="15" t="n">
        <v>0</v>
      </c>
      <c r="L61" s="16" t="n">
        <v>1</v>
      </c>
      <c r="M61" s="15" t="n">
        <v>0</v>
      </c>
      <c r="N61" s="15" t="n">
        <v>0</v>
      </c>
      <c r="O61" s="15" t="n">
        <v>0</v>
      </c>
      <c r="P61" s="15" t="n">
        <v>0</v>
      </c>
      <c r="Q61" s="15" t="n">
        <v>0</v>
      </c>
      <c r="R61" s="15" t="n">
        <v>0</v>
      </c>
      <c r="S61" s="15" t="n">
        <v>0</v>
      </c>
      <c r="T61" s="15" t="n">
        <v>0</v>
      </c>
      <c r="U61" s="16" t="n">
        <v>1</v>
      </c>
      <c r="V61" s="15" t="n">
        <v>0</v>
      </c>
      <c r="W61" s="15" t="n">
        <v>0</v>
      </c>
      <c r="X61" s="15" t="n">
        <v>0</v>
      </c>
      <c r="Y61" s="15" t="n">
        <v>0</v>
      </c>
      <c r="Z61" s="15" t="n">
        <v>0</v>
      </c>
      <c r="AA61" s="15" t="n">
        <v>0</v>
      </c>
      <c r="AB61" s="16" t="n">
        <v>1</v>
      </c>
      <c r="AC61" s="17" t="n">
        <v>3</v>
      </c>
    </row>
    <row r="62" ht="15" customHeight="1">
      <c r="A62" s="15" t="n">
        <v>60</v>
      </c>
      <c r="B62" s="15" t="inlineStr">
        <is>
          <t>02723-2023</t>
        </is>
      </c>
      <c r="C62" s="15" t="inlineStr">
        <is>
          <t>Llamoja — SV de control (2021-2023)</t>
        </is>
      </c>
      <c r="D62" s="15" t="inlineStr">
        <is>
          <t>2025</t>
        </is>
      </c>
      <c r="E62" s="15" t="inlineStr">
        <is>
          <t>2SC</t>
        </is>
      </c>
      <c r="F62" s="15" t="n">
        <v>0</v>
      </c>
      <c r="G62" s="15" t="n">
        <v>0</v>
      </c>
      <c r="H62" s="15" t="n">
        <v>0</v>
      </c>
      <c r="I62" s="15" t="n">
        <v>0</v>
      </c>
      <c r="J62" s="15" t="n">
        <v>0</v>
      </c>
      <c r="K62" s="15" t="n">
        <v>0</v>
      </c>
      <c r="L62" s="15" t="n">
        <v>0</v>
      </c>
      <c r="M62" s="15" t="n">
        <v>0</v>
      </c>
      <c r="N62" s="15" t="n">
        <v>0</v>
      </c>
      <c r="O62" s="15" t="n">
        <v>0</v>
      </c>
      <c r="P62" s="15" t="n">
        <v>0</v>
      </c>
      <c r="Q62" s="15" t="n">
        <v>0</v>
      </c>
      <c r="R62" s="15" t="n">
        <v>0</v>
      </c>
      <c r="S62" s="15" t="n">
        <v>0</v>
      </c>
      <c r="T62" s="15" t="n">
        <v>0</v>
      </c>
      <c r="U62" s="15" t="n">
        <v>0</v>
      </c>
      <c r="V62" s="15" t="n">
        <v>0</v>
      </c>
      <c r="W62" s="15" t="n">
        <v>0</v>
      </c>
      <c r="X62" s="15" t="n">
        <v>0</v>
      </c>
      <c r="Y62" s="15" t="n">
        <v>0</v>
      </c>
      <c r="Z62" s="15" t="n">
        <v>0</v>
      </c>
      <c r="AA62" s="15" t="n">
        <v>0</v>
      </c>
      <c r="AB62" s="15" t="n">
        <v>0</v>
      </c>
      <c r="AC62" s="15" t="n">
        <v>0</v>
      </c>
    </row>
    <row r="63" ht="15" customHeight="1">
      <c r="A63" s="15" t="n">
        <v>61</v>
      </c>
      <c r="B63" s="15" t="inlineStr">
        <is>
          <t>02792-2023</t>
        </is>
      </c>
      <c r="C63" s="15" t="inlineStr">
        <is>
          <t>Llamoja — SV de control (2021-2023)</t>
        </is>
      </c>
      <c r="D63" s="15" t="inlineStr">
        <is>
          <t>2025</t>
        </is>
      </c>
      <c r="E63" s="15" t="inlineStr">
        <is>
          <t>1SC</t>
        </is>
      </c>
      <c r="F63" s="15" t="n">
        <v>0</v>
      </c>
      <c r="G63" s="15" t="n">
        <v>0</v>
      </c>
      <c r="H63" s="15" t="n">
        <v>0</v>
      </c>
      <c r="I63" s="15" t="n">
        <v>0</v>
      </c>
      <c r="J63" s="15" t="n">
        <v>0</v>
      </c>
      <c r="K63" s="15" t="n">
        <v>0</v>
      </c>
      <c r="L63" s="15" t="n">
        <v>0</v>
      </c>
      <c r="M63" s="15" t="n">
        <v>0</v>
      </c>
      <c r="N63" s="15" t="n">
        <v>0</v>
      </c>
      <c r="O63" s="15" t="n">
        <v>0</v>
      </c>
      <c r="P63" s="15" t="n">
        <v>0</v>
      </c>
      <c r="Q63" s="15" t="n">
        <v>0</v>
      </c>
      <c r="R63" s="15" t="n">
        <v>0</v>
      </c>
      <c r="S63" s="16" t="n">
        <v>1</v>
      </c>
      <c r="T63" s="16" t="n">
        <v>1</v>
      </c>
      <c r="U63" s="15" t="n">
        <v>0</v>
      </c>
      <c r="V63" s="15" t="n">
        <v>0</v>
      </c>
      <c r="W63" s="15" t="n">
        <v>0</v>
      </c>
      <c r="X63" s="15" t="n">
        <v>0</v>
      </c>
      <c r="Y63" s="15" t="n">
        <v>0</v>
      </c>
      <c r="Z63" s="15" t="n">
        <v>0</v>
      </c>
      <c r="AA63" s="15" t="n">
        <v>0</v>
      </c>
      <c r="AB63" s="15" t="n">
        <v>0</v>
      </c>
      <c r="AC63" s="17" t="n">
        <v>2</v>
      </c>
    </row>
    <row r="64" ht="15" customHeight="1">
      <c r="A64" s="15" t="n">
        <v>62</v>
      </c>
      <c r="B64" s="15" t="inlineStr">
        <is>
          <t>02814-2015</t>
        </is>
      </c>
      <c r="C64" s="15" t="inlineStr">
        <is>
          <t>Pre-2019</t>
        </is>
      </c>
      <c r="D64" s="15" t="inlineStr">
        <is>
          <t>2019</t>
        </is>
      </c>
      <c r="E64" s="15" t="inlineStr">
        <is>
          <t>3SC</t>
        </is>
      </c>
      <c r="F64" s="15" t="n">
        <v>0</v>
      </c>
      <c r="G64" s="15" t="n">
        <v>0</v>
      </c>
      <c r="H64" s="15" t="n">
        <v>0</v>
      </c>
      <c r="I64" s="15" t="n">
        <v>0</v>
      </c>
      <c r="J64" s="15" t="n">
        <v>0</v>
      </c>
      <c r="K64" s="15" t="n">
        <v>0</v>
      </c>
      <c r="L64" s="15" t="n">
        <v>0</v>
      </c>
      <c r="M64" s="15" t="n">
        <v>0</v>
      </c>
      <c r="N64" s="15" t="n">
        <v>0</v>
      </c>
      <c r="O64" s="15" t="n">
        <v>0</v>
      </c>
      <c r="P64" s="15" t="n">
        <v>0</v>
      </c>
      <c r="Q64" s="15" t="n">
        <v>0</v>
      </c>
      <c r="R64" s="15" t="n">
        <v>0</v>
      </c>
      <c r="S64" s="16" t="n">
        <v>1</v>
      </c>
      <c r="T64" s="15" t="n">
        <v>0</v>
      </c>
      <c r="U64" s="15" t="n">
        <v>0</v>
      </c>
      <c r="V64" s="15" t="n">
        <v>0</v>
      </c>
      <c r="W64" s="15" t="n">
        <v>0</v>
      </c>
      <c r="X64" s="15" t="n">
        <v>0</v>
      </c>
      <c r="Y64" s="15" t="n">
        <v>0</v>
      </c>
      <c r="Z64" s="15" t="n">
        <v>0</v>
      </c>
      <c r="AA64" s="15" t="n">
        <v>0</v>
      </c>
      <c r="AB64" s="15" t="n">
        <v>0</v>
      </c>
      <c r="AC64" s="17" t="n">
        <v>1</v>
      </c>
    </row>
    <row r="65" ht="15" customHeight="1">
      <c r="A65" s="15" t="n">
        <v>63</v>
      </c>
      <c r="B65" s="15" t="inlineStr">
        <is>
          <t>02851-2023</t>
        </is>
      </c>
      <c r="C65" s="15" t="inlineStr">
        <is>
          <t>Llamoja — SV de control (2021-2023)</t>
        </is>
      </c>
      <c r="D65" s="15" t="inlineStr">
        <is>
          <t>2025</t>
        </is>
      </c>
      <c r="E65" s="15" t="inlineStr">
        <is>
          <t>1SC</t>
        </is>
      </c>
      <c r="F65" s="15" t="n">
        <v>0</v>
      </c>
      <c r="G65" s="15" t="n">
        <v>0</v>
      </c>
      <c r="H65" s="15" t="n">
        <v>0</v>
      </c>
      <c r="I65" s="15" t="n">
        <v>0</v>
      </c>
      <c r="J65" s="15" t="n">
        <v>0</v>
      </c>
      <c r="K65" s="15" t="n">
        <v>0</v>
      </c>
      <c r="L65" s="15" t="n">
        <v>0</v>
      </c>
      <c r="M65" s="15" t="n">
        <v>0</v>
      </c>
      <c r="N65" s="15" t="n">
        <v>0</v>
      </c>
      <c r="O65" s="15" t="n">
        <v>0</v>
      </c>
      <c r="P65" s="15" t="n">
        <v>0</v>
      </c>
      <c r="Q65" s="15" t="n">
        <v>0</v>
      </c>
      <c r="R65" s="15" t="n">
        <v>0</v>
      </c>
      <c r="S65" s="15" t="n">
        <v>0</v>
      </c>
      <c r="T65" s="15" t="n">
        <v>0</v>
      </c>
      <c r="U65" s="15" t="n">
        <v>0</v>
      </c>
      <c r="V65" s="15" t="n">
        <v>0</v>
      </c>
      <c r="W65" s="15" t="n">
        <v>0</v>
      </c>
      <c r="X65" s="16" t="n">
        <v>1</v>
      </c>
      <c r="Y65" s="15" t="n">
        <v>0</v>
      </c>
      <c r="Z65" s="15" t="n">
        <v>0</v>
      </c>
      <c r="AA65" s="16" t="n">
        <v>1</v>
      </c>
      <c r="AB65" s="15" t="n">
        <v>0</v>
      </c>
      <c r="AC65" s="17" t="n">
        <v>2</v>
      </c>
    </row>
    <row r="66" ht="15" customHeight="1">
      <c r="A66" s="15" t="n">
        <v>64</v>
      </c>
      <c r="B66" s="15" t="inlineStr">
        <is>
          <t>02943-2016</t>
        </is>
      </c>
      <c r="C66" s="15" t="inlineStr">
        <is>
          <t>Pre-2019</t>
        </is>
      </c>
      <c r="D66" s="15" t="inlineStr">
        <is>
          <t>2018</t>
        </is>
      </c>
      <c r="E66" s="15" t="inlineStr">
        <is>
          <t>2SC</t>
        </is>
      </c>
      <c r="F66" s="15" t="n">
        <v>0</v>
      </c>
      <c r="G66" s="15" t="n">
        <v>0</v>
      </c>
      <c r="H66" s="15" t="n">
        <v>0</v>
      </c>
      <c r="I66" s="15" t="n">
        <v>0</v>
      </c>
      <c r="J66" s="15" t="n">
        <v>0</v>
      </c>
      <c r="K66" s="15" t="n">
        <v>0</v>
      </c>
      <c r="L66" s="15" t="n">
        <v>0</v>
      </c>
      <c r="M66" s="15" t="n">
        <v>0</v>
      </c>
      <c r="N66" s="15" t="n">
        <v>0</v>
      </c>
      <c r="O66" s="15" t="n">
        <v>0</v>
      </c>
      <c r="P66" s="15" t="n">
        <v>0</v>
      </c>
      <c r="Q66" s="15" t="n">
        <v>0</v>
      </c>
      <c r="R66" s="15" t="n">
        <v>0</v>
      </c>
      <c r="S66" s="15" t="n">
        <v>0</v>
      </c>
      <c r="T66" s="15" t="n">
        <v>0</v>
      </c>
      <c r="U66" s="16" t="n">
        <v>1</v>
      </c>
      <c r="V66" s="15" t="n">
        <v>0</v>
      </c>
      <c r="W66" s="15" t="n">
        <v>0</v>
      </c>
      <c r="X66" s="15" t="n">
        <v>0</v>
      </c>
      <c r="Y66" s="15" t="n">
        <v>0</v>
      </c>
      <c r="Z66" s="15" t="n">
        <v>0</v>
      </c>
      <c r="AA66" s="15" t="n">
        <v>0</v>
      </c>
      <c r="AB66" s="16" t="n">
        <v>1</v>
      </c>
      <c r="AC66" s="17" t="n">
        <v>2</v>
      </c>
    </row>
    <row r="67" ht="15" customHeight="1">
      <c r="A67" s="15" t="n">
        <v>65</v>
      </c>
      <c r="B67" s="15" t="inlineStr">
        <is>
          <t>02973-2022</t>
        </is>
      </c>
      <c r="C67" s="15" t="inlineStr">
        <is>
          <t>Llamoja — SV de control (2021-2023)</t>
        </is>
      </c>
      <c r="D67" s="15" t="inlineStr">
        <is>
          <t>2025</t>
        </is>
      </c>
      <c r="E67" s="15" t="inlineStr">
        <is>
          <t>2SC</t>
        </is>
      </c>
      <c r="F67" s="15" t="n">
        <v>0</v>
      </c>
      <c r="G67" s="15" t="n">
        <v>0</v>
      </c>
      <c r="H67" s="15" t="n">
        <v>0</v>
      </c>
      <c r="I67" s="15" t="n">
        <v>0</v>
      </c>
      <c r="J67" s="15" t="n">
        <v>0</v>
      </c>
      <c r="K67" s="15" t="n">
        <v>0</v>
      </c>
      <c r="L67" s="15" t="n">
        <v>0</v>
      </c>
      <c r="M67" s="15" t="n">
        <v>0</v>
      </c>
      <c r="N67" s="15" t="n">
        <v>0</v>
      </c>
      <c r="O67" s="15" t="n">
        <v>0</v>
      </c>
      <c r="P67" s="15" t="n">
        <v>0</v>
      </c>
      <c r="Q67" s="15" t="n">
        <v>0</v>
      </c>
      <c r="R67" s="15" t="n">
        <v>0</v>
      </c>
      <c r="S67" s="15" t="n">
        <v>0</v>
      </c>
      <c r="T67" s="15" t="n">
        <v>0</v>
      </c>
      <c r="U67" s="15" t="n">
        <v>0</v>
      </c>
      <c r="V67" s="15" t="n">
        <v>0</v>
      </c>
      <c r="W67" s="15" t="n">
        <v>0</v>
      </c>
      <c r="X67" s="15" t="n">
        <v>0</v>
      </c>
      <c r="Y67" s="15" t="n">
        <v>0</v>
      </c>
      <c r="Z67" s="16" t="n">
        <v>1</v>
      </c>
      <c r="AA67" s="15" t="n">
        <v>0</v>
      </c>
      <c r="AB67" s="15" t="n">
        <v>0</v>
      </c>
      <c r="AC67" s="17" t="n">
        <v>1</v>
      </c>
    </row>
    <row r="68" ht="15" customHeight="1">
      <c r="A68" s="15" t="n">
        <v>66</v>
      </c>
      <c r="B68" s="15" t="inlineStr">
        <is>
          <t>03228-2013</t>
        </is>
      </c>
      <c r="C68" s="15" t="inlineStr">
        <is>
          <t>Pre-2019</t>
        </is>
      </c>
      <c r="D68" s="15" t="inlineStr">
        <is>
          <t>2018</t>
        </is>
      </c>
      <c r="E68" s="15" t="inlineStr">
        <is>
          <t>2SC</t>
        </is>
      </c>
      <c r="F68" s="15" t="n">
        <v>0</v>
      </c>
      <c r="G68" s="15" t="n">
        <v>0</v>
      </c>
      <c r="H68" s="15" t="n">
        <v>0</v>
      </c>
      <c r="I68" s="15" t="n">
        <v>0</v>
      </c>
      <c r="J68" s="15" t="n">
        <v>0</v>
      </c>
      <c r="K68" s="15" t="n">
        <v>0</v>
      </c>
      <c r="L68" s="15" t="n">
        <v>0</v>
      </c>
      <c r="M68" s="15" t="n">
        <v>0</v>
      </c>
      <c r="N68" s="15" t="n">
        <v>0</v>
      </c>
      <c r="O68" s="15" t="n">
        <v>0</v>
      </c>
      <c r="P68" s="15" t="n">
        <v>0</v>
      </c>
      <c r="Q68" s="16" t="n">
        <v>1</v>
      </c>
      <c r="R68" s="15" t="n">
        <v>0</v>
      </c>
      <c r="S68" s="16" t="n">
        <v>1</v>
      </c>
      <c r="T68" s="15" t="n">
        <v>0</v>
      </c>
      <c r="U68" s="16" t="n">
        <v>1</v>
      </c>
      <c r="V68" s="15" t="n">
        <v>0</v>
      </c>
      <c r="W68" s="15" t="n">
        <v>0</v>
      </c>
      <c r="X68" s="15" t="n">
        <v>0</v>
      </c>
      <c r="Y68" s="15" t="n">
        <v>0</v>
      </c>
      <c r="Z68" s="15" t="n">
        <v>0</v>
      </c>
      <c r="AA68" s="15" t="n">
        <v>0</v>
      </c>
      <c r="AB68" s="15" t="n">
        <v>0</v>
      </c>
      <c r="AC68" s="17" t="n">
        <v>3</v>
      </c>
    </row>
    <row r="69" ht="15" customHeight="1">
      <c r="A69" s="15" t="n">
        <v>67</v>
      </c>
      <c r="B69" s="15" t="inlineStr">
        <is>
          <t>03393-2017</t>
        </is>
      </c>
      <c r="C69" s="15" t="inlineStr">
        <is>
          <t>Pre-2019</t>
        </is>
      </c>
      <c r="D69" s="15" t="inlineStr">
        <is>
          <t>2019</t>
        </is>
      </c>
      <c r="E69" s="15" t="inlineStr">
        <is>
          <t>2SC</t>
        </is>
      </c>
      <c r="F69" s="16" t="n">
        <v>1</v>
      </c>
      <c r="G69" s="16" t="n">
        <v>1</v>
      </c>
      <c r="H69" s="15" t="n">
        <v>0</v>
      </c>
      <c r="I69" s="15" t="n">
        <v>0</v>
      </c>
      <c r="J69" s="15" t="n">
        <v>0</v>
      </c>
      <c r="K69" s="15" t="n">
        <v>0</v>
      </c>
      <c r="L69" s="15" t="n">
        <v>0</v>
      </c>
      <c r="M69" s="15" t="n">
        <v>0</v>
      </c>
      <c r="N69" s="15" t="n">
        <v>0</v>
      </c>
      <c r="O69" s="15" t="n">
        <v>0</v>
      </c>
      <c r="P69" s="15" t="n">
        <v>0</v>
      </c>
      <c r="Q69" s="15" t="n">
        <v>0</v>
      </c>
      <c r="R69" s="15" t="n">
        <v>0</v>
      </c>
      <c r="S69" s="15" t="n">
        <v>0</v>
      </c>
      <c r="T69" s="15" t="n">
        <v>0</v>
      </c>
      <c r="U69" s="15" t="n">
        <v>0</v>
      </c>
      <c r="V69" s="15" t="n">
        <v>0</v>
      </c>
      <c r="W69" s="15" t="n">
        <v>0</v>
      </c>
      <c r="X69" s="15" t="n">
        <v>0</v>
      </c>
      <c r="Y69" s="15" t="n">
        <v>0</v>
      </c>
      <c r="Z69" s="15" t="n">
        <v>0</v>
      </c>
      <c r="AA69" s="15" t="n">
        <v>0</v>
      </c>
      <c r="AB69" s="15" t="n">
        <v>0</v>
      </c>
      <c r="AC69" s="17" t="n">
        <v>2</v>
      </c>
    </row>
    <row r="70" ht="15" customHeight="1">
      <c r="A70" s="15" t="n">
        <v>68</v>
      </c>
      <c r="B70" s="15" t="inlineStr">
        <is>
          <t>03566-2011</t>
        </is>
      </c>
      <c r="C70" s="15" t="inlineStr">
        <is>
          <t>Pre-2019</t>
        </is>
      </c>
      <c r="D70" s="15" t="inlineStr">
        <is>
          <t>2018</t>
        </is>
      </c>
      <c r="E70" s="15" t="inlineStr">
        <is>
          <t>3SC</t>
        </is>
      </c>
      <c r="F70" s="15" t="n">
        <v>0</v>
      </c>
      <c r="G70" s="15" t="n">
        <v>0</v>
      </c>
      <c r="H70" s="15" t="n">
        <v>0</v>
      </c>
      <c r="I70" s="15" t="n">
        <v>0</v>
      </c>
      <c r="J70" s="15" t="n">
        <v>0</v>
      </c>
      <c r="K70" s="15" t="n">
        <v>0</v>
      </c>
      <c r="L70" s="15" t="n">
        <v>0</v>
      </c>
      <c r="M70" s="15" t="n">
        <v>0</v>
      </c>
      <c r="N70" s="15" t="n">
        <v>0</v>
      </c>
      <c r="O70" s="15" t="n">
        <v>0</v>
      </c>
      <c r="P70" s="15" t="n">
        <v>0</v>
      </c>
      <c r="Q70" s="16" t="n">
        <v>1</v>
      </c>
      <c r="R70" s="15" t="n">
        <v>0</v>
      </c>
      <c r="S70" s="15" t="n">
        <v>0</v>
      </c>
      <c r="T70" s="15" t="n">
        <v>0</v>
      </c>
      <c r="U70" s="15" t="n">
        <v>0</v>
      </c>
      <c r="V70" s="15" t="n">
        <v>0</v>
      </c>
      <c r="W70" s="15" t="n">
        <v>0</v>
      </c>
      <c r="X70" s="15" t="n">
        <v>0</v>
      </c>
      <c r="Y70" s="15" t="n">
        <v>0</v>
      </c>
      <c r="Z70" s="15" t="n">
        <v>0</v>
      </c>
      <c r="AA70" s="15" t="n">
        <v>0</v>
      </c>
      <c r="AB70" s="15" t="n">
        <v>0</v>
      </c>
      <c r="AC70" s="17" t="n">
        <v>1</v>
      </c>
    </row>
    <row r="71" ht="15" customHeight="1">
      <c r="A71" s="15" t="n">
        <v>69</v>
      </c>
      <c r="B71" s="15" t="inlineStr">
        <is>
          <t>03672-2013</t>
        </is>
      </c>
      <c r="C71" s="15" t="inlineStr">
        <is>
          <t>Pre-2019</t>
        </is>
      </c>
      <c r="D71" s="15" t="inlineStr">
        <is>
          <t>2019</t>
        </is>
      </c>
      <c r="E71" s="15" t="inlineStr">
        <is>
          <t>2SC</t>
        </is>
      </c>
      <c r="F71" s="15" t="n">
        <v>0</v>
      </c>
      <c r="G71" s="15" t="n">
        <v>0</v>
      </c>
      <c r="H71" s="15" t="n">
        <v>0</v>
      </c>
      <c r="I71" s="15" t="n">
        <v>0</v>
      </c>
      <c r="J71" s="15" t="n">
        <v>0</v>
      </c>
      <c r="K71" s="15" t="n">
        <v>0</v>
      </c>
      <c r="L71" s="15" t="n">
        <v>0</v>
      </c>
      <c r="M71" s="15" t="n">
        <v>0</v>
      </c>
      <c r="N71" s="15" t="n">
        <v>0</v>
      </c>
      <c r="O71" s="15" t="n">
        <v>0</v>
      </c>
      <c r="P71" s="15" t="n">
        <v>0</v>
      </c>
      <c r="Q71" s="15" t="n">
        <v>0</v>
      </c>
      <c r="R71" s="15" t="n">
        <v>0</v>
      </c>
      <c r="S71" s="15" t="n">
        <v>0</v>
      </c>
      <c r="T71" s="15" t="n">
        <v>0</v>
      </c>
      <c r="U71" s="15" t="n">
        <v>0</v>
      </c>
      <c r="V71" s="15" t="n">
        <v>0</v>
      </c>
      <c r="W71" s="15" t="n">
        <v>0</v>
      </c>
      <c r="X71" s="15" t="n">
        <v>0</v>
      </c>
      <c r="Y71" s="15" t="n">
        <v>0</v>
      </c>
      <c r="Z71" s="15" t="n">
        <v>0</v>
      </c>
      <c r="AA71" s="15" t="n">
        <v>0</v>
      </c>
      <c r="AB71" s="15" t="n">
        <v>0</v>
      </c>
      <c r="AC71" s="15" t="n">
        <v>0</v>
      </c>
    </row>
    <row r="72" ht="15" customHeight="1">
      <c r="A72" s="15" t="n">
        <v>70</v>
      </c>
      <c r="B72" s="15" t="inlineStr">
        <is>
          <t>03701-2023</t>
        </is>
      </c>
      <c r="C72" s="15" t="inlineStr">
        <is>
          <t>2024</t>
        </is>
      </c>
      <c r="D72" s="15" t="inlineStr">
        <is>
          <t>2025</t>
        </is>
      </c>
      <c r="E72" s="15" t="inlineStr">
        <is>
          <t>3SC</t>
        </is>
      </c>
      <c r="F72" s="15" t="n">
        <v>0</v>
      </c>
      <c r="G72" s="15" t="n">
        <v>0</v>
      </c>
      <c r="H72" s="15" t="n">
        <v>0</v>
      </c>
      <c r="I72" s="15" t="n">
        <v>0</v>
      </c>
      <c r="J72" s="15" t="n">
        <v>0</v>
      </c>
      <c r="K72" s="15" t="n">
        <v>0</v>
      </c>
      <c r="L72" s="15" t="n">
        <v>0</v>
      </c>
      <c r="M72" s="15" t="n">
        <v>0</v>
      </c>
      <c r="N72" s="15" t="n">
        <v>0</v>
      </c>
      <c r="O72" s="15" t="n">
        <v>0</v>
      </c>
      <c r="P72" s="15" t="n">
        <v>0</v>
      </c>
      <c r="Q72" s="16" t="n">
        <v>1</v>
      </c>
      <c r="R72" s="15" t="n">
        <v>0</v>
      </c>
      <c r="S72" s="15" t="n">
        <v>0</v>
      </c>
      <c r="T72" s="15" t="n">
        <v>0</v>
      </c>
      <c r="U72" s="15" t="n">
        <v>0</v>
      </c>
      <c r="V72" s="15" t="n">
        <v>0</v>
      </c>
      <c r="W72" s="15" t="n">
        <v>0</v>
      </c>
      <c r="X72" s="15" t="n">
        <v>0</v>
      </c>
      <c r="Y72" s="15" t="n">
        <v>0</v>
      </c>
      <c r="Z72" s="15" t="n">
        <v>0</v>
      </c>
      <c r="AA72" s="15" t="n">
        <v>0</v>
      </c>
      <c r="AB72" s="16" t="n">
        <v>1</v>
      </c>
      <c r="AC72" s="17" t="n">
        <v>2</v>
      </c>
    </row>
    <row r="73" ht="15" customHeight="1">
      <c r="A73" s="15" t="n">
        <v>71</v>
      </c>
      <c r="B73" s="15" t="inlineStr">
        <is>
          <t>03731-2015</t>
        </is>
      </c>
      <c r="C73" s="15" t="inlineStr">
        <is>
          <t>Matriz sumarísimos — anteriores a 2019</t>
        </is>
      </c>
      <c r="D73" s="15" t="inlineStr">
        <is>
          <t>2018</t>
        </is>
      </c>
      <c r="E73" s="15" t="inlineStr">
        <is>
          <t>1SC</t>
        </is>
      </c>
      <c r="F73" s="15" t="n">
        <v>0</v>
      </c>
      <c r="G73" s="15" t="n">
        <v>0</v>
      </c>
      <c r="H73" s="15" t="n">
        <v>0</v>
      </c>
      <c r="I73" s="15" t="n">
        <v>0</v>
      </c>
      <c r="J73" s="15" t="n">
        <v>0</v>
      </c>
      <c r="K73" s="15" t="n">
        <v>0</v>
      </c>
      <c r="L73" s="15" t="n">
        <v>0</v>
      </c>
      <c r="M73" s="15" t="n">
        <v>0</v>
      </c>
      <c r="N73" s="15" t="n">
        <v>0</v>
      </c>
      <c r="O73" s="15" t="n">
        <v>0</v>
      </c>
      <c r="P73" s="15" t="n">
        <v>0</v>
      </c>
      <c r="Q73" s="15" t="n">
        <v>0</v>
      </c>
      <c r="R73" s="15" t="n">
        <v>0</v>
      </c>
      <c r="S73" s="15" t="n">
        <v>0</v>
      </c>
      <c r="T73" s="15" t="n">
        <v>0</v>
      </c>
      <c r="U73" s="15" t="n">
        <v>0</v>
      </c>
      <c r="V73" s="15" t="n">
        <v>0</v>
      </c>
      <c r="W73" s="15" t="n">
        <v>0</v>
      </c>
      <c r="X73" s="15" t="n">
        <v>0</v>
      </c>
      <c r="Y73" s="15" t="n">
        <v>0</v>
      </c>
      <c r="Z73" s="15" t="n">
        <v>0</v>
      </c>
      <c r="AA73" s="16" t="n">
        <v>1</v>
      </c>
      <c r="AB73" s="15" t="n">
        <v>0</v>
      </c>
      <c r="AC73" s="17" t="n">
        <v>1</v>
      </c>
    </row>
    <row r="74" ht="15" customHeight="1">
      <c r="A74" s="15" t="n">
        <v>72</v>
      </c>
      <c r="B74" s="15" t="inlineStr">
        <is>
          <t>03754-2015</t>
        </is>
      </c>
      <c r="C74" s="15" t="inlineStr">
        <is>
          <t>Matriz sumarísimos — anteriores a 2019</t>
        </is>
      </c>
      <c r="D74" s="15" t="n"/>
      <c r="E74" s="15" t="n"/>
      <c r="F74" s="15" t="n">
        <v>0</v>
      </c>
      <c r="G74" s="15" t="n">
        <v>0</v>
      </c>
      <c r="H74" s="15" t="n">
        <v>0</v>
      </c>
      <c r="I74" s="15" t="n">
        <v>0</v>
      </c>
      <c r="J74" s="15" t="n">
        <v>0</v>
      </c>
      <c r="K74" s="15" t="n">
        <v>0</v>
      </c>
      <c r="L74" s="15" t="n">
        <v>0</v>
      </c>
      <c r="M74" s="15" t="n">
        <v>0</v>
      </c>
      <c r="N74" s="15" t="n">
        <v>0</v>
      </c>
      <c r="O74" s="15" t="n">
        <v>0</v>
      </c>
      <c r="P74" s="15" t="n">
        <v>0</v>
      </c>
      <c r="Q74" s="15" t="n">
        <v>0</v>
      </c>
      <c r="R74" s="15" t="n">
        <v>0</v>
      </c>
      <c r="S74" s="15" t="n">
        <v>0</v>
      </c>
      <c r="T74" s="15" t="n">
        <v>0</v>
      </c>
      <c r="U74" s="15" t="n">
        <v>0</v>
      </c>
      <c r="V74" s="15" t="n">
        <v>0</v>
      </c>
      <c r="W74" s="15" t="n">
        <v>0</v>
      </c>
      <c r="X74" s="15" t="n">
        <v>0</v>
      </c>
      <c r="Y74" s="15" t="n">
        <v>0</v>
      </c>
      <c r="Z74" s="15" t="n">
        <v>0</v>
      </c>
      <c r="AA74" s="15" t="n">
        <v>0</v>
      </c>
      <c r="AB74" s="15" t="n">
        <v>0</v>
      </c>
      <c r="AC74" s="15" t="n">
        <v>0</v>
      </c>
    </row>
    <row r="75" ht="15" customHeight="1">
      <c r="A75" s="15" t="n">
        <v>73</v>
      </c>
      <c r="B75" s="15" t="inlineStr">
        <is>
          <t>03770-2019</t>
        </is>
      </c>
      <c r="C75" s="15" t="inlineStr">
        <is>
          <t>Llamoja — SV de control (2021-2023)</t>
        </is>
      </c>
      <c r="D75" s="15" t="inlineStr">
        <is>
          <t>2024</t>
        </is>
      </c>
      <c r="E75" s="15" t="inlineStr">
        <is>
          <t>1SC</t>
        </is>
      </c>
      <c r="F75" s="15" t="n">
        <v>0</v>
      </c>
      <c r="G75" s="15" t="n">
        <v>0</v>
      </c>
      <c r="H75" s="15" t="n">
        <v>0</v>
      </c>
      <c r="I75" s="15" t="n">
        <v>0</v>
      </c>
      <c r="J75" s="15" t="n">
        <v>0</v>
      </c>
      <c r="K75" s="15" t="n">
        <v>0</v>
      </c>
      <c r="L75" s="16" t="n">
        <v>1</v>
      </c>
      <c r="M75" s="15" t="n">
        <v>0</v>
      </c>
      <c r="N75" s="15" t="n">
        <v>0</v>
      </c>
      <c r="O75" s="15" t="n">
        <v>0</v>
      </c>
      <c r="P75" s="15" t="n">
        <v>0</v>
      </c>
      <c r="Q75" s="15" t="n">
        <v>0</v>
      </c>
      <c r="R75" s="15" t="n">
        <v>0</v>
      </c>
      <c r="S75" s="15" t="n">
        <v>0</v>
      </c>
      <c r="T75" s="15" t="n">
        <v>0</v>
      </c>
      <c r="U75" s="15" t="n">
        <v>0</v>
      </c>
      <c r="V75" s="15" t="n">
        <v>0</v>
      </c>
      <c r="W75" s="15" t="n">
        <v>0</v>
      </c>
      <c r="X75" s="15" t="n">
        <v>0</v>
      </c>
      <c r="Y75" s="15" t="n">
        <v>0</v>
      </c>
      <c r="Z75" s="15" t="n">
        <v>0</v>
      </c>
      <c r="AA75" s="16" t="n">
        <v>1</v>
      </c>
      <c r="AB75" s="15" t="n">
        <v>0</v>
      </c>
      <c r="AC75" s="17" t="n">
        <v>2</v>
      </c>
    </row>
    <row r="76" ht="15" customHeight="1">
      <c r="A76" s="15" t="n">
        <v>74</v>
      </c>
      <c r="B76" s="15" t="inlineStr">
        <is>
          <t>03819-2022</t>
        </is>
      </c>
      <c r="C76" s="15" t="inlineStr">
        <is>
          <t>Matriz sumarísimos — grupo 2024</t>
        </is>
      </c>
      <c r="D76" s="15" t="inlineStr">
        <is>
          <t>2024</t>
        </is>
      </c>
      <c r="E76" s="15" t="inlineStr">
        <is>
          <t>2SC</t>
        </is>
      </c>
      <c r="F76" s="15" t="n">
        <v>0</v>
      </c>
      <c r="G76" s="15" t="n">
        <v>0</v>
      </c>
      <c r="H76" s="15" t="n">
        <v>0</v>
      </c>
      <c r="I76" s="15" t="n">
        <v>0</v>
      </c>
      <c r="J76" s="15" t="n">
        <v>0</v>
      </c>
      <c r="K76" s="15" t="n">
        <v>0</v>
      </c>
      <c r="L76" s="15" t="n">
        <v>0</v>
      </c>
      <c r="M76" s="15" t="n">
        <v>0</v>
      </c>
      <c r="N76" s="15" t="n">
        <v>0</v>
      </c>
      <c r="O76" s="15" t="n">
        <v>0</v>
      </c>
      <c r="P76" s="15" t="n">
        <v>0</v>
      </c>
      <c r="Q76" s="16" t="n">
        <v>1</v>
      </c>
      <c r="R76" s="15" t="n">
        <v>0</v>
      </c>
      <c r="S76" s="15" t="n">
        <v>0</v>
      </c>
      <c r="T76" s="15" t="n">
        <v>0</v>
      </c>
      <c r="U76" s="15" t="n">
        <v>0</v>
      </c>
      <c r="V76" s="15" t="n">
        <v>0</v>
      </c>
      <c r="W76" s="15" t="n">
        <v>0</v>
      </c>
      <c r="X76" s="15" t="n">
        <v>0</v>
      </c>
      <c r="Y76" s="15" t="n">
        <v>0</v>
      </c>
      <c r="Z76" s="15" t="n">
        <v>0</v>
      </c>
      <c r="AA76" s="15" t="n">
        <v>0</v>
      </c>
      <c r="AB76" s="16" t="n">
        <v>1</v>
      </c>
      <c r="AC76" s="17" t="n">
        <v>2</v>
      </c>
    </row>
    <row r="77" ht="15" customHeight="1">
      <c r="A77" s="15" t="n">
        <v>75</v>
      </c>
      <c r="B77" s="15" t="inlineStr">
        <is>
          <t>03996-2023</t>
        </is>
      </c>
      <c r="C77" s="15" t="inlineStr">
        <is>
          <t>Llamoja — SV de control (2021-2023)</t>
        </is>
      </c>
      <c r="D77" s="15" t="inlineStr">
        <is>
          <t>2025</t>
        </is>
      </c>
      <c r="E77" s="15" t="inlineStr">
        <is>
          <t>1SC</t>
        </is>
      </c>
      <c r="F77" s="15" t="n">
        <v>0</v>
      </c>
      <c r="G77" s="15" t="n">
        <v>0</v>
      </c>
      <c r="H77" s="15" t="n">
        <v>0</v>
      </c>
      <c r="I77" s="15" t="n">
        <v>0</v>
      </c>
      <c r="J77" s="15" t="n">
        <v>0</v>
      </c>
      <c r="K77" s="16" t="n">
        <v>1</v>
      </c>
      <c r="L77" s="15" t="n">
        <v>0</v>
      </c>
      <c r="M77" s="15" t="n">
        <v>0</v>
      </c>
      <c r="N77" s="16" t="n">
        <v>1</v>
      </c>
      <c r="O77" s="15" t="n">
        <v>0</v>
      </c>
      <c r="P77" s="15" t="n">
        <v>0</v>
      </c>
      <c r="Q77" s="15" t="n">
        <v>0</v>
      </c>
      <c r="R77" s="15" t="n">
        <v>0</v>
      </c>
      <c r="S77" s="15" t="n">
        <v>0</v>
      </c>
      <c r="T77" s="15" t="n">
        <v>0</v>
      </c>
      <c r="U77" s="15" t="n">
        <v>0</v>
      </c>
      <c r="V77" s="15" t="n">
        <v>0</v>
      </c>
      <c r="W77" s="15" t="n">
        <v>0</v>
      </c>
      <c r="X77" s="15" t="n">
        <v>0</v>
      </c>
      <c r="Y77" s="15" t="n">
        <v>0</v>
      </c>
      <c r="Z77" s="15" t="n">
        <v>0</v>
      </c>
      <c r="AA77" s="15" t="n">
        <v>0</v>
      </c>
      <c r="AB77" s="15" t="n">
        <v>0</v>
      </c>
      <c r="AC77" s="17" t="n">
        <v>2</v>
      </c>
    </row>
    <row r="78" ht="15" customHeight="1">
      <c r="A78" s="15" t="n">
        <v>76</v>
      </c>
      <c r="B78" s="15" t="inlineStr">
        <is>
          <t>04008-2010</t>
        </is>
      </c>
      <c r="C78" s="15" t="inlineStr">
        <is>
          <t>Pre-2019</t>
        </is>
      </c>
      <c r="D78" s="15" t="inlineStr">
        <is>
          <t>2019</t>
        </is>
      </c>
      <c r="E78" s="15" t="inlineStr">
        <is>
          <t>2SC</t>
        </is>
      </c>
      <c r="F78" s="15" t="n">
        <v>0</v>
      </c>
      <c r="G78" s="15" t="n">
        <v>0</v>
      </c>
      <c r="H78" s="15" t="n">
        <v>0</v>
      </c>
      <c r="I78" s="15" t="n">
        <v>0</v>
      </c>
      <c r="J78" s="15" t="n">
        <v>0</v>
      </c>
      <c r="K78" s="15" t="n">
        <v>0</v>
      </c>
      <c r="L78" s="15" t="n">
        <v>0</v>
      </c>
      <c r="M78" s="15" t="n">
        <v>0</v>
      </c>
      <c r="N78" s="16" t="n">
        <v>1</v>
      </c>
      <c r="O78" s="16" t="n">
        <v>1</v>
      </c>
      <c r="P78" s="15" t="n">
        <v>0</v>
      </c>
      <c r="Q78" s="15" t="n">
        <v>0</v>
      </c>
      <c r="R78" s="15" t="n">
        <v>0</v>
      </c>
      <c r="S78" s="15" t="n">
        <v>0</v>
      </c>
      <c r="T78" s="15" t="n">
        <v>0</v>
      </c>
      <c r="U78" s="15" t="n">
        <v>0</v>
      </c>
      <c r="V78" s="15" t="n">
        <v>0</v>
      </c>
      <c r="W78" s="15" t="n">
        <v>0</v>
      </c>
      <c r="X78" s="15" t="n">
        <v>0</v>
      </c>
      <c r="Y78" s="15" t="n">
        <v>0</v>
      </c>
      <c r="Z78" s="15" t="n">
        <v>0</v>
      </c>
      <c r="AA78" s="15" t="n">
        <v>0</v>
      </c>
      <c r="AB78" s="15" t="n">
        <v>0</v>
      </c>
      <c r="AC78" s="17" t="n">
        <v>2</v>
      </c>
    </row>
    <row r="79" ht="15" customHeight="1">
      <c r="A79" s="15" t="n">
        <v>77</v>
      </c>
      <c r="B79" s="15" t="inlineStr">
        <is>
          <t>04033-2016</t>
        </is>
      </c>
      <c r="C79" s="15" t="inlineStr">
        <is>
          <t>Matriz sumarísimos — anteriores a 2019</t>
        </is>
      </c>
      <c r="D79" s="15" t="inlineStr">
        <is>
          <t>2018</t>
        </is>
      </c>
      <c r="E79" s="15" t="inlineStr">
        <is>
          <t>1SC</t>
        </is>
      </c>
      <c r="F79" s="15" t="n">
        <v>0</v>
      </c>
      <c r="G79" s="15" t="n">
        <v>0</v>
      </c>
      <c r="H79" s="15" t="n">
        <v>0</v>
      </c>
      <c r="I79" s="15" t="n">
        <v>0</v>
      </c>
      <c r="J79" s="15" t="n">
        <v>0</v>
      </c>
      <c r="K79" s="15" t="n">
        <v>0</v>
      </c>
      <c r="L79" s="15" t="n">
        <v>0</v>
      </c>
      <c r="M79" s="15" t="n">
        <v>0</v>
      </c>
      <c r="N79" s="15" t="n">
        <v>0</v>
      </c>
      <c r="O79" s="15" t="n">
        <v>0</v>
      </c>
      <c r="P79" s="15" t="n">
        <v>0</v>
      </c>
      <c r="Q79" s="15" t="n">
        <v>0</v>
      </c>
      <c r="R79" s="15" t="n">
        <v>0</v>
      </c>
      <c r="S79" s="16" t="n">
        <v>1</v>
      </c>
      <c r="T79" s="15" t="n">
        <v>0</v>
      </c>
      <c r="U79" s="15" t="n">
        <v>0</v>
      </c>
      <c r="V79" s="15" t="n">
        <v>0</v>
      </c>
      <c r="W79" s="15" t="n">
        <v>0</v>
      </c>
      <c r="X79" s="15" t="n">
        <v>0</v>
      </c>
      <c r="Y79" s="15" t="n">
        <v>0</v>
      </c>
      <c r="Z79" s="15" t="n">
        <v>0</v>
      </c>
      <c r="AA79" s="15" t="n">
        <v>0</v>
      </c>
      <c r="AB79" s="15" t="n">
        <v>0</v>
      </c>
      <c r="AC79" s="17" t="n">
        <v>1</v>
      </c>
    </row>
    <row r="80" ht="15" customHeight="1">
      <c r="A80" s="15" t="n">
        <v>78</v>
      </c>
      <c r="B80" s="15" t="inlineStr">
        <is>
          <t>04034-2022</t>
        </is>
      </c>
      <c r="C80" s="15" t="inlineStr">
        <is>
          <t>Llamoja — SV de control (2021-2023)</t>
        </is>
      </c>
      <c r="D80" s="15" t="inlineStr">
        <is>
          <t>2025</t>
        </is>
      </c>
      <c r="E80" s="15" t="inlineStr">
        <is>
          <t>2SC</t>
        </is>
      </c>
      <c r="F80" s="15" t="n">
        <v>0</v>
      </c>
      <c r="G80" s="15" t="n">
        <v>0</v>
      </c>
      <c r="H80" s="15" t="n">
        <v>0</v>
      </c>
      <c r="I80" s="15" t="n">
        <v>0</v>
      </c>
      <c r="J80" s="15" t="n">
        <v>0</v>
      </c>
      <c r="K80" s="15" t="n">
        <v>0</v>
      </c>
      <c r="L80" s="15" t="n">
        <v>0</v>
      </c>
      <c r="M80" s="15" t="n">
        <v>0</v>
      </c>
      <c r="N80" s="15" t="n">
        <v>0</v>
      </c>
      <c r="O80" s="15" t="n">
        <v>0</v>
      </c>
      <c r="P80" s="15" t="n">
        <v>0</v>
      </c>
      <c r="Q80" s="15" t="n">
        <v>0</v>
      </c>
      <c r="R80" s="16" t="n">
        <v>1</v>
      </c>
      <c r="S80" s="15" t="n">
        <v>0</v>
      </c>
      <c r="T80" s="15" t="n">
        <v>0</v>
      </c>
      <c r="U80" s="15" t="n">
        <v>0</v>
      </c>
      <c r="V80" s="15" t="n">
        <v>0</v>
      </c>
      <c r="W80" s="15" t="n">
        <v>0</v>
      </c>
      <c r="X80" s="15" t="n">
        <v>0</v>
      </c>
      <c r="Y80" s="15" t="n">
        <v>0</v>
      </c>
      <c r="Z80" s="15" t="n">
        <v>0</v>
      </c>
      <c r="AA80" s="15" t="n">
        <v>0</v>
      </c>
      <c r="AB80" s="15" t="n">
        <v>0</v>
      </c>
      <c r="AC80" s="17" t="n">
        <v>1</v>
      </c>
    </row>
    <row r="81" ht="15" customHeight="1">
      <c r="A81" s="15" t="n">
        <v>79</v>
      </c>
      <c r="B81" s="15" t="inlineStr">
        <is>
          <t>04040-2015</t>
        </is>
      </c>
      <c r="C81" s="15" t="inlineStr">
        <is>
          <t>Pre-2019</t>
        </is>
      </c>
      <c r="D81" s="15" t="inlineStr">
        <is>
          <t>2019</t>
        </is>
      </c>
      <c r="E81" s="15" t="inlineStr">
        <is>
          <t>2SC</t>
        </is>
      </c>
      <c r="F81" s="15" t="n">
        <v>0</v>
      </c>
      <c r="G81" s="15" t="n">
        <v>0</v>
      </c>
      <c r="H81" s="15" t="n">
        <v>0</v>
      </c>
      <c r="I81" s="15" t="n">
        <v>0</v>
      </c>
      <c r="J81" s="15" t="n">
        <v>0</v>
      </c>
      <c r="K81" s="15" t="n">
        <v>0</v>
      </c>
      <c r="L81" s="15" t="n">
        <v>0</v>
      </c>
      <c r="M81" s="15" t="n">
        <v>0</v>
      </c>
      <c r="N81" s="15" t="n">
        <v>0</v>
      </c>
      <c r="O81" s="15" t="n">
        <v>0</v>
      </c>
      <c r="P81" s="15" t="n">
        <v>0</v>
      </c>
      <c r="Q81" s="15" t="n">
        <v>0</v>
      </c>
      <c r="R81" s="16" t="n">
        <v>1</v>
      </c>
      <c r="S81" s="15" t="n">
        <v>0</v>
      </c>
      <c r="T81" s="15" t="n">
        <v>0</v>
      </c>
      <c r="U81" s="15" t="n">
        <v>0</v>
      </c>
      <c r="V81" s="15" t="n">
        <v>0</v>
      </c>
      <c r="W81" s="15" t="n">
        <v>0</v>
      </c>
      <c r="X81" s="15" t="n">
        <v>0</v>
      </c>
      <c r="Y81" s="15" t="n">
        <v>0</v>
      </c>
      <c r="Z81" s="15" t="n">
        <v>0</v>
      </c>
      <c r="AA81" s="15" t="n">
        <v>0</v>
      </c>
      <c r="AB81" s="15" t="n">
        <v>0</v>
      </c>
      <c r="AC81" s="17" t="n">
        <v>1</v>
      </c>
    </row>
    <row r="82" ht="15" customHeight="1">
      <c r="A82" s="15" t="n">
        <v>80</v>
      </c>
      <c r="B82" s="15" t="inlineStr">
        <is>
          <t>04049-2015</t>
        </is>
      </c>
      <c r="C82" s="15" t="inlineStr">
        <is>
          <t>Matriz sumarísimos — anteriores a 2019</t>
        </is>
      </c>
      <c r="D82" s="15" t="inlineStr">
        <is>
          <t>2019</t>
        </is>
      </c>
      <c r="E82" s="15" t="inlineStr">
        <is>
          <t>2SC</t>
        </is>
      </c>
      <c r="F82" s="15" t="n">
        <v>0</v>
      </c>
      <c r="G82" s="15" t="n">
        <v>0</v>
      </c>
      <c r="H82" s="15" t="n">
        <v>0</v>
      </c>
      <c r="I82" s="15" t="n">
        <v>0</v>
      </c>
      <c r="J82" s="15" t="n">
        <v>0</v>
      </c>
      <c r="K82" s="15" t="n">
        <v>0</v>
      </c>
      <c r="L82" s="15" t="n">
        <v>0</v>
      </c>
      <c r="M82" s="15" t="n">
        <v>0</v>
      </c>
      <c r="N82" s="15" t="n">
        <v>0</v>
      </c>
      <c r="O82" s="15" t="n">
        <v>0</v>
      </c>
      <c r="P82" s="15" t="n">
        <v>0</v>
      </c>
      <c r="Q82" s="16" t="n">
        <v>1</v>
      </c>
      <c r="R82" s="15" t="n">
        <v>0</v>
      </c>
      <c r="S82" s="15" t="n">
        <v>0</v>
      </c>
      <c r="T82" s="15" t="n">
        <v>0</v>
      </c>
      <c r="U82" s="15" t="n">
        <v>0</v>
      </c>
      <c r="V82" s="15" t="n">
        <v>0</v>
      </c>
      <c r="W82" s="15" t="n">
        <v>0</v>
      </c>
      <c r="X82" s="15" t="n">
        <v>0</v>
      </c>
      <c r="Y82" s="15" t="n">
        <v>0</v>
      </c>
      <c r="Z82" s="15" t="n">
        <v>0</v>
      </c>
      <c r="AA82" s="15" t="n">
        <v>0</v>
      </c>
      <c r="AB82" s="15" t="n">
        <v>0</v>
      </c>
      <c r="AC82" s="17" t="n">
        <v>1</v>
      </c>
    </row>
    <row r="83" ht="15" customHeight="1">
      <c r="A83" s="15" t="n">
        <v>81</v>
      </c>
      <c r="B83" s="15" t="inlineStr">
        <is>
          <t>04109-2011</t>
        </is>
      </c>
      <c r="C83" s="15" t="inlineStr">
        <is>
          <t>Matriz sumarísimos — anteriores a 2019</t>
        </is>
      </c>
      <c r="D83" s="15" t="inlineStr">
        <is>
          <t>2019</t>
        </is>
      </c>
      <c r="E83" s="15" t="inlineStr">
        <is>
          <t>2SC</t>
        </is>
      </c>
      <c r="F83" s="15" t="n">
        <v>0</v>
      </c>
      <c r="G83" s="16" t="n">
        <v>1</v>
      </c>
      <c r="H83" s="15" t="n">
        <v>0</v>
      </c>
      <c r="I83" s="15" t="n">
        <v>0</v>
      </c>
      <c r="J83" s="15" t="n">
        <v>0</v>
      </c>
      <c r="K83" s="15" t="n">
        <v>0</v>
      </c>
      <c r="L83" s="15" t="n">
        <v>0</v>
      </c>
      <c r="M83" s="15" t="n">
        <v>0</v>
      </c>
      <c r="N83" s="15" t="n">
        <v>0</v>
      </c>
      <c r="O83" s="15" t="n">
        <v>0</v>
      </c>
      <c r="P83" s="15" t="n">
        <v>0</v>
      </c>
      <c r="Q83" s="15" t="n">
        <v>0</v>
      </c>
      <c r="R83" s="16" t="n">
        <v>1</v>
      </c>
      <c r="S83" s="15" t="n">
        <v>0</v>
      </c>
      <c r="T83" s="15" t="n">
        <v>0</v>
      </c>
      <c r="U83" s="15" t="n">
        <v>0</v>
      </c>
      <c r="V83" s="15" t="n">
        <v>0</v>
      </c>
      <c r="W83" s="15" t="n">
        <v>0</v>
      </c>
      <c r="X83" s="15" t="n">
        <v>0</v>
      </c>
      <c r="Y83" s="15" t="n">
        <v>0</v>
      </c>
      <c r="Z83" s="15" t="n">
        <v>0</v>
      </c>
      <c r="AA83" s="15" t="n">
        <v>0</v>
      </c>
      <c r="AB83" s="15" t="n">
        <v>0</v>
      </c>
      <c r="AC83" s="17" t="n">
        <v>2</v>
      </c>
    </row>
    <row r="84" ht="15" customHeight="1">
      <c r="A84" s="15" t="n">
        <v>82</v>
      </c>
      <c r="B84" s="15" t="inlineStr">
        <is>
          <t>04126-2021</t>
        </is>
      </c>
      <c r="C84" s="15" t="inlineStr">
        <is>
          <t>2024</t>
        </is>
      </c>
      <c r="D84" s="15" t="inlineStr">
        <is>
          <t>2024</t>
        </is>
      </c>
      <c r="E84" s="15" t="inlineStr">
        <is>
          <t>1SC</t>
        </is>
      </c>
      <c r="F84" s="15" t="n">
        <v>0</v>
      </c>
      <c r="G84" s="15" t="n">
        <v>0</v>
      </c>
      <c r="H84" s="15" t="n">
        <v>0</v>
      </c>
      <c r="I84" s="15" t="n">
        <v>0</v>
      </c>
      <c r="J84" s="15" t="n">
        <v>0</v>
      </c>
      <c r="K84" s="15" t="n">
        <v>0</v>
      </c>
      <c r="L84" s="15" t="n">
        <v>0</v>
      </c>
      <c r="M84" s="15" t="n">
        <v>0</v>
      </c>
      <c r="N84" s="15" t="n">
        <v>0</v>
      </c>
      <c r="O84" s="15" t="n">
        <v>0</v>
      </c>
      <c r="P84" s="15" t="n">
        <v>0</v>
      </c>
      <c r="Q84" s="15" t="n">
        <v>0</v>
      </c>
      <c r="R84" s="15" t="n">
        <v>0</v>
      </c>
      <c r="S84" s="15" t="n">
        <v>0</v>
      </c>
      <c r="T84" s="15" t="n">
        <v>0</v>
      </c>
      <c r="U84" s="16" t="n">
        <v>1</v>
      </c>
      <c r="V84" s="15" t="n">
        <v>0</v>
      </c>
      <c r="W84" s="15" t="n">
        <v>0</v>
      </c>
      <c r="X84" s="15" t="n">
        <v>0</v>
      </c>
      <c r="Y84" s="15" t="n">
        <v>0</v>
      </c>
      <c r="Z84" s="15" t="n">
        <v>0</v>
      </c>
      <c r="AA84" s="15" t="n">
        <v>0</v>
      </c>
      <c r="AB84" s="16" t="n">
        <v>1</v>
      </c>
      <c r="AC84" s="17" t="n">
        <v>2</v>
      </c>
    </row>
    <row r="85" ht="15" customHeight="1">
      <c r="A85" s="15" t="n">
        <v>83</v>
      </c>
      <c r="B85" s="15" t="inlineStr">
        <is>
          <t>04138-2022</t>
        </is>
      </c>
      <c r="C85" s="15" t="inlineStr">
        <is>
          <t>Matriz sumarísimos — grupo 2024</t>
        </is>
      </c>
      <c r="D85" s="15" t="inlineStr">
        <is>
          <t>2025</t>
        </is>
      </c>
      <c r="E85" s="15" t="inlineStr">
        <is>
          <t>2SC</t>
        </is>
      </c>
      <c r="F85" s="15" t="n">
        <v>0</v>
      </c>
      <c r="G85" s="15" t="n">
        <v>0</v>
      </c>
      <c r="H85" s="15" t="n">
        <v>0</v>
      </c>
      <c r="I85" s="15" t="n">
        <v>0</v>
      </c>
      <c r="J85" s="15" t="n">
        <v>0</v>
      </c>
      <c r="K85" s="15" t="n">
        <v>0</v>
      </c>
      <c r="L85" s="15" t="n">
        <v>0</v>
      </c>
      <c r="M85" s="15" t="n">
        <v>0</v>
      </c>
      <c r="N85" s="15" t="n">
        <v>0</v>
      </c>
      <c r="O85" s="15" t="n">
        <v>0</v>
      </c>
      <c r="P85" s="15" t="n">
        <v>0</v>
      </c>
      <c r="Q85" s="16" t="n">
        <v>1</v>
      </c>
      <c r="R85" s="15" t="n">
        <v>0</v>
      </c>
      <c r="S85" s="15" t="n">
        <v>0</v>
      </c>
      <c r="T85" s="15" t="n">
        <v>0</v>
      </c>
      <c r="U85" s="15" t="n">
        <v>0</v>
      </c>
      <c r="V85" s="15" t="n">
        <v>0</v>
      </c>
      <c r="W85" s="15" t="n">
        <v>0</v>
      </c>
      <c r="X85" s="15" t="n">
        <v>0</v>
      </c>
      <c r="Y85" s="15" t="n">
        <v>0</v>
      </c>
      <c r="Z85" s="15" t="n">
        <v>0</v>
      </c>
      <c r="AA85" s="15" t="n">
        <v>0</v>
      </c>
      <c r="AB85" s="15" t="n">
        <v>0</v>
      </c>
      <c r="AC85" s="17" t="n">
        <v>1</v>
      </c>
    </row>
    <row r="86" ht="15" customHeight="1">
      <c r="A86" s="15" t="n">
        <v>84</v>
      </c>
      <c r="B86" s="15" t="inlineStr">
        <is>
          <t>04154-2022</t>
        </is>
      </c>
      <c r="C86" s="15" t="inlineStr">
        <is>
          <t>Llamoja — SV de control (2021-2023)</t>
        </is>
      </c>
      <c r="D86" s="15" t="inlineStr">
        <is>
          <t>2024</t>
        </is>
      </c>
      <c r="E86" s="15" t="inlineStr">
        <is>
          <t>2SC</t>
        </is>
      </c>
      <c r="F86" s="15" t="n">
        <v>0</v>
      </c>
      <c r="G86" s="15" t="n">
        <v>0</v>
      </c>
      <c r="H86" s="15" t="n">
        <v>0</v>
      </c>
      <c r="I86" s="15" t="n">
        <v>0</v>
      </c>
      <c r="J86" s="15" t="n">
        <v>0</v>
      </c>
      <c r="K86" s="15" t="n">
        <v>0</v>
      </c>
      <c r="L86" s="15" t="n">
        <v>0</v>
      </c>
      <c r="M86" s="15" t="n">
        <v>0</v>
      </c>
      <c r="N86" s="15" t="n">
        <v>0</v>
      </c>
      <c r="O86" s="15" t="n">
        <v>0</v>
      </c>
      <c r="P86" s="15" t="n">
        <v>0</v>
      </c>
      <c r="Q86" s="15" t="n">
        <v>0</v>
      </c>
      <c r="R86" s="16" t="n">
        <v>1</v>
      </c>
      <c r="S86" s="16" t="n">
        <v>1</v>
      </c>
      <c r="T86" s="15" t="n">
        <v>0</v>
      </c>
      <c r="U86" s="15" t="n">
        <v>0</v>
      </c>
      <c r="V86" s="15" t="n">
        <v>0</v>
      </c>
      <c r="W86" s="15" t="n">
        <v>0</v>
      </c>
      <c r="X86" s="15" t="n">
        <v>0</v>
      </c>
      <c r="Y86" s="15" t="n">
        <v>0</v>
      </c>
      <c r="Z86" s="15" t="n">
        <v>0</v>
      </c>
      <c r="AA86" s="15" t="n">
        <v>0</v>
      </c>
      <c r="AB86" s="15" t="n">
        <v>0</v>
      </c>
      <c r="AC86" s="17" t="n">
        <v>2</v>
      </c>
    </row>
    <row r="87" ht="15" customHeight="1">
      <c r="A87" s="15" t="n">
        <v>85</v>
      </c>
      <c r="B87" s="15" t="inlineStr">
        <is>
          <t>04275-2015</t>
        </is>
      </c>
      <c r="C87" s="15" t="inlineStr">
        <is>
          <t>Pre-2019</t>
        </is>
      </c>
      <c r="D87" s="15" t="inlineStr">
        <is>
          <t>2019</t>
        </is>
      </c>
      <c r="E87" s="15" t="inlineStr">
        <is>
          <t>2SC</t>
        </is>
      </c>
      <c r="F87" s="15" t="n">
        <v>0</v>
      </c>
      <c r="G87" s="15" t="n">
        <v>0</v>
      </c>
      <c r="H87" s="15" t="n">
        <v>0</v>
      </c>
      <c r="I87" s="15" t="n">
        <v>0</v>
      </c>
      <c r="J87" s="15" t="n">
        <v>0</v>
      </c>
      <c r="K87" s="15" t="n">
        <v>0</v>
      </c>
      <c r="L87" s="15" t="n">
        <v>0</v>
      </c>
      <c r="M87" s="15" t="n">
        <v>0</v>
      </c>
      <c r="N87" s="15" t="n">
        <v>0</v>
      </c>
      <c r="O87" s="15" t="n">
        <v>0</v>
      </c>
      <c r="P87" s="15" t="n">
        <v>0</v>
      </c>
      <c r="Q87" s="16" t="n">
        <v>1</v>
      </c>
      <c r="R87" s="15" t="n">
        <v>0</v>
      </c>
      <c r="S87" s="15" t="n">
        <v>0</v>
      </c>
      <c r="T87" s="15" t="n">
        <v>0</v>
      </c>
      <c r="U87" s="15" t="n">
        <v>0</v>
      </c>
      <c r="V87" s="15" t="n">
        <v>0</v>
      </c>
      <c r="W87" s="15" t="n">
        <v>0</v>
      </c>
      <c r="X87" s="15" t="n">
        <v>0</v>
      </c>
      <c r="Y87" s="15" t="n">
        <v>0</v>
      </c>
      <c r="Z87" s="16" t="n">
        <v>1</v>
      </c>
      <c r="AA87" s="15" t="n">
        <v>0</v>
      </c>
      <c r="AB87" s="15" t="n">
        <v>0</v>
      </c>
      <c r="AC87" s="17" t="n">
        <v>2</v>
      </c>
    </row>
    <row r="88" ht="15" customHeight="1">
      <c r="A88" s="15" t="n">
        <v>86</v>
      </c>
      <c r="B88" s="15" t="inlineStr">
        <is>
          <t>04280-2017</t>
        </is>
      </c>
      <c r="C88" s="15" t="inlineStr">
        <is>
          <t>Pre-2019</t>
        </is>
      </c>
      <c r="D88" s="15" t="inlineStr">
        <is>
          <t>2019</t>
        </is>
      </c>
      <c r="E88" s="15" t="inlineStr">
        <is>
          <t>3SC</t>
        </is>
      </c>
      <c r="F88" s="15" t="n">
        <v>0</v>
      </c>
      <c r="G88" s="15" t="n">
        <v>0</v>
      </c>
      <c r="H88" s="15" t="n">
        <v>0</v>
      </c>
      <c r="I88" s="15" t="n">
        <v>0</v>
      </c>
      <c r="J88" s="15" t="n">
        <v>0</v>
      </c>
      <c r="K88" s="16" t="n">
        <v>1</v>
      </c>
      <c r="L88" s="15" t="n">
        <v>0</v>
      </c>
      <c r="M88" s="15" t="n">
        <v>0</v>
      </c>
      <c r="N88" s="15" t="n">
        <v>0</v>
      </c>
      <c r="O88" s="15" t="n">
        <v>0</v>
      </c>
      <c r="P88" s="15" t="n">
        <v>0</v>
      </c>
      <c r="Q88" s="15" t="n">
        <v>0</v>
      </c>
      <c r="R88" s="16" t="n">
        <v>1</v>
      </c>
      <c r="S88" s="15" t="n">
        <v>0</v>
      </c>
      <c r="T88" s="15" t="n">
        <v>0</v>
      </c>
      <c r="U88" s="15" t="n">
        <v>0</v>
      </c>
      <c r="V88" s="15" t="n">
        <v>0</v>
      </c>
      <c r="W88" s="15" t="n">
        <v>0</v>
      </c>
      <c r="X88" s="15" t="n">
        <v>0</v>
      </c>
      <c r="Y88" s="15" t="n">
        <v>0</v>
      </c>
      <c r="Z88" s="15" t="n">
        <v>0</v>
      </c>
      <c r="AA88" s="15" t="n">
        <v>0</v>
      </c>
      <c r="AB88" s="15" t="n">
        <v>0</v>
      </c>
      <c r="AC88" s="17" t="n">
        <v>2</v>
      </c>
    </row>
    <row r="89" ht="15" customHeight="1">
      <c r="A89" s="15" t="n">
        <v>87</v>
      </c>
      <c r="B89" s="15" t="inlineStr">
        <is>
          <t>04352-2014</t>
        </is>
      </c>
      <c r="C89" s="15" t="inlineStr">
        <is>
          <t>Pre-2019</t>
        </is>
      </c>
      <c r="D89" s="15" t="inlineStr">
        <is>
          <t>2018</t>
        </is>
      </c>
      <c r="E89" s="15" t="inlineStr">
        <is>
          <t>1SC</t>
        </is>
      </c>
      <c r="F89" s="15" t="n">
        <v>0</v>
      </c>
      <c r="G89" s="15" t="n">
        <v>0</v>
      </c>
      <c r="H89" s="15" t="n">
        <v>0</v>
      </c>
      <c r="I89" s="15" t="n">
        <v>0</v>
      </c>
      <c r="J89" s="15" t="n">
        <v>0</v>
      </c>
      <c r="K89" s="15" t="n">
        <v>0</v>
      </c>
      <c r="L89" s="15" t="n">
        <v>0</v>
      </c>
      <c r="M89" s="15" t="n">
        <v>0</v>
      </c>
      <c r="N89" s="15" t="n">
        <v>0</v>
      </c>
      <c r="O89" s="15" t="n">
        <v>0</v>
      </c>
      <c r="P89" s="15" t="n">
        <v>0</v>
      </c>
      <c r="Q89" s="15" t="n">
        <v>0</v>
      </c>
      <c r="R89" s="15" t="n">
        <v>0</v>
      </c>
      <c r="S89" s="15" t="n">
        <v>0</v>
      </c>
      <c r="T89" s="15" t="n">
        <v>0</v>
      </c>
      <c r="U89" s="15" t="n">
        <v>0</v>
      </c>
      <c r="V89" s="15" t="n">
        <v>0</v>
      </c>
      <c r="W89" s="15" t="n">
        <v>0</v>
      </c>
      <c r="X89" s="15" t="n">
        <v>0</v>
      </c>
      <c r="Y89" s="15" t="n">
        <v>0</v>
      </c>
      <c r="Z89" s="15" t="n">
        <v>0</v>
      </c>
      <c r="AA89" s="15" t="n">
        <v>0</v>
      </c>
      <c r="AB89" s="15" t="n">
        <v>0</v>
      </c>
      <c r="AC89" s="15" t="n">
        <v>0</v>
      </c>
    </row>
    <row r="90" ht="15" customHeight="1">
      <c r="A90" s="15" t="n">
        <v>88</v>
      </c>
      <c r="B90" s="15" t="inlineStr">
        <is>
          <t>04370-2022</t>
        </is>
      </c>
      <c r="C90" s="15" t="inlineStr">
        <is>
          <t>Matriz sumarísimos — grupo 2024</t>
        </is>
      </c>
      <c r="D90" s="15" t="inlineStr">
        <is>
          <t>2024</t>
        </is>
      </c>
      <c r="E90" s="15" t="inlineStr">
        <is>
          <t>3SC</t>
        </is>
      </c>
      <c r="F90" s="15" t="n">
        <v>0</v>
      </c>
      <c r="G90" s="16" t="n">
        <v>1</v>
      </c>
      <c r="H90" s="16" t="n">
        <v>1</v>
      </c>
      <c r="I90" s="15" t="n">
        <v>0</v>
      </c>
      <c r="J90" s="15" t="n">
        <v>0</v>
      </c>
      <c r="K90" s="15" t="n">
        <v>0</v>
      </c>
      <c r="L90" s="15" t="n">
        <v>0</v>
      </c>
      <c r="M90" s="15" t="n">
        <v>0</v>
      </c>
      <c r="N90" s="15" t="n">
        <v>0</v>
      </c>
      <c r="O90" s="15" t="n">
        <v>0</v>
      </c>
      <c r="P90" s="15" t="n">
        <v>0</v>
      </c>
      <c r="Q90" s="15" t="n">
        <v>0</v>
      </c>
      <c r="R90" s="15" t="n">
        <v>0</v>
      </c>
      <c r="S90" s="15" t="n">
        <v>0</v>
      </c>
      <c r="T90" s="15" t="n">
        <v>0</v>
      </c>
      <c r="U90" s="15" t="n">
        <v>0</v>
      </c>
      <c r="V90" s="15" t="n">
        <v>0</v>
      </c>
      <c r="W90" s="15" t="n">
        <v>0</v>
      </c>
      <c r="X90" s="15" t="n">
        <v>0</v>
      </c>
      <c r="Y90" s="15" t="n">
        <v>0</v>
      </c>
      <c r="Z90" s="15" t="n">
        <v>0</v>
      </c>
      <c r="AA90" s="15" t="n">
        <v>0</v>
      </c>
      <c r="AB90" s="15" t="n">
        <v>0</v>
      </c>
      <c r="AC90" s="17" t="n">
        <v>2</v>
      </c>
    </row>
    <row r="91" ht="15" customHeight="1">
      <c r="A91" s="15" t="n">
        <v>89</v>
      </c>
      <c r="B91" s="15" t="inlineStr">
        <is>
          <t>04393-2023</t>
        </is>
      </c>
      <c r="C91" s="15" t="inlineStr">
        <is>
          <t>Llamoja — SV de control (2021-2023)</t>
        </is>
      </c>
      <c r="D91" s="15" t="inlineStr">
        <is>
          <t>2025</t>
        </is>
      </c>
      <c r="E91" s="15" t="inlineStr">
        <is>
          <t>3SC</t>
        </is>
      </c>
      <c r="F91" s="15" t="n">
        <v>0</v>
      </c>
      <c r="G91" s="15" t="n">
        <v>0</v>
      </c>
      <c r="H91" s="15" t="n">
        <v>0</v>
      </c>
      <c r="I91" s="15" t="n">
        <v>0</v>
      </c>
      <c r="J91" s="15" t="n">
        <v>0</v>
      </c>
      <c r="K91" s="15" t="n">
        <v>0</v>
      </c>
      <c r="L91" s="15" t="n">
        <v>0</v>
      </c>
      <c r="M91" s="15" t="n">
        <v>0</v>
      </c>
      <c r="N91" s="15" t="n">
        <v>0</v>
      </c>
      <c r="O91" s="15" t="n">
        <v>0</v>
      </c>
      <c r="P91" s="15" t="n">
        <v>0</v>
      </c>
      <c r="Q91" s="15" t="n">
        <v>0</v>
      </c>
      <c r="R91" s="15" t="n">
        <v>0</v>
      </c>
      <c r="S91" s="15" t="n">
        <v>0</v>
      </c>
      <c r="T91" s="15" t="n">
        <v>0</v>
      </c>
      <c r="U91" s="15" t="n">
        <v>0</v>
      </c>
      <c r="V91" s="15" t="n">
        <v>0</v>
      </c>
      <c r="W91" s="15" t="n">
        <v>0</v>
      </c>
      <c r="X91" s="15" t="n">
        <v>0</v>
      </c>
      <c r="Y91" s="15" t="n">
        <v>0</v>
      </c>
      <c r="Z91" s="15" t="n">
        <v>0</v>
      </c>
      <c r="AA91" s="15" t="n">
        <v>0</v>
      </c>
      <c r="AB91" s="15" t="n">
        <v>0</v>
      </c>
      <c r="AC91" s="15" t="n">
        <v>0</v>
      </c>
    </row>
    <row r="92" ht="15" customHeight="1">
      <c r="A92" s="15" t="n">
        <v>90</v>
      </c>
      <c r="B92" s="15" t="inlineStr">
        <is>
          <t>04414-2023</t>
        </is>
      </c>
      <c r="C92" s="15" t="inlineStr">
        <is>
          <t>Matriz sumarísimos — grupo 2024</t>
        </is>
      </c>
      <c r="D92" s="15" t="inlineStr">
        <is>
          <t>2025</t>
        </is>
      </c>
      <c r="E92" s="15" t="inlineStr">
        <is>
          <t>2SC</t>
        </is>
      </c>
      <c r="F92" s="15" t="n">
        <v>0</v>
      </c>
      <c r="G92" s="15" t="n">
        <v>0</v>
      </c>
      <c r="H92" s="15" t="n">
        <v>0</v>
      </c>
      <c r="I92" s="15" t="n">
        <v>0</v>
      </c>
      <c r="J92" s="15" t="n">
        <v>0</v>
      </c>
      <c r="K92" s="15" t="n">
        <v>0</v>
      </c>
      <c r="L92" s="15" t="n">
        <v>0</v>
      </c>
      <c r="M92" s="15" t="n">
        <v>0</v>
      </c>
      <c r="N92" s="15" t="n">
        <v>0</v>
      </c>
      <c r="O92" s="15" t="n">
        <v>0</v>
      </c>
      <c r="P92" s="15" t="n">
        <v>0</v>
      </c>
      <c r="Q92" s="15" t="n">
        <v>0</v>
      </c>
      <c r="R92" s="15" t="n">
        <v>0</v>
      </c>
      <c r="S92" s="15" t="n">
        <v>0</v>
      </c>
      <c r="T92" s="15" t="n">
        <v>0</v>
      </c>
      <c r="U92" s="15" t="n">
        <v>0</v>
      </c>
      <c r="V92" s="15" t="n">
        <v>0</v>
      </c>
      <c r="W92" s="15" t="n">
        <v>0</v>
      </c>
      <c r="X92" s="15" t="n">
        <v>0</v>
      </c>
      <c r="Y92" s="15" t="n">
        <v>0</v>
      </c>
      <c r="Z92" s="15" t="n">
        <v>0</v>
      </c>
      <c r="AA92" s="16" t="n">
        <v>1</v>
      </c>
      <c r="AB92" s="15" t="n">
        <v>0</v>
      </c>
      <c r="AC92" s="17" t="n">
        <v>1</v>
      </c>
    </row>
    <row r="93" ht="15" customHeight="1">
      <c r="A93" s="15" t="n">
        <v>91</v>
      </c>
      <c r="B93" s="15" t="inlineStr">
        <is>
          <t>04420-2015</t>
        </is>
      </c>
      <c r="C93" s="15" t="inlineStr">
        <is>
          <t>Pre-2019</t>
        </is>
      </c>
      <c r="D93" s="15" t="inlineStr">
        <is>
          <t>2018</t>
        </is>
      </c>
      <c r="E93" s="15" t="inlineStr">
        <is>
          <t>2SC</t>
        </is>
      </c>
      <c r="F93" s="15" t="n">
        <v>0</v>
      </c>
      <c r="G93" s="15" t="n">
        <v>0</v>
      </c>
      <c r="H93" s="15" t="n">
        <v>0</v>
      </c>
      <c r="I93" s="15" t="n">
        <v>0</v>
      </c>
      <c r="J93" s="15" t="n">
        <v>0</v>
      </c>
      <c r="K93" s="15" t="n">
        <v>0</v>
      </c>
      <c r="L93" s="15" t="n">
        <v>0</v>
      </c>
      <c r="M93" s="15" t="n">
        <v>0</v>
      </c>
      <c r="N93" s="15" t="n">
        <v>0</v>
      </c>
      <c r="O93" s="15" t="n">
        <v>0</v>
      </c>
      <c r="P93" s="15" t="n">
        <v>0</v>
      </c>
      <c r="Q93" s="15" t="n">
        <v>0</v>
      </c>
      <c r="R93" s="15" t="n">
        <v>0</v>
      </c>
      <c r="S93" s="15" t="n">
        <v>0</v>
      </c>
      <c r="T93" s="15" t="n">
        <v>0</v>
      </c>
      <c r="U93" s="16" t="n">
        <v>1</v>
      </c>
      <c r="V93" s="15" t="n">
        <v>0</v>
      </c>
      <c r="W93" s="15" t="n">
        <v>0</v>
      </c>
      <c r="X93" s="15" t="n">
        <v>0</v>
      </c>
      <c r="Y93" s="15" t="n">
        <v>0</v>
      </c>
      <c r="Z93" s="15" t="n">
        <v>0</v>
      </c>
      <c r="AA93" s="15" t="n">
        <v>0</v>
      </c>
      <c r="AB93" s="15" t="n">
        <v>0</v>
      </c>
      <c r="AC93" s="17" t="n">
        <v>1</v>
      </c>
    </row>
    <row r="94" ht="15" customHeight="1">
      <c r="A94" s="15" t="n">
        <v>92</v>
      </c>
      <c r="B94" s="15" t="inlineStr">
        <is>
          <t>04428-2022</t>
        </is>
      </c>
      <c r="C94" s="15" t="inlineStr">
        <is>
          <t>Matriz sumarísimos — grupo 2024</t>
        </is>
      </c>
      <c r="D94" s="15" t="inlineStr">
        <is>
          <t>2024</t>
        </is>
      </c>
      <c r="E94" s="15" t="inlineStr">
        <is>
          <t>1SC</t>
        </is>
      </c>
      <c r="F94" s="15" t="n">
        <v>0</v>
      </c>
      <c r="G94" s="15" t="n">
        <v>0</v>
      </c>
      <c r="H94" s="15" t="n">
        <v>0</v>
      </c>
      <c r="I94" s="15" t="n">
        <v>0</v>
      </c>
      <c r="J94" s="15" t="n">
        <v>0</v>
      </c>
      <c r="K94" s="15" t="n">
        <v>0</v>
      </c>
      <c r="L94" s="15" t="n">
        <v>0</v>
      </c>
      <c r="M94" s="15" t="n">
        <v>0</v>
      </c>
      <c r="N94" s="15" t="n">
        <v>0</v>
      </c>
      <c r="O94" s="15" t="n">
        <v>0</v>
      </c>
      <c r="P94" s="15" t="n">
        <v>0</v>
      </c>
      <c r="Q94" s="16" t="n">
        <v>1</v>
      </c>
      <c r="R94" s="15" t="n">
        <v>0</v>
      </c>
      <c r="S94" s="15" t="n">
        <v>0</v>
      </c>
      <c r="T94" s="15" t="n">
        <v>0</v>
      </c>
      <c r="U94" s="15" t="n">
        <v>0</v>
      </c>
      <c r="V94" s="15" t="n">
        <v>0</v>
      </c>
      <c r="W94" s="15" t="n">
        <v>0</v>
      </c>
      <c r="X94" s="15" t="n">
        <v>0</v>
      </c>
      <c r="Y94" s="15" t="n">
        <v>0</v>
      </c>
      <c r="Z94" s="15" t="n">
        <v>0</v>
      </c>
      <c r="AA94" s="15" t="n">
        <v>0</v>
      </c>
      <c r="AB94" s="15" t="n">
        <v>0</v>
      </c>
      <c r="AC94" s="17" t="n">
        <v>1</v>
      </c>
    </row>
    <row r="95" ht="15" customHeight="1">
      <c r="A95" s="15" t="n">
        <v>93</v>
      </c>
      <c r="B95" s="15" t="inlineStr">
        <is>
          <t>04492-2023</t>
        </is>
      </c>
      <c r="C95" s="15" t="inlineStr">
        <is>
          <t>Llamoja — SV de control (2021-2023)</t>
        </is>
      </c>
      <c r="D95" s="15" t="inlineStr">
        <is>
          <t>2025</t>
        </is>
      </c>
      <c r="E95" s="15" t="inlineStr">
        <is>
          <t>2SC</t>
        </is>
      </c>
      <c r="F95" s="15" t="n">
        <v>0</v>
      </c>
      <c r="G95" s="15" t="n">
        <v>0</v>
      </c>
      <c r="H95" s="15" t="n">
        <v>0</v>
      </c>
      <c r="I95" s="15" t="n">
        <v>0</v>
      </c>
      <c r="J95" s="15" t="n">
        <v>0</v>
      </c>
      <c r="K95" s="15" t="n">
        <v>0</v>
      </c>
      <c r="L95" s="15" t="n">
        <v>0</v>
      </c>
      <c r="M95" s="15" t="n">
        <v>0</v>
      </c>
      <c r="N95" s="15" t="n">
        <v>0</v>
      </c>
      <c r="O95" s="15" t="n">
        <v>0</v>
      </c>
      <c r="P95" s="15" t="n">
        <v>0</v>
      </c>
      <c r="Q95" s="15" t="n">
        <v>0</v>
      </c>
      <c r="R95" s="15" t="n">
        <v>0</v>
      </c>
      <c r="S95" s="15" t="n">
        <v>0</v>
      </c>
      <c r="T95" s="16" t="n">
        <v>1</v>
      </c>
      <c r="U95" s="16" t="n">
        <v>1</v>
      </c>
      <c r="V95" s="15" t="n">
        <v>0</v>
      </c>
      <c r="W95" s="15" t="n">
        <v>0</v>
      </c>
      <c r="X95" s="15" t="n">
        <v>0</v>
      </c>
      <c r="Y95" s="15" t="n">
        <v>0</v>
      </c>
      <c r="Z95" s="15" t="n">
        <v>0</v>
      </c>
      <c r="AA95" s="15" t="n">
        <v>0</v>
      </c>
      <c r="AB95" s="15" t="n">
        <v>0</v>
      </c>
      <c r="AC95" s="17" t="n">
        <v>2</v>
      </c>
    </row>
    <row r="96" ht="15" customHeight="1">
      <c r="A96" s="15" t="n">
        <v>94</v>
      </c>
      <c r="B96" s="15" t="inlineStr">
        <is>
          <t>04528-2010</t>
        </is>
      </c>
      <c r="C96" s="15" t="inlineStr">
        <is>
          <t>Pre-2019</t>
        </is>
      </c>
      <c r="D96" s="15" t="inlineStr">
        <is>
          <t>2018</t>
        </is>
      </c>
      <c r="E96" s="15" t="inlineStr">
        <is>
          <t>1SC</t>
        </is>
      </c>
      <c r="F96" s="15" t="n">
        <v>0</v>
      </c>
      <c r="G96" s="15" t="n">
        <v>0</v>
      </c>
      <c r="H96" s="15" t="n">
        <v>0</v>
      </c>
      <c r="I96" s="15" t="n">
        <v>0</v>
      </c>
      <c r="J96" s="15" t="n">
        <v>0</v>
      </c>
      <c r="K96" s="15" t="n">
        <v>0</v>
      </c>
      <c r="L96" s="15" t="n">
        <v>0</v>
      </c>
      <c r="M96" s="15" t="n">
        <v>0</v>
      </c>
      <c r="N96" s="15" t="n">
        <v>0</v>
      </c>
      <c r="O96" s="15" t="n">
        <v>0</v>
      </c>
      <c r="P96" s="15" t="n">
        <v>0</v>
      </c>
      <c r="Q96" s="15" t="n">
        <v>0</v>
      </c>
      <c r="R96" s="15" t="n">
        <v>0</v>
      </c>
      <c r="S96" s="15" t="n">
        <v>0</v>
      </c>
      <c r="T96" s="15" t="n">
        <v>0</v>
      </c>
      <c r="U96" s="15" t="n">
        <v>0</v>
      </c>
      <c r="V96" s="15" t="n">
        <v>0</v>
      </c>
      <c r="W96" s="15" t="n">
        <v>0</v>
      </c>
      <c r="X96" s="15" t="n">
        <v>0</v>
      </c>
      <c r="Y96" s="15" t="n">
        <v>0</v>
      </c>
      <c r="Z96" s="15" t="n">
        <v>0</v>
      </c>
      <c r="AA96" s="15" t="n">
        <v>0</v>
      </c>
      <c r="AB96" s="15" t="n">
        <v>0</v>
      </c>
      <c r="AC96" s="15" t="n">
        <v>0</v>
      </c>
    </row>
    <row r="97" ht="15" customHeight="1">
      <c r="A97" s="15" t="n">
        <v>95</v>
      </c>
      <c r="B97" s="15" t="inlineStr">
        <is>
          <t>04543-2023</t>
        </is>
      </c>
      <c r="C97" s="15" t="inlineStr">
        <is>
          <t>Llamoja — SV de control (2021-2023)</t>
        </is>
      </c>
      <c r="D97" s="15" t="inlineStr">
        <is>
          <t>2025</t>
        </is>
      </c>
      <c r="E97" s="15" t="inlineStr">
        <is>
          <t>1SC</t>
        </is>
      </c>
      <c r="F97" s="15" t="n">
        <v>0</v>
      </c>
      <c r="G97" s="15" t="n">
        <v>0</v>
      </c>
      <c r="H97" s="15" t="n">
        <v>0</v>
      </c>
      <c r="I97" s="15" t="n">
        <v>0</v>
      </c>
      <c r="J97" s="15" t="n">
        <v>0</v>
      </c>
      <c r="K97" s="15" t="n">
        <v>0</v>
      </c>
      <c r="L97" s="15" t="n">
        <v>0</v>
      </c>
      <c r="M97" s="15" t="n">
        <v>0</v>
      </c>
      <c r="N97" s="15" t="n">
        <v>0</v>
      </c>
      <c r="O97" s="15" t="n">
        <v>0</v>
      </c>
      <c r="P97" s="15" t="n">
        <v>0</v>
      </c>
      <c r="Q97" s="15" t="n">
        <v>0</v>
      </c>
      <c r="R97" s="15" t="n">
        <v>0</v>
      </c>
      <c r="S97" s="15" t="n">
        <v>0</v>
      </c>
      <c r="T97" s="15" t="n">
        <v>0</v>
      </c>
      <c r="U97" s="15" t="n">
        <v>0</v>
      </c>
      <c r="V97" s="15" t="n">
        <v>0</v>
      </c>
      <c r="W97" s="15" t="n">
        <v>0</v>
      </c>
      <c r="X97" s="16" t="n">
        <v>1</v>
      </c>
      <c r="Y97" s="15" t="n">
        <v>0</v>
      </c>
      <c r="Z97" s="15" t="n">
        <v>0</v>
      </c>
      <c r="AA97" s="16" t="n">
        <v>1</v>
      </c>
      <c r="AB97" s="15" t="n">
        <v>0</v>
      </c>
      <c r="AC97" s="17" t="n">
        <v>2</v>
      </c>
    </row>
    <row r="98" ht="15" customHeight="1">
      <c r="A98" s="15" t="n">
        <v>96</v>
      </c>
      <c r="B98" s="15" t="inlineStr">
        <is>
          <t>04554-2022</t>
        </is>
      </c>
      <c r="C98" s="15" t="inlineStr">
        <is>
          <t>Llamoja — SV de control (2021-2023)</t>
        </is>
      </c>
      <c r="D98" s="15" t="inlineStr">
        <is>
          <t>2024</t>
        </is>
      </c>
      <c r="E98" s="15" t="inlineStr">
        <is>
          <t>3SC</t>
        </is>
      </c>
      <c r="F98" s="15" t="n">
        <v>0</v>
      </c>
      <c r="G98" s="15" t="n">
        <v>0</v>
      </c>
      <c r="H98" s="15" t="n">
        <v>0</v>
      </c>
      <c r="I98" s="15" t="n">
        <v>0</v>
      </c>
      <c r="J98" s="15" t="n">
        <v>0</v>
      </c>
      <c r="K98" s="15" t="n">
        <v>0</v>
      </c>
      <c r="L98" s="15" t="n">
        <v>0</v>
      </c>
      <c r="M98" s="15" t="n">
        <v>0</v>
      </c>
      <c r="N98" s="15" t="n">
        <v>0</v>
      </c>
      <c r="O98" s="15" t="n">
        <v>0</v>
      </c>
      <c r="P98" s="15" t="n">
        <v>0</v>
      </c>
      <c r="Q98" s="15" t="n">
        <v>0</v>
      </c>
      <c r="R98" s="15" t="n">
        <v>0</v>
      </c>
      <c r="S98" s="15" t="n">
        <v>0</v>
      </c>
      <c r="T98" s="15" t="n">
        <v>0</v>
      </c>
      <c r="U98" s="16" t="n">
        <v>1</v>
      </c>
      <c r="V98" s="15" t="n">
        <v>0</v>
      </c>
      <c r="W98" s="15" t="n">
        <v>0</v>
      </c>
      <c r="X98" s="15" t="n">
        <v>0</v>
      </c>
      <c r="Y98" s="15" t="n">
        <v>0</v>
      </c>
      <c r="Z98" s="16" t="n">
        <v>1</v>
      </c>
      <c r="AA98" s="15" t="n">
        <v>0</v>
      </c>
      <c r="AB98" s="15" t="n">
        <v>0</v>
      </c>
      <c r="AC98" s="17" t="n">
        <v>2</v>
      </c>
    </row>
    <row r="99" ht="15" customHeight="1">
      <c r="A99" s="15" t="n">
        <v>97</v>
      </c>
      <c r="B99" s="15" t="inlineStr">
        <is>
          <t>04585-2017</t>
        </is>
      </c>
      <c r="C99" s="15" t="inlineStr">
        <is>
          <t>Matriz sumarísimos — anteriores a 2019</t>
        </is>
      </c>
      <c r="D99" s="15" t="inlineStr">
        <is>
          <t>2018</t>
        </is>
      </c>
      <c r="E99" s="15" t="inlineStr">
        <is>
          <t>3SC</t>
        </is>
      </c>
      <c r="F99" s="15" t="n">
        <v>0</v>
      </c>
      <c r="G99" s="15" t="n">
        <v>0</v>
      </c>
      <c r="H99" s="15" t="n">
        <v>0</v>
      </c>
      <c r="I99" s="15" t="n">
        <v>0</v>
      </c>
      <c r="J99" s="15" t="n">
        <v>0</v>
      </c>
      <c r="K99" s="15" t="n">
        <v>0</v>
      </c>
      <c r="L99" s="15" t="n">
        <v>0</v>
      </c>
      <c r="M99" s="15" t="n">
        <v>0</v>
      </c>
      <c r="N99" s="15" t="n">
        <v>0</v>
      </c>
      <c r="O99" s="15" t="n">
        <v>0</v>
      </c>
      <c r="P99" s="15" t="n">
        <v>0</v>
      </c>
      <c r="Q99" s="15" t="n">
        <v>0</v>
      </c>
      <c r="R99" s="15" t="n">
        <v>0</v>
      </c>
      <c r="S99" s="15" t="n">
        <v>0</v>
      </c>
      <c r="T99" s="15" t="n">
        <v>0</v>
      </c>
      <c r="U99" s="16" t="n">
        <v>1</v>
      </c>
      <c r="V99" s="15" t="n">
        <v>0</v>
      </c>
      <c r="W99" s="15" t="n">
        <v>0</v>
      </c>
      <c r="X99" s="15" t="n">
        <v>0</v>
      </c>
      <c r="Y99" s="15" t="n">
        <v>0</v>
      </c>
      <c r="Z99" s="15" t="n">
        <v>0</v>
      </c>
      <c r="AA99" s="15" t="n">
        <v>0</v>
      </c>
      <c r="AB99" s="15" t="n">
        <v>0</v>
      </c>
      <c r="AC99" s="17" t="n">
        <v>1</v>
      </c>
    </row>
    <row r="100" ht="15" customHeight="1">
      <c r="A100" s="15" t="n">
        <v>98</v>
      </c>
      <c r="B100" s="15" t="inlineStr">
        <is>
          <t>04605-2022</t>
        </is>
      </c>
      <c r="C100" s="15" t="inlineStr">
        <is>
          <t>2024</t>
        </is>
      </c>
      <c r="D100" s="15" t="inlineStr">
        <is>
          <t>2025</t>
        </is>
      </c>
      <c r="E100" s="15" t="inlineStr">
        <is>
          <t>3SC</t>
        </is>
      </c>
      <c r="F100" s="15" t="n">
        <v>0</v>
      </c>
      <c r="G100" s="15" t="n">
        <v>0</v>
      </c>
      <c r="H100" s="15" t="n">
        <v>0</v>
      </c>
      <c r="I100" s="15" t="n">
        <v>0</v>
      </c>
      <c r="J100" s="15" t="n">
        <v>0</v>
      </c>
      <c r="K100" s="15" t="n">
        <v>0</v>
      </c>
      <c r="L100" s="15" t="n">
        <v>0</v>
      </c>
      <c r="M100" s="15" t="n">
        <v>0</v>
      </c>
      <c r="N100" s="15" t="n">
        <v>0</v>
      </c>
      <c r="O100" s="15" t="n">
        <v>0</v>
      </c>
      <c r="P100" s="16" t="n">
        <v>1</v>
      </c>
      <c r="Q100" s="15" t="n">
        <v>0</v>
      </c>
      <c r="R100" s="15" t="n">
        <v>0</v>
      </c>
      <c r="S100" s="15" t="n">
        <v>0</v>
      </c>
      <c r="T100" s="15" t="n">
        <v>0</v>
      </c>
      <c r="U100" s="15" t="n">
        <v>0</v>
      </c>
      <c r="V100" s="15" t="n">
        <v>0</v>
      </c>
      <c r="W100" s="15" t="n">
        <v>0</v>
      </c>
      <c r="X100" s="15" t="n">
        <v>0</v>
      </c>
      <c r="Y100" s="15" t="n">
        <v>0</v>
      </c>
      <c r="Z100" s="15" t="n">
        <v>0</v>
      </c>
      <c r="AA100" s="15" t="n">
        <v>0</v>
      </c>
      <c r="AB100" s="15" t="n">
        <v>0</v>
      </c>
      <c r="AC100" s="17" t="n">
        <v>1</v>
      </c>
    </row>
    <row r="101" ht="15" customHeight="1">
      <c r="A101" s="15" t="n">
        <v>99</v>
      </c>
      <c r="B101" s="15" t="inlineStr">
        <is>
          <t>04667-2022</t>
        </is>
      </c>
      <c r="C101" s="15" t="inlineStr">
        <is>
          <t>Llamoja — SV de control (2021-2023)</t>
        </is>
      </c>
      <c r="D101" s="15" t="inlineStr">
        <is>
          <t>2025</t>
        </is>
      </c>
      <c r="E101" s="15" t="inlineStr">
        <is>
          <t>1SC</t>
        </is>
      </c>
      <c r="F101" s="15" t="n">
        <v>0</v>
      </c>
      <c r="G101" s="15" t="n">
        <v>0</v>
      </c>
      <c r="H101" s="15" t="n">
        <v>0</v>
      </c>
      <c r="I101" s="15" t="n">
        <v>0</v>
      </c>
      <c r="J101" s="15" t="n">
        <v>0</v>
      </c>
      <c r="K101" s="15" t="n">
        <v>0</v>
      </c>
      <c r="L101" s="15" t="n">
        <v>0</v>
      </c>
      <c r="M101" s="15" t="n">
        <v>0</v>
      </c>
      <c r="N101" s="15" t="n">
        <v>0</v>
      </c>
      <c r="O101" s="15" t="n">
        <v>0</v>
      </c>
      <c r="P101" s="15" t="n">
        <v>0</v>
      </c>
      <c r="Q101" s="15" t="n">
        <v>0</v>
      </c>
      <c r="R101" s="15" t="n">
        <v>0</v>
      </c>
      <c r="S101" s="15" t="n">
        <v>0</v>
      </c>
      <c r="T101" s="15" t="n">
        <v>0</v>
      </c>
      <c r="U101" s="15" t="n">
        <v>0</v>
      </c>
      <c r="V101" s="15" t="n">
        <v>0</v>
      </c>
      <c r="W101" s="15" t="n">
        <v>0</v>
      </c>
      <c r="X101" s="15" t="n">
        <v>0</v>
      </c>
      <c r="Y101" s="15" t="n">
        <v>0</v>
      </c>
      <c r="Z101" s="15" t="n">
        <v>0</v>
      </c>
      <c r="AA101" s="15" t="n">
        <v>0</v>
      </c>
      <c r="AB101" s="15" t="n">
        <v>0</v>
      </c>
      <c r="AC101" s="15" t="n">
        <v>0</v>
      </c>
    </row>
    <row r="102" ht="15" customHeight="1">
      <c r="A102" s="15" t="n">
        <v>100</v>
      </c>
      <c r="B102" s="15" t="inlineStr">
        <is>
          <t>04711-2010</t>
        </is>
      </c>
      <c r="C102" s="15" t="inlineStr">
        <is>
          <t>Pre-2019</t>
        </is>
      </c>
      <c r="D102" s="15" t="inlineStr">
        <is>
          <t>2018</t>
        </is>
      </c>
      <c r="E102" s="15" t="inlineStr">
        <is>
          <t>2SC</t>
        </is>
      </c>
      <c r="F102" s="15" t="n">
        <v>0</v>
      </c>
      <c r="G102" s="15" t="n">
        <v>0</v>
      </c>
      <c r="H102" s="15" t="n">
        <v>0</v>
      </c>
      <c r="I102" s="15" t="n">
        <v>0</v>
      </c>
      <c r="J102" s="15" t="n">
        <v>0</v>
      </c>
      <c r="K102" s="15" t="n">
        <v>0</v>
      </c>
      <c r="L102" s="15" t="n">
        <v>0</v>
      </c>
      <c r="M102" s="15" t="n">
        <v>0</v>
      </c>
      <c r="N102" s="15" t="n">
        <v>0</v>
      </c>
      <c r="O102" s="15" t="n">
        <v>0</v>
      </c>
      <c r="P102" s="15" t="n">
        <v>0</v>
      </c>
      <c r="Q102" s="15" t="n">
        <v>0</v>
      </c>
      <c r="R102" s="15" t="n">
        <v>0</v>
      </c>
      <c r="S102" s="15" t="n">
        <v>0</v>
      </c>
      <c r="T102" s="15" t="n">
        <v>0</v>
      </c>
      <c r="U102" s="16" t="n">
        <v>1</v>
      </c>
      <c r="V102" s="15" t="n">
        <v>0</v>
      </c>
      <c r="W102" s="15" t="n">
        <v>0</v>
      </c>
      <c r="X102" s="15" t="n">
        <v>0</v>
      </c>
      <c r="Y102" s="15" t="n">
        <v>0</v>
      </c>
      <c r="Z102" s="15" t="n">
        <v>0</v>
      </c>
      <c r="AA102" s="15" t="n">
        <v>0</v>
      </c>
      <c r="AB102" s="16" t="n">
        <v>1</v>
      </c>
      <c r="AC102" s="17" t="n">
        <v>2</v>
      </c>
    </row>
    <row r="103" ht="15" customHeight="1">
      <c r="A103" s="15" t="n">
        <v>101</v>
      </c>
      <c r="B103" s="15" t="inlineStr">
        <is>
          <t>04965-2023</t>
        </is>
      </c>
      <c r="C103" s="15" t="inlineStr">
        <is>
          <t>Llamoja — SV de control (2021-2023)</t>
        </is>
      </c>
      <c r="D103" s="15" t="inlineStr">
        <is>
          <t>2025</t>
        </is>
      </c>
      <c r="E103" s="15" t="inlineStr">
        <is>
          <t>2SC</t>
        </is>
      </c>
      <c r="F103" s="15" t="n">
        <v>0</v>
      </c>
      <c r="G103" s="15" t="n">
        <v>0</v>
      </c>
      <c r="H103" s="15" t="n">
        <v>0</v>
      </c>
      <c r="I103" s="15" t="n">
        <v>0</v>
      </c>
      <c r="J103" s="15" t="n">
        <v>0</v>
      </c>
      <c r="K103" s="15" t="n">
        <v>0</v>
      </c>
      <c r="L103" s="15" t="n">
        <v>0</v>
      </c>
      <c r="M103" s="15" t="n">
        <v>0</v>
      </c>
      <c r="N103" s="15" t="n">
        <v>0</v>
      </c>
      <c r="O103" s="15" t="n">
        <v>0</v>
      </c>
      <c r="P103" s="15" t="n">
        <v>0</v>
      </c>
      <c r="Q103" s="15" t="n">
        <v>0</v>
      </c>
      <c r="R103" s="15" t="n">
        <v>0</v>
      </c>
      <c r="S103" s="15" t="n">
        <v>0</v>
      </c>
      <c r="T103" s="15" t="n">
        <v>0</v>
      </c>
      <c r="U103" s="15" t="n">
        <v>0</v>
      </c>
      <c r="V103" s="15" t="n">
        <v>0</v>
      </c>
      <c r="W103" s="15" t="n">
        <v>0</v>
      </c>
      <c r="X103" s="16" t="n">
        <v>1</v>
      </c>
      <c r="Y103" s="15" t="n">
        <v>0</v>
      </c>
      <c r="Z103" s="15" t="n">
        <v>0</v>
      </c>
      <c r="AA103" s="16" t="n">
        <v>1</v>
      </c>
      <c r="AB103" s="15" t="n">
        <v>0</v>
      </c>
      <c r="AC103" s="17" t="n">
        <v>2</v>
      </c>
    </row>
    <row r="104" ht="15" customHeight="1">
      <c r="A104" s="15" t="n">
        <v>102</v>
      </c>
      <c r="B104" s="15" t="inlineStr">
        <is>
          <t>05012-2008</t>
        </is>
      </c>
      <c r="C104" s="15" t="inlineStr">
        <is>
          <t>Pre-2019</t>
        </is>
      </c>
      <c r="D104" s="15" t="inlineStr">
        <is>
          <t>2020</t>
        </is>
      </c>
      <c r="E104" s="15" t="inlineStr">
        <is>
          <t>2SC</t>
        </is>
      </c>
      <c r="F104" s="15" t="n">
        <v>0</v>
      </c>
      <c r="G104" s="15" t="n">
        <v>0</v>
      </c>
      <c r="H104" s="15" t="n">
        <v>0</v>
      </c>
      <c r="I104" s="15" t="n">
        <v>0</v>
      </c>
      <c r="J104" s="15" t="n">
        <v>0</v>
      </c>
      <c r="K104" s="15" t="n">
        <v>0</v>
      </c>
      <c r="L104" s="15" t="n">
        <v>0</v>
      </c>
      <c r="M104" s="15" t="n">
        <v>0</v>
      </c>
      <c r="N104" s="15" t="n">
        <v>0</v>
      </c>
      <c r="O104" s="15" t="n">
        <v>0</v>
      </c>
      <c r="P104" s="15" t="n">
        <v>0</v>
      </c>
      <c r="Q104" s="15" t="n">
        <v>0</v>
      </c>
      <c r="R104" s="16" t="n">
        <v>1</v>
      </c>
      <c r="S104" s="15" t="n">
        <v>0</v>
      </c>
      <c r="T104" s="15" t="n">
        <v>0</v>
      </c>
      <c r="U104" s="15" t="n">
        <v>0</v>
      </c>
      <c r="V104" s="15" t="n">
        <v>0</v>
      </c>
      <c r="W104" s="15" t="n">
        <v>0</v>
      </c>
      <c r="X104" s="15" t="n">
        <v>0</v>
      </c>
      <c r="Y104" s="15" t="n">
        <v>0</v>
      </c>
      <c r="Z104" s="15" t="n">
        <v>0</v>
      </c>
      <c r="AA104" s="15" t="n">
        <v>0</v>
      </c>
      <c r="AB104" s="16" t="n">
        <v>1</v>
      </c>
      <c r="AC104" s="17" t="n">
        <v>2</v>
      </c>
    </row>
    <row r="105" ht="15" customHeight="1">
      <c r="A105" s="15" t="n">
        <v>103</v>
      </c>
      <c r="B105" s="15" t="inlineStr">
        <is>
          <t>05237-2021</t>
        </is>
      </c>
      <c r="C105" s="15" t="inlineStr">
        <is>
          <t>Llamoja — SV de control (2021-2023)</t>
        </is>
      </c>
      <c r="D105" s="15" t="inlineStr">
        <is>
          <t>2025</t>
        </is>
      </c>
      <c r="E105" s="15" t="inlineStr">
        <is>
          <t>2SC</t>
        </is>
      </c>
      <c r="F105" s="15" t="n">
        <v>0</v>
      </c>
      <c r="G105" s="15" t="n">
        <v>0</v>
      </c>
      <c r="H105" s="15" t="n">
        <v>0</v>
      </c>
      <c r="I105" s="15" t="n">
        <v>0</v>
      </c>
      <c r="J105" s="15" t="n">
        <v>0</v>
      </c>
      <c r="K105" s="15" t="n">
        <v>0</v>
      </c>
      <c r="L105" s="15" t="n">
        <v>0</v>
      </c>
      <c r="M105" s="15" t="n">
        <v>0</v>
      </c>
      <c r="N105" s="15" t="n">
        <v>0</v>
      </c>
      <c r="O105" s="15" t="n">
        <v>0</v>
      </c>
      <c r="P105" s="16" t="n">
        <v>1</v>
      </c>
      <c r="Q105" s="15" t="n">
        <v>0</v>
      </c>
      <c r="R105" s="16" t="n">
        <v>1</v>
      </c>
      <c r="S105" s="15" t="n">
        <v>0</v>
      </c>
      <c r="T105" s="15" t="n">
        <v>0</v>
      </c>
      <c r="U105" s="15" t="n">
        <v>0</v>
      </c>
      <c r="V105" s="15" t="n">
        <v>0</v>
      </c>
      <c r="W105" s="15" t="n">
        <v>0</v>
      </c>
      <c r="X105" s="15" t="n">
        <v>0</v>
      </c>
      <c r="Y105" s="15" t="n">
        <v>0</v>
      </c>
      <c r="Z105" s="15" t="n">
        <v>0</v>
      </c>
      <c r="AA105" s="15" t="n">
        <v>0</v>
      </c>
      <c r="AB105" s="15" t="n">
        <v>0</v>
      </c>
      <c r="AC105" s="17" t="n">
        <v>2</v>
      </c>
    </row>
    <row r="106" ht="15" customHeight="1">
      <c r="A106" s="15" t="n">
        <v>104</v>
      </c>
      <c r="B106" s="15" t="inlineStr">
        <is>
          <t>05264-2021</t>
        </is>
      </c>
      <c r="C106" s="15" t="inlineStr">
        <is>
          <t>Llamoja — SV de control (2021-2023)</t>
        </is>
      </c>
      <c r="D106" s="15" t="inlineStr">
        <is>
          <t>2025</t>
        </is>
      </c>
      <c r="E106" s="15" t="inlineStr">
        <is>
          <t>3SC</t>
        </is>
      </c>
      <c r="F106" s="15" t="n">
        <v>0</v>
      </c>
      <c r="G106" s="15" t="n">
        <v>0</v>
      </c>
      <c r="H106" s="15" t="n">
        <v>0</v>
      </c>
      <c r="I106" s="15" t="n">
        <v>0</v>
      </c>
      <c r="J106" s="15" t="n">
        <v>0</v>
      </c>
      <c r="K106" s="15" t="n">
        <v>0</v>
      </c>
      <c r="L106" s="15" t="n">
        <v>0</v>
      </c>
      <c r="M106" s="15" t="n">
        <v>0</v>
      </c>
      <c r="N106" s="15" t="n">
        <v>0</v>
      </c>
      <c r="O106" s="15" t="n">
        <v>0</v>
      </c>
      <c r="P106" s="15" t="n">
        <v>0</v>
      </c>
      <c r="Q106" s="15" t="n">
        <v>0</v>
      </c>
      <c r="R106" s="15" t="n">
        <v>0</v>
      </c>
      <c r="S106" s="15" t="n">
        <v>0</v>
      </c>
      <c r="T106" s="15" t="n">
        <v>0</v>
      </c>
      <c r="U106" s="15" t="n">
        <v>0</v>
      </c>
      <c r="V106" s="15" t="n">
        <v>0</v>
      </c>
      <c r="W106" s="15" t="n">
        <v>0</v>
      </c>
      <c r="X106" s="15" t="n">
        <v>0</v>
      </c>
      <c r="Y106" s="15" t="n">
        <v>0</v>
      </c>
      <c r="Z106" s="15" t="n">
        <v>0</v>
      </c>
      <c r="AA106" s="15" t="n">
        <v>0</v>
      </c>
      <c r="AB106" s="15" t="n">
        <v>0</v>
      </c>
      <c r="AC106" s="15" t="n">
        <v>0</v>
      </c>
    </row>
    <row r="107" ht="15" customHeight="1">
      <c r="A107" s="15" t="n">
        <v>105</v>
      </c>
      <c r="B107" s="15" t="inlineStr">
        <is>
          <t>05276-2023</t>
        </is>
      </c>
      <c r="C107" s="15" t="inlineStr">
        <is>
          <t>Llamoja — SV de control (2021-2023)</t>
        </is>
      </c>
      <c r="D107" s="15" t="inlineStr">
        <is>
          <t>2025</t>
        </is>
      </c>
      <c r="E107" s="15" t="inlineStr">
        <is>
          <t>2SC</t>
        </is>
      </c>
      <c r="F107" s="15" t="n">
        <v>0</v>
      </c>
      <c r="G107" s="15" t="n">
        <v>0</v>
      </c>
      <c r="H107" s="15" t="n">
        <v>0</v>
      </c>
      <c r="I107" s="15" t="n">
        <v>0</v>
      </c>
      <c r="J107" s="15" t="n">
        <v>0</v>
      </c>
      <c r="K107" s="15" t="n">
        <v>0</v>
      </c>
      <c r="L107" s="15" t="n">
        <v>0</v>
      </c>
      <c r="M107" s="15" t="n">
        <v>0</v>
      </c>
      <c r="N107" s="15" t="n">
        <v>0</v>
      </c>
      <c r="O107" s="15" t="n">
        <v>0</v>
      </c>
      <c r="P107" s="15" t="n">
        <v>0</v>
      </c>
      <c r="Q107" s="15" t="n">
        <v>0</v>
      </c>
      <c r="R107" s="15" t="n">
        <v>0</v>
      </c>
      <c r="S107" s="15" t="n">
        <v>0</v>
      </c>
      <c r="T107" s="15" t="n">
        <v>0</v>
      </c>
      <c r="U107" s="15" t="n">
        <v>0</v>
      </c>
      <c r="V107" s="15" t="n">
        <v>0</v>
      </c>
      <c r="W107" s="15" t="n">
        <v>0</v>
      </c>
      <c r="X107" s="15" t="n">
        <v>0</v>
      </c>
      <c r="Y107" s="15" t="n">
        <v>0</v>
      </c>
      <c r="Z107" s="15" t="n">
        <v>0</v>
      </c>
      <c r="AA107" s="15" t="n">
        <v>0</v>
      </c>
      <c r="AB107" s="15" t="n">
        <v>0</v>
      </c>
      <c r="AC107" s="15" t="n">
        <v>0</v>
      </c>
    </row>
    <row r="108" ht="15" customHeight="1">
      <c r="A108" s="15" t="n">
        <v>106</v>
      </c>
      <c r="B108" s="15" t="inlineStr">
        <is>
          <t>05345-2022</t>
        </is>
      </c>
      <c r="C108" s="15" t="inlineStr">
        <is>
          <t>Matriz sumarísimos — grupo 2024</t>
        </is>
      </c>
      <c r="D108" s="15" t="inlineStr">
        <is>
          <t>2025</t>
        </is>
      </c>
      <c r="E108" s="15" t="inlineStr">
        <is>
          <t>3SC</t>
        </is>
      </c>
      <c r="F108" s="15" t="n">
        <v>0</v>
      </c>
      <c r="G108" s="15" t="n">
        <v>0</v>
      </c>
      <c r="H108" s="15" t="n">
        <v>0</v>
      </c>
      <c r="I108" s="15" t="n">
        <v>0</v>
      </c>
      <c r="J108" s="15" t="n">
        <v>0</v>
      </c>
      <c r="K108" s="15" t="n">
        <v>0</v>
      </c>
      <c r="L108" s="15" t="n">
        <v>0</v>
      </c>
      <c r="M108" s="15" t="n">
        <v>0</v>
      </c>
      <c r="N108" s="15" t="n">
        <v>0</v>
      </c>
      <c r="O108" s="15" t="n">
        <v>0</v>
      </c>
      <c r="P108" s="15" t="n">
        <v>0</v>
      </c>
      <c r="Q108" s="15" t="n">
        <v>0</v>
      </c>
      <c r="R108" s="15" t="n">
        <v>0</v>
      </c>
      <c r="S108" s="15" t="n">
        <v>0</v>
      </c>
      <c r="T108" s="15" t="n">
        <v>0</v>
      </c>
      <c r="U108" s="15" t="n">
        <v>0</v>
      </c>
      <c r="V108" s="15" t="n">
        <v>0</v>
      </c>
      <c r="W108" s="15" t="n">
        <v>0</v>
      </c>
      <c r="X108" s="16" t="n">
        <v>1</v>
      </c>
      <c r="Y108" s="15" t="n">
        <v>0</v>
      </c>
      <c r="Z108" s="15" t="n">
        <v>0</v>
      </c>
      <c r="AA108" s="16" t="n">
        <v>1</v>
      </c>
      <c r="AB108" s="15" t="n">
        <v>0</v>
      </c>
      <c r="AC108" s="17" t="n">
        <v>2</v>
      </c>
    </row>
    <row r="109" ht="15" customHeight="1">
      <c r="A109" s="15" t="n">
        <v>107</v>
      </c>
      <c r="B109" s="15" t="inlineStr">
        <is>
          <t>05381-2009</t>
        </is>
      </c>
      <c r="C109" s="15" t="inlineStr">
        <is>
          <t>Pre-2019</t>
        </is>
      </c>
      <c r="D109" s="15" t="inlineStr">
        <is>
          <t>2019</t>
        </is>
      </c>
      <c r="E109" s="15" t="inlineStr">
        <is>
          <t>2SC</t>
        </is>
      </c>
      <c r="F109" s="15" t="n">
        <v>0</v>
      </c>
      <c r="G109" s="15" t="n">
        <v>0</v>
      </c>
      <c r="H109" s="15" t="n">
        <v>0</v>
      </c>
      <c r="I109" s="15" t="n">
        <v>0</v>
      </c>
      <c r="J109" s="15" t="n">
        <v>0</v>
      </c>
      <c r="K109" s="15" t="n">
        <v>0</v>
      </c>
      <c r="L109" s="15" t="n">
        <v>0</v>
      </c>
      <c r="M109" s="15" t="n">
        <v>0</v>
      </c>
      <c r="N109" s="15" t="n">
        <v>0</v>
      </c>
      <c r="O109" s="15" t="n">
        <v>0</v>
      </c>
      <c r="P109" s="15" t="n">
        <v>0</v>
      </c>
      <c r="Q109" s="15" t="n">
        <v>0</v>
      </c>
      <c r="R109" s="15" t="n">
        <v>0</v>
      </c>
      <c r="S109" s="15" t="n">
        <v>0</v>
      </c>
      <c r="T109" s="15" t="n">
        <v>0</v>
      </c>
      <c r="U109" s="15" t="n">
        <v>0</v>
      </c>
      <c r="V109" s="15" t="n">
        <v>0</v>
      </c>
      <c r="W109" s="15" t="n">
        <v>0</v>
      </c>
      <c r="X109" s="15" t="n">
        <v>0</v>
      </c>
      <c r="Y109" s="15" t="n">
        <v>0</v>
      </c>
      <c r="Z109" s="15" t="n">
        <v>0</v>
      </c>
      <c r="AA109" s="15" t="n">
        <v>0</v>
      </c>
      <c r="AB109" s="16" t="n">
        <v>1</v>
      </c>
      <c r="AC109" s="17" t="n">
        <v>1</v>
      </c>
    </row>
    <row r="110" ht="15" customHeight="1">
      <c r="A110" s="15" t="n">
        <v>108</v>
      </c>
      <c r="B110" s="15" t="inlineStr">
        <is>
          <t>05382-2016</t>
        </is>
      </c>
      <c r="C110" s="15" t="inlineStr">
        <is>
          <t>Matriz sumarísimos — anteriores a 2019</t>
        </is>
      </c>
      <c r="D110" s="15" t="inlineStr">
        <is>
          <t>2019</t>
        </is>
      </c>
      <c r="E110" s="15" t="inlineStr">
        <is>
          <t>2SC</t>
        </is>
      </c>
      <c r="F110" s="15" t="n">
        <v>0</v>
      </c>
      <c r="G110" s="15" t="n">
        <v>0</v>
      </c>
      <c r="H110" s="15" t="n">
        <v>0</v>
      </c>
      <c r="I110" s="15" t="n">
        <v>0</v>
      </c>
      <c r="J110" s="15" t="n">
        <v>0</v>
      </c>
      <c r="K110" s="15" t="n">
        <v>0</v>
      </c>
      <c r="L110" s="15" t="n">
        <v>0</v>
      </c>
      <c r="M110" s="16" t="n">
        <v>1</v>
      </c>
      <c r="N110" s="15" t="n">
        <v>0</v>
      </c>
      <c r="O110" s="15" t="n">
        <v>0</v>
      </c>
      <c r="P110" s="15" t="n">
        <v>0</v>
      </c>
      <c r="Q110" s="16" t="n">
        <v>1</v>
      </c>
      <c r="R110" s="16" t="n">
        <v>1</v>
      </c>
      <c r="S110" s="15" t="n">
        <v>0</v>
      </c>
      <c r="T110" s="15" t="n">
        <v>0</v>
      </c>
      <c r="U110" s="15" t="n">
        <v>0</v>
      </c>
      <c r="V110" s="15" t="n">
        <v>0</v>
      </c>
      <c r="W110" s="15" t="n">
        <v>0</v>
      </c>
      <c r="X110" s="15" t="n">
        <v>0</v>
      </c>
      <c r="Y110" s="15" t="n">
        <v>0</v>
      </c>
      <c r="Z110" s="15" t="n">
        <v>0</v>
      </c>
      <c r="AA110" s="15" t="n">
        <v>0</v>
      </c>
      <c r="AB110" s="15" t="n">
        <v>0</v>
      </c>
      <c r="AC110" s="17" t="n">
        <v>3</v>
      </c>
    </row>
    <row r="111" ht="15" customHeight="1">
      <c r="A111" s="15" t="n">
        <v>109</v>
      </c>
      <c r="B111" s="15" t="inlineStr">
        <is>
          <t>05487-2013</t>
        </is>
      </c>
      <c r="C111" s="15" t="inlineStr">
        <is>
          <t>Pre-2019</t>
        </is>
      </c>
      <c r="D111" s="15" t="inlineStr">
        <is>
          <t>2018</t>
        </is>
      </c>
      <c r="E111" s="15" t="inlineStr">
        <is>
          <t>2SC</t>
        </is>
      </c>
      <c r="F111" s="15" t="n">
        <v>0</v>
      </c>
      <c r="G111" s="15" t="n">
        <v>0</v>
      </c>
      <c r="H111" s="15" t="n">
        <v>0</v>
      </c>
      <c r="I111" s="15" t="n">
        <v>0</v>
      </c>
      <c r="J111" s="15" t="n">
        <v>0</v>
      </c>
      <c r="K111" s="15" t="n">
        <v>0</v>
      </c>
      <c r="L111" s="15" t="n">
        <v>0</v>
      </c>
      <c r="M111" s="15" t="n">
        <v>0</v>
      </c>
      <c r="N111" s="15" t="n">
        <v>0</v>
      </c>
      <c r="O111" s="15" t="n">
        <v>0</v>
      </c>
      <c r="P111" s="15" t="n">
        <v>0</v>
      </c>
      <c r="Q111" s="15" t="n">
        <v>0</v>
      </c>
      <c r="R111" s="15" t="n">
        <v>0</v>
      </c>
      <c r="S111" s="15" t="n">
        <v>0</v>
      </c>
      <c r="T111" s="15" t="n">
        <v>0</v>
      </c>
      <c r="U111" s="15" t="n">
        <v>0</v>
      </c>
      <c r="V111" s="15" t="n">
        <v>0</v>
      </c>
      <c r="W111" s="15" t="n">
        <v>0</v>
      </c>
      <c r="X111" s="15" t="n">
        <v>0</v>
      </c>
      <c r="Y111" s="15" t="n">
        <v>0</v>
      </c>
      <c r="Z111" s="15" t="n">
        <v>0</v>
      </c>
      <c r="AA111" s="15" t="n">
        <v>0</v>
      </c>
      <c r="AB111" s="16" t="n">
        <v>1</v>
      </c>
      <c r="AC111" s="17" t="n">
        <v>1</v>
      </c>
    </row>
    <row r="112" ht="15" customHeight="1">
      <c r="A112" s="15" t="n">
        <v>110</v>
      </c>
      <c r="B112" s="15" t="inlineStr">
        <is>
          <t>05576-2021</t>
        </is>
      </c>
      <c r="C112" s="15" t="inlineStr">
        <is>
          <t>2024</t>
        </is>
      </c>
      <c r="D112" s="15" t="inlineStr">
        <is>
          <t>2025</t>
        </is>
      </c>
      <c r="E112" s="15" t="inlineStr">
        <is>
          <t>3SC</t>
        </is>
      </c>
      <c r="F112" s="15" t="n">
        <v>0</v>
      </c>
      <c r="G112" s="15" t="n">
        <v>0</v>
      </c>
      <c r="H112" s="15" t="n">
        <v>0</v>
      </c>
      <c r="I112" s="15" t="n">
        <v>0</v>
      </c>
      <c r="J112" s="15" t="n">
        <v>0</v>
      </c>
      <c r="K112" s="15" t="n">
        <v>0</v>
      </c>
      <c r="L112" s="15" t="n">
        <v>0</v>
      </c>
      <c r="M112" s="15" t="n">
        <v>0</v>
      </c>
      <c r="N112" s="15" t="n">
        <v>0</v>
      </c>
      <c r="O112" s="15" t="n">
        <v>0</v>
      </c>
      <c r="P112" s="15" t="n">
        <v>0</v>
      </c>
      <c r="Q112" s="15" t="n">
        <v>0</v>
      </c>
      <c r="R112" s="15" t="n">
        <v>0</v>
      </c>
      <c r="S112" s="15" t="n">
        <v>0</v>
      </c>
      <c r="T112" s="15" t="n">
        <v>0</v>
      </c>
      <c r="U112" s="15" t="n">
        <v>0</v>
      </c>
      <c r="V112" s="15" t="n">
        <v>0</v>
      </c>
      <c r="W112" s="15" t="n">
        <v>0</v>
      </c>
      <c r="X112" s="15" t="n">
        <v>0</v>
      </c>
      <c r="Y112" s="15" t="n">
        <v>0</v>
      </c>
      <c r="Z112" s="15" t="n">
        <v>0</v>
      </c>
      <c r="AA112" s="15" t="n">
        <v>0</v>
      </c>
      <c r="AB112" s="15" t="n">
        <v>0</v>
      </c>
      <c r="AC112" s="15" t="n">
        <v>0</v>
      </c>
    </row>
    <row r="113" ht="15" customHeight="1">
      <c r="A113" s="15" t="n">
        <v>111</v>
      </c>
      <c r="B113" s="15" t="inlineStr">
        <is>
          <t>05814-2021</t>
        </is>
      </c>
      <c r="C113" s="15" t="inlineStr">
        <is>
          <t>Llamoja — SV de control (2021-2023)</t>
        </is>
      </c>
      <c r="D113" s="15" t="inlineStr">
        <is>
          <t>2024</t>
        </is>
      </c>
      <c r="E113" s="15" t="inlineStr">
        <is>
          <t>3SC</t>
        </is>
      </c>
      <c r="F113" s="15" t="n">
        <v>0</v>
      </c>
      <c r="G113" s="15" t="n">
        <v>0</v>
      </c>
      <c r="H113" s="15" t="n">
        <v>0</v>
      </c>
      <c r="I113" s="15" t="n">
        <v>0</v>
      </c>
      <c r="J113" s="15" t="n">
        <v>0</v>
      </c>
      <c r="K113" s="15" t="n">
        <v>0</v>
      </c>
      <c r="L113" s="15" t="n">
        <v>0</v>
      </c>
      <c r="M113" s="15" t="n">
        <v>0</v>
      </c>
      <c r="N113" s="15" t="n">
        <v>0</v>
      </c>
      <c r="O113" s="15" t="n">
        <v>0</v>
      </c>
      <c r="P113" s="15" t="n">
        <v>0</v>
      </c>
      <c r="Q113" s="15" t="n">
        <v>0</v>
      </c>
      <c r="R113" s="15" t="n">
        <v>0</v>
      </c>
      <c r="S113" s="15" t="n">
        <v>0</v>
      </c>
      <c r="T113" s="15" t="n">
        <v>0</v>
      </c>
      <c r="U113" s="16" t="n">
        <v>1</v>
      </c>
      <c r="V113" s="15" t="n">
        <v>0</v>
      </c>
      <c r="W113" s="15" t="n">
        <v>0</v>
      </c>
      <c r="X113" s="15" t="n">
        <v>0</v>
      </c>
      <c r="Y113" s="15" t="n">
        <v>0</v>
      </c>
      <c r="Z113" s="15" t="n">
        <v>0</v>
      </c>
      <c r="AA113" s="15" t="n">
        <v>0</v>
      </c>
      <c r="AB113" s="15" t="n">
        <v>0</v>
      </c>
      <c r="AC113" s="17" t="n">
        <v>1</v>
      </c>
    </row>
    <row r="114" ht="15" customHeight="1">
      <c r="A114" s="15" t="n">
        <v>112</v>
      </c>
      <c r="B114" s="15" t="inlineStr">
        <is>
          <t>05899-2021</t>
        </is>
      </c>
      <c r="C114" s="15" t="inlineStr">
        <is>
          <t>Llamoja — SV de control (2021-2023)</t>
        </is>
      </c>
      <c r="D114" s="15" t="inlineStr">
        <is>
          <t>2025</t>
        </is>
      </c>
      <c r="E114" s="15" t="inlineStr">
        <is>
          <t>2SC</t>
        </is>
      </c>
      <c r="F114" s="15" t="n">
        <v>0</v>
      </c>
      <c r="G114" s="15" t="n">
        <v>0</v>
      </c>
      <c r="H114" s="15" t="n">
        <v>0</v>
      </c>
      <c r="I114" s="15" t="n">
        <v>0</v>
      </c>
      <c r="J114" s="15" t="n">
        <v>0</v>
      </c>
      <c r="K114" s="15" t="n">
        <v>0</v>
      </c>
      <c r="L114" s="15" t="n">
        <v>0</v>
      </c>
      <c r="M114" s="15" t="n">
        <v>0</v>
      </c>
      <c r="N114" s="15" t="n">
        <v>0</v>
      </c>
      <c r="O114" s="15" t="n">
        <v>0</v>
      </c>
      <c r="P114" s="16" t="n">
        <v>1</v>
      </c>
      <c r="Q114" s="15" t="n">
        <v>0</v>
      </c>
      <c r="R114" s="16" t="n">
        <v>1</v>
      </c>
      <c r="S114" s="15" t="n">
        <v>0</v>
      </c>
      <c r="T114" s="15" t="n">
        <v>0</v>
      </c>
      <c r="U114" s="15" t="n">
        <v>0</v>
      </c>
      <c r="V114" s="15" t="n">
        <v>0</v>
      </c>
      <c r="W114" s="15" t="n">
        <v>0</v>
      </c>
      <c r="X114" s="15" t="n">
        <v>0</v>
      </c>
      <c r="Y114" s="15" t="n">
        <v>0</v>
      </c>
      <c r="Z114" s="15" t="n">
        <v>0</v>
      </c>
      <c r="AA114" s="15" t="n">
        <v>0</v>
      </c>
      <c r="AB114" s="15" t="n">
        <v>0</v>
      </c>
      <c r="AC114" s="17" t="n">
        <v>2</v>
      </c>
    </row>
    <row r="115" ht="15" customHeight="1">
      <c r="A115" s="15" t="n">
        <v>113</v>
      </c>
      <c r="B115" s="15" t="inlineStr">
        <is>
          <t>06071-2006</t>
        </is>
      </c>
      <c r="C115" s="15" t="inlineStr">
        <is>
          <t>Pre-2019</t>
        </is>
      </c>
      <c r="D115" s="15" t="inlineStr">
        <is>
          <t>2019</t>
        </is>
      </c>
      <c r="E115" s="15" t="inlineStr">
        <is>
          <t>2SC</t>
        </is>
      </c>
      <c r="F115" s="15" t="n">
        <v>0</v>
      </c>
      <c r="G115" s="15" t="n">
        <v>0</v>
      </c>
      <c r="H115" s="15" t="n">
        <v>0</v>
      </c>
      <c r="I115" s="15" t="n">
        <v>0</v>
      </c>
      <c r="J115" s="15" t="n">
        <v>0</v>
      </c>
      <c r="K115" s="15" t="n">
        <v>0</v>
      </c>
      <c r="L115" s="15" t="n">
        <v>0</v>
      </c>
      <c r="M115" s="15" t="n">
        <v>0</v>
      </c>
      <c r="N115" s="15" t="n">
        <v>0</v>
      </c>
      <c r="O115" s="15" t="n">
        <v>0</v>
      </c>
      <c r="P115" s="15" t="n">
        <v>0</v>
      </c>
      <c r="Q115" s="15" t="n">
        <v>0</v>
      </c>
      <c r="R115" s="15" t="n">
        <v>0</v>
      </c>
      <c r="S115" s="15" t="n">
        <v>0</v>
      </c>
      <c r="T115" s="15" t="n">
        <v>0</v>
      </c>
      <c r="U115" s="15" t="n">
        <v>0</v>
      </c>
      <c r="V115" s="15" t="n">
        <v>0</v>
      </c>
      <c r="W115" s="15" t="n">
        <v>0</v>
      </c>
      <c r="X115" s="15" t="n">
        <v>0</v>
      </c>
      <c r="Y115" s="15" t="n">
        <v>0</v>
      </c>
      <c r="Z115" s="15" t="n">
        <v>0</v>
      </c>
      <c r="AA115" s="15" t="n">
        <v>0</v>
      </c>
      <c r="AB115" s="16" t="n">
        <v>1</v>
      </c>
      <c r="AC115" s="17" t="n">
        <v>1</v>
      </c>
    </row>
    <row r="116" ht="15" customHeight="1">
      <c r="A116" s="15" t="n">
        <v>114</v>
      </c>
      <c r="B116" s="15" t="inlineStr">
        <is>
          <t>06147-2023</t>
        </is>
      </c>
      <c r="C116" s="15" t="inlineStr">
        <is>
          <t>Matriz sumarísimos — grupo 2024</t>
        </is>
      </c>
      <c r="D116" s="15" t="inlineStr">
        <is>
          <t>2025</t>
        </is>
      </c>
      <c r="E116" s="15" t="inlineStr">
        <is>
          <t>2SC</t>
        </is>
      </c>
      <c r="F116" s="15" t="n">
        <v>0</v>
      </c>
      <c r="G116" s="16" t="n">
        <v>1</v>
      </c>
      <c r="H116" s="15" t="n">
        <v>0</v>
      </c>
      <c r="I116" s="15" t="n">
        <v>0</v>
      </c>
      <c r="J116" s="15" t="n">
        <v>0</v>
      </c>
      <c r="K116" s="15" t="n">
        <v>0</v>
      </c>
      <c r="L116" s="15" t="n">
        <v>0</v>
      </c>
      <c r="M116" s="15" t="n">
        <v>0</v>
      </c>
      <c r="N116" s="15" t="n">
        <v>0</v>
      </c>
      <c r="O116" s="15" t="n">
        <v>0</v>
      </c>
      <c r="P116" s="15" t="n">
        <v>0</v>
      </c>
      <c r="Q116" s="15" t="n">
        <v>0</v>
      </c>
      <c r="R116" s="15" t="n">
        <v>0</v>
      </c>
      <c r="S116" s="15" t="n">
        <v>0</v>
      </c>
      <c r="T116" s="15" t="n">
        <v>0</v>
      </c>
      <c r="U116" s="15" t="n">
        <v>0</v>
      </c>
      <c r="V116" s="15" t="n">
        <v>0</v>
      </c>
      <c r="W116" s="15" t="n">
        <v>0</v>
      </c>
      <c r="X116" s="16" t="n">
        <v>1</v>
      </c>
      <c r="Y116" s="16" t="n">
        <v>1</v>
      </c>
      <c r="Z116" s="15" t="n">
        <v>0</v>
      </c>
      <c r="AA116" s="15" t="n">
        <v>0</v>
      </c>
      <c r="AB116" s="16" t="n">
        <v>1</v>
      </c>
      <c r="AC116" s="17" t="n">
        <v>4</v>
      </c>
    </row>
    <row r="117" ht="15" customHeight="1">
      <c r="A117" s="15" t="n">
        <v>115</v>
      </c>
      <c r="B117" s="15" t="inlineStr">
        <is>
          <t>06151-2000</t>
        </is>
      </c>
      <c r="C117" s="15" t="inlineStr">
        <is>
          <t>Matriz sumarísimos — anteriores a 2019</t>
        </is>
      </c>
      <c r="D117" s="15" t="inlineStr">
        <is>
          <t>2021</t>
        </is>
      </c>
      <c r="E117" s="15" t="inlineStr">
        <is>
          <t>2SC</t>
        </is>
      </c>
      <c r="F117" s="16" t="n">
        <v>1</v>
      </c>
      <c r="G117" s="16" t="n">
        <v>1</v>
      </c>
      <c r="H117" s="16" t="n">
        <v>1</v>
      </c>
      <c r="I117" s="15" t="n">
        <v>0</v>
      </c>
      <c r="J117" s="15" t="n">
        <v>0</v>
      </c>
      <c r="K117" s="15" t="n">
        <v>0</v>
      </c>
      <c r="L117" s="15" t="n">
        <v>0</v>
      </c>
      <c r="M117" s="15" t="n">
        <v>0</v>
      </c>
      <c r="N117" s="15" t="n">
        <v>0</v>
      </c>
      <c r="O117" s="15" t="n">
        <v>0</v>
      </c>
      <c r="P117" s="15" t="n">
        <v>0</v>
      </c>
      <c r="Q117" s="15" t="n">
        <v>0</v>
      </c>
      <c r="R117" s="15" t="n">
        <v>0</v>
      </c>
      <c r="S117" s="15" t="n">
        <v>0</v>
      </c>
      <c r="T117" s="15" t="n">
        <v>0</v>
      </c>
      <c r="U117" s="15" t="n">
        <v>0</v>
      </c>
      <c r="V117" s="15" t="n">
        <v>0</v>
      </c>
      <c r="W117" s="15" t="n">
        <v>0</v>
      </c>
      <c r="X117" s="15" t="n">
        <v>0</v>
      </c>
      <c r="Y117" s="15" t="n">
        <v>0</v>
      </c>
      <c r="Z117" s="15" t="n">
        <v>0</v>
      </c>
      <c r="AA117" s="15" t="n">
        <v>0</v>
      </c>
      <c r="AB117" s="15" t="n">
        <v>0</v>
      </c>
      <c r="AC117" s="17" t="n">
        <v>3</v>
      </c>
    </row>
    <row r="118" ht="15" customHeight="1">
      <c r="A118" s="15" t="n">
        <v>116</v>
      </c>
      <c r="B118" s="15" t="inlineStr">
        <is>
          <t>06175-2022</t>
        </is>
      </c>
      <c r="C118" s="15" t="inlineStr">
        <is>
          <t>2024</t>
        </is>
      </c>
      <c r="D118" s="15" t="inlineStr">
        <is>
          <t>2025</t>
        </is>
      </c>
      <c r="E118" s="15" t="inlineStr">
        <is>
          <t>2SC</t>
        </is>
      </c>
      <c r="F118" s="15" t="n">
        <v>0</v>
      </c>
      <c r="G118" s="15" t="n">
        <v>0</v>
      </c>
      <c r="H118" s="15" t="n">
        <v>0</v>
      </c>
      <c r="I118" s="15" t="n">
        <v>0</v>
      </c>
      <c r="J118" s="15" t="n">
        <v>0</v>
      </c>
      <c r="K118" s="15" t="n">
        <v>0</v>
      </c>
      <c r="L118" s="15" t="n">
        <v>0</v>
      </c>
      <c r="M118" s="15" t="n">
        <v>0</v>
      </c>
      <c r="N118" s="15" t="n">
        <v>0</v>
      </c>
      <c r="O118" s="15" t="n">
        <v>0</v>
      </c>
      <c r="P118" s="15" t="n">
        <v>0</v>
      </c>
      <c r="Q118" s="15" t="n">
        <v>0</v>
      </c>
      <c r="R118" s="15" t="n">
        <v>0</v>
      </c>
      <c r="S118" s="15" t="n">
        <v>0</v>
      </c>
      <c r="T118" s="15" t="n">
        <v>0</v>
      </c>
      <c r="U118" s="15" t="n">
        <v>0</v>
      </c>
      <c r="V118" s="15" t="n">
        <v>0</v>
      </c>
      <c r="W118" s="15" t="n">
        <v>0</v>
      </c>
      <c r="X118" s="15" t="n">
        <v>0</v>
      </c>
      <c r="Y118" s="15" t="n">
        <v>0</v>
      </c>
      <c r="Z118" s="15" t="n">
        <v>0</v>
      </c>
      <c r="AA118" s="15" t="n">
        <v>0</v>
      </c>
      <c r="AB118" s="15" t="n">
        <v>0</v>
      </c>
      <c r="AC118" s="15" t="n">
        <v>0</v>
      </c>
    </row>
    <row r="119" ht="15" customHeight="1">
      <c r="A119" s="15" t="n">
        <v>117</v>
      </c>
      <c r="B119" s="15" t="inlineStr">
        <is>
          <t>06374-2019</t>
        </is>
      </c>
      <c r="C119" s="15" t="inlineStr">
        <is>
          <t>2024</t>
        </is>
      </c>
      <c r="D119" s="15" t="inlineStr">
        <is>
          <t>2025</t>
        </is>
      </c>
      <c r="E119" s="15" t="n"/>
      <c r="F119" s="16" t="n">
        <v>1</v>
      </c>
      <c r="G119" s="16" t="n">
        <v>1</v>
      </c>
      <c r="H119" s="15" t="n">
        <v>0</v>
      </c>
      <c r="I119" s="15" t="n">
        <v>0</v>
      </c>
      <c r="J119" s="15" t="n">
        <v>0</v>
      </c>
      <c r="K119" s="15" t="n">
        <v>0</v>
      </c>
      <c r="L119" s="15" t="n">
        <v>0</v>
      </c>
      <c r="M119" s="15" t="n">
        <v>0</v>
      </c>
      <c r="N119" s="15" t="n">
        <v>0</v>
      </c>
      <c r="O119" s="15" t="n">
        <v>0</v>
      </c>
      <c r="P119" s="15" t="n">
        <v>0</v>
      </c>
      <c r="Q119" s="15" t="n">
        <v>0</v>
      </c>
      <c r="R119" s="15" t="n">
        <v>0</v>
      </c>
      <c r="S119" s="15" t="n">
        <v>0</v>
      </c>
      <c r="T119" s="15" t="n">
        <v>0</v>
      </c>
      <c r="U119" s="15" t="n">
        <v>0</v>
      </c>
      <c r="V119" s="15" t="n">
        <v>0</v>
      </c>
      <c r="W119" s="15" t="n">
        <v>0</v>
      </c>
      <c r="X119" s="15" t="n">
        <v>0</v>
      </c>
      <c r="Y119" s="15" t="n">
        <v>0</v>
      </c>
      <c r="Z119" s="15" t="n">
        <v>0</v>
      </c>
      <c r="AA119" s="15" t="n">
        <v>0</v>
      </c>
      <c r="AB119" s="15" t="n">
        <v>0</v>
      </c>
      <c r="AC119" s="17" t="n">
        <v>2</v>
      </c>
    </row>
    <row r="120" ht="15" customHeight="1">
      <c r="A120" s="15" t="n">
        <v>118</v>
      </c>
      <c r="B120" s="15" t="inlineStr">
        <is>
          <t>06385-2023</t>
        </is>
      </c>
      <c r="C120" s="15" t="inlineStr">
        <is>
          <t>Llamoja — SV de control (2021-2023)</t>
        </is>
      </c>
      <c r="D120" s="15" t="inlineStr">
        <is>
          <t>2025</t>
        </is>
      </c>
      <c r="E120" s="15" t="inlineStr">
        <is>
          <t>2SC</t>
        </is>
      </c>
      <c r="F120" s="15" t="n">
        <v>0</v>
      </c>
      <c r="G120" s="15" t="n">
        <v>0</v>
      </c>
      <c r="H120" s="15" t="n">
        <v>0</v>
      </c>
      <c r="I120" s="15" t="n">
        <v>0</v>
      </c>
      <c r="J120" s="15" t="n">
        <v>0</v>
      </c>
      <c r="K120" s="15" t="n">
        <v>0</v>
      </c>
      <c r="L120" s="15" t="n">
        <v>0</v>
      </c>
      <c r="M120" s="15" t="n">
        <v>0</v>
      </c>
      <c r="N120" s="15" t="n">
        <v>0</v>
      </c>
      <c r="O120" s="15" t="n">
        <v>0</v>
      </c>
      <c r="P120" s="15" t="n">
        <v>0</v>
      </c>
      <c r="Q120" s="15" t="n">
        <v>0</v>
      </c>
      <c r="R120" s="15" t="n">
        <v>0</v>
      </c>
      <c r="S120" s="15" t="n">
        <v>0</v>
      </c>
      <c r="T120" s="15" t="n">
        <v>0</v>
      </c>
      <c r="U120" s="16" t="n">
        <v>1</v>
      </c>
      <c r="V120" s="15" t="n">
        <v>0</v>
      </c>
      <c r="W120" s="15" t="n">
        <v>0</v>
      </c>
      <c r="X120" s="15" t="n">
        <v>0</v>
      </c>
      <c r="Y120" s="15" t="n">
        <v>0</v>
      </c>
      <c r="Z120" s="15" t="n">
        <v>0</v>
      </c>
      <c r="AA120" s="15" t="n">
        <v>0</v>
      </c>
      <c r="AB120" s="15" t="n">
        <v>0</v>
      </c>
      <c r="AC120" s="17" t="n">
        <v>1</v>
      </c>
    </row>
    <row r="121" ht="15" customHeight="1">
      <c r="A121" s="15" t="n">
        <v>119</v>
      </c>
      <c r="B121" s="15" t="inlineStr">
        <is>
          <t>06402-2022</t>
        </is>
      </c>
      <c r="C121" s="15" t="inlineStr">
        <is>
          <t>2024</t>
        </is>
      </c>
      <c r="D121" s="15" t="inlineStr">
        <is>
          <t>2025</t>
        </is>
      </c>
      <c r="E121" s="15" t="n"/>
      <c r="F121" s="15" t="n">
        <v>0</v>
      </c>
      <c r="G121" s="15" t="n">
        <v>0</v>
      </c>
      <c r="H121" s="15" t="n">
        <v>0</v>
      </c>
      <c r="I121" s="15" t="n">
        <v>0</v>
      </c>
      <c r="J121" s="15" t="n">
        <v>0</v>
      </c>
      <c r="K121" s="15" t="n">
        <v>0</v>
      </c>
      <c r="L121" s="15" t="n">
        <v>0</v>
      </c>
      <c r="M121" s="15" t="n">
        <v>0</v>
      </c>
      <c r="N121" s="15" t="n">
        <v>0</v>
      </c>
      <c r="O121" s="15" t="n">
        <v>0</v>
      </c>
      <c r="P121" s="16" t="n">
        <v>1</v>
      </c>
      <c r="Q121" s="15" t="n">
        <v>0</v>
      </c>
      <c r="R121" s="15" t="n">
        <v>0</v>
      </c>
      <c r="S121" s="15" t="n">
        <v>0</v>
      </c>
      <c r="T121" s="15" t="n">
        <v>0</v>
      </c>
      <c r="U121" s="15" t="n">
        <v>0</v>
      </c>
      <c r="V121" s="15" t="n">
        <v>0</v>
      </c>
      <c r="W121" s="15" t="n">
        <v>0</v>
      </c>
      <c r="X121" s="15" t="n">
        <v>0</v>
      </c>
      <c r="Y121" s="15" t="n">
        <v>0</v>
      </c>
      <c r="Z121" s="15" t="n">
        <v>0</v>
      </c>
      <c r="AA121" s="15" t="n">
        <v>0</v>
      </c>
      <c r="AB121" s="16" t="n">
        <v>1</v>
      </c>
      <c r="AC121" s="17" t="n">
        <v>2</v>
      </c>
    </row>
    <row r="122" ht="15" customHeight="1">
      <c r="A122" s="15" t="n">
        <v>120</v>
      </c>
      <c r="B122" s="15" t="inlineStr">
        <is>
          <t>06607-2021</t>
        </is>
      </c>
      <c r="C122" s="15" t="inlineStr">
        <is>
          <t>2024</t>
        </is>
      </c>
      <c r="D122" s="15" t="inlineStr">
        <is>
          <t>2025</t>
        </is>
      </c>
      <c r="E122" s="15" t="inlineStr">
        <is>
          <t>2SC</t>
        </is>
      </c>
      <c r="F122" s="15" t="n">
        <v>0</v>
      </c>
      <c r="G122" s="16" t="n">
        <v>1</v>
      </c>
      <c r="H122" s="15" t="n">
        <v>0</v>
      </c>
      <c r="I122" s="15" t="n">
        <v>0</v>
      </c>
      <c r="J122" s="15" t="n">
        <v>0</v>
      </c>
      <c r="K122" s="15" t="n">
        <v>0</v>
      </c>
      <c r="L122" s="15" t="n">
        <v>0</v>
      </c>
      <c r="M122" s="15" t="n">
        <v>0</v>
      </c>
      <c r="N122" s="15" t="n">
        <v>0</v>
      </c>
      <c r="O122" s="15" t="n">
        <v>0</v>
      </c>
      <c r="P122" s="15" t="n">
        <v>0</v>
      </c>
      <c r="Q122" s="15" t="n">
        <v>0</v>
      </c>
      <c r="R122" s="15" t="n">
        <v>0</v>
      </c>
      <c r="S122" s="15" t="n">
        <v>0</v>
      </c>
      <c r="T122" s="15" t="n">
        <v>0</v>
      </c>
      <c r="U122" s="16" t="n">
        <v>1</v>
      </c>
      <c r="V122" s="15" t="n">
        <v>0</v>
      </c>
      <c r="W122" s="15" t="n">
        <v>0</v>
      </c>
      <c r="X122" s="15" t="n">
        <v>0</v>
      </c>
      <c r="Y122" s="15" t="n">
        <v>0</v>
      </c>
      <c r="Z122" s="15" t="n">
        <v>0</v>
      </c>
      <c r="AA122" s="15" t="n">
        <v>0</v>
      </c>
      <c r="AB122" s="16" t="n">
        <v>1</v>
      </c>
      <c r="AC122" s="17" t="n">
        <v>3</v>
      </c>
    </row>
    <row r="123" ht="15" customHeight="1">
      <c r="A123" s="15" t="n">
        <v>121</v>
      </c>
      <c r="B123" s="15" t="inlineStr">
        <is>
          <t>06834-2022</t>
        </is>
      </c>
      <c r="C123" s="15" t="inlineStr">
        <is>
          <t>Llamoja — SV de control (2021-2023)</t>
        </is>
      </c>
      <c r="D123" s="15" t="inlineStr">
        <is>
          <t>2025</t>
        </is>
      </c>
      <c r="E123" s="15" t="inlineStr">
        <is>
          <t>2SC</t>
        </is>
      </c>
      <c r="F123" s="15" t="n">
        <v>0</v>
      </c>
      <c r="G123" s="15" t="n">
        <v>0</v>
      </c>
      <c r="H123" s="15" t="n">
        <v>0</v>
      </c>
      <c r="I123" s="15" t="n">
        <v>0</v>
      </c>
      <c r="J123" s="15" t="n">
        <v>0</v>
      </c>
      <c r="K123" s="15" t="n">
        <v>0</v>
      </c>
      <c r="L123" s="16" t="n">
        <v>1</v>
      </c>
      <c r="M123" s="15" t="n">
        <v>0</v>
      </c>
      <c r="N123" s="15" t="n">
        <v>0</v>
      </c>
      <c r="O123" s="15" t="n">
        <v>0</v>
      </c>
      <c r="P123" s="15" t="n">
        <v>0</v>
      </c>
      <c r="Q123" s="16" t="n">
        <v>1</v>
      </c>
      <c r="R123" s="16" t="n">
        <v>1</v>
      </c>
      <c r="S123" s="15" t="n">
        <v>0</v>
      </c>
      <c r="T123" s="15" t="n">
        <v>0</v>
      </c>
      <c r="U123" s="15" t="n">
        <v>0</v>
      </c>
      <c r="V123" s="15" t="n">
        <v>0</v>
      </c>
      <c r="W123" s="15" t="n">
        <v>0</v>
      </c>
      <c r="X123" s="15" t="n">
        <v>0</v>
      </c>
      <c r="Y123" s="15" t="n">
        <v>0</v>
      </c>
      <c r="Z123" s="15" t="n">
        <v>0</v>
      </c>
      <c r="AA123" s="15" t="n">
        <v>0</v>
      </c>
      <c r="AB123" s="15" t="n">
        <v>0</v>
      </c>
      <c r="AC123" s="17" t="n">
        <v>3</v>
      </c>
    </row>
    <row r="124" ht="15" customHeight="1">
      <c r="A124" s="15" t="n">
        <v>122</v>
      </c>
      <c r="B124" s="15" t="inlineStr">
        <is>
          <t>06842-2014</t>
        </is>
      </c>
      <c r="C124" s="15" t="inlineStr">
        <is>
          <t>Pre-2019</t>
        </is>
      </c>
      <c r="D124" s="15" t="inlineStr">
        <is>
          <t>2018</t>
        </is>
      </c>
      <c r="E124" s="15" t="inlineStr">
        <is>
          <t>1SC</t>
        </is>
      </c>
      <c r="F124" s="15" t="n">
        <v>0</v>
      </c>
      <c r="G124" s="15" t="n">
        <v>0</v>
      </c>
      <c r="H124" s="15" t="n">
        <v>0</v>
      </c>
      <c r="I124" s="15" t="n">
        <v>0</v>
      </c>
      <c r="J124" s="15" t="n">
        <v>0</v>
      </c>
      <c r="K124" s="15" t="n">
        <v>0</v>
      </c>
      <c r="L124" s="15" t="n">
        <v>0</v>
      </c>
      <c r="M124" s="15" t="n">
        <v>0</v>
      </c>
      <c r="N124" s="15" t="n">
        <v>0</v>
      </c>
      <c r="O124" s="15" t="n">
        <v>0</v>
      </c>
      <c r="P124" s="15" t="n">
        <v>0</v>
      </c>
      <c r="Q124" s="15" t="n">
        <v>0</v>
      </c>
      <c r="R124" s="15" t="n">
        <v>0</v>
      </c>
      <c r="S124" s="15" t="n">
        <v>0</v>
      </c>
      <c r="T124" s="15" t="n">
        <v>0</v>
      </c>
      <c r="U124" s="15" t="n">
        <v>0</v>
      </c>
      <c r="V124" s="15" t="n">
        <v>0</v>
      </c>
      <c r="W124" s="15" t="n">
        <v>0</v>
      </c>
      <c r="X124" s="15" t="n">
        <v>0</v>
      </c>
      <c r="Y124" s="15" t="n">
        <v>0</v>
      </c>
      <c r="Z124" s="15" t="n">
        <v>0</v>
      </c>
      <c r="AA124" s="15" t="n">
        <v>0</v>
      </c>
      <c r="AB124" s="15" t="n">
        <v>0</v>
      </c>
      <c r="AC124" s="15" t="n">
        <v>0</v>
      </c>
    </row>
    <row r="125" ht="15" customHeight="1">
      <c r="A125" s="15" t="n">
        <v>123</v>
      </c>
      <c r="B125" s="15" t="inlineStr">
        <is>
          <t>06866-2022</t>
        </is>
      </c>
      <c r="C125" s="15" t="inlineStr">
        <is>
          <t>Llamoja — SV de control (2021-2023)</t>
        </is>
      </c>
      <c r="D125" s="15" t="inlineStr">
        <is>
          <t>2025</t>
        </is>
      </c>
      <c r="E125" s="15" t="inlineStr">
        <is>
          <t>3SC</t>
        </is>
      </c>
      <c r="F125" s="15" t="n">
        <v>0</v>
      </c>
      <c r="G125" s="15" t="n">
        <v>0</v>
      </c>
      <c r="H125" s="15" t="n">
        <v>0</v>
      </c>
      <c r="I125" s="15" t="n">
        <v>0</v>
      </c>
      <c r="J125" s="15" t="n">
        <v>0</v>
      </c>
      <c r="K125" s="15" t="n">
        <v>0</v>
      </c>
      <c r="L125" s="15" t="n">
        <v>0</v>
      </c>
      <c r="M125" s="15" t="n">
        <v>0</v>
      </c>
      <c r="N125" s="15" t="n">
        <v>0</v>
      </c>
      <c r="O125" s="15" t="n">
        <v>0</v>
      </c>
      <c r="P125" s="15" t="n">
        <v>0</v>
      </c>
      <c r="Q125" s="15" t="n">
        <v>0</v>
      </c>
      <c r="R125" s="15" t="n">
        <v>0</v>
      </c>
      <c r="S125" s="15" t="n">
        <v>0</v>
      </c>
      <c r="T125" s="15" t="n">
        <v>0</v>
      </c>
      <c r="U125" s="16" t="n">
        <v>1</v>
      </c>
      <c r="V125" s="15" t="n">
        <v>0</v>
      </c>
      <c r="W125" s="15" t="n">
        <v>0</v>
      </c>
      <c r="X125" s="15" t="n">
        <v>0</v>
      </c>
      <c r="Y125" s="15" t="n">
        <v>0</v>
      </c>
      <c r="Z125" s="16" t="n">
        <v>1</v>
      </c>
      <c r="AA125" s="15" t="n">
        <v>0</v>
      </c>
      <c r="AB125" s="15" t="n">
        <v>0</v>
      </c>
      <c r="AC125" s="17" t="n">
        <v>2</v>
      </c>
    </row>
    <row r="126" ht="15" customHeight="1">
      <c r="A126" s="15" t="n">
        <v>124</v>
      </c>
      <c r="B126" s="15" t="inlineStr">
        <is>
          <t>06942-2023</t>
        </is>
      </c>
      <c r="C126" s="15" t="inlineStr">
        <is>
          <t>Matriz sumarísimos — grupo 2024</t>
        </is>
      </c>
      <c r="D126" s="15" t="inlineStr">
        <is>
          <t>2025</t>
        </is>
      </c>
      <c r="E126" s="15" t="inlineStr">
        <is>
          <t>1SC</t>
        </is>
      </c>
      <c r="F126" s="16" t="n">
        <v>1</v>
      </c>
      <c r="G126" s="15" t="n">
        <v>0</v>
      </c>
      <c r="H126" s="15" t="n">
        <v>0</v>
      </c>
      <c r="I126" s="16" t="n">
        <v>1</v>
      </c>
      <c r="J126" s="15" t="n">
        <v>0</v>
      </c>
      <c r="K126" s="15" t="n">
        <v>0</v>
      </c>
      <c r="L126" s="15" t="n">
        <v>0</v>
      </c>
      <c r="M126" s="15" t="n">
        <v>0</v>
      </c>
      <c r="N126" s="15" t="n">
        <v>0</v>
      </c>
      <c r="O126" s="15" t="n">
        <v>0</v>
      </c>
      <c r="P126" s="15" t="n">
        <v>0</v>
      </c>
      <c r="Q126" s="15" t="n">
        <v>0</v>
      </c>
      <c r="R126" s="15" t="n">
        <v>0</v>
      </c>
      <c r="S126" s="15" t="n">
        <v>0</v>
      </c>
      <c r="T126" s="15" t="n">
        <v>0</v>
      </c>
      <c r="U126" s="15" t="n">
        <v>0</v>
      </c>
      <c r="V126" s="15" t="n">
        <v>0</v>
      </c>
      <c r="W126" s="15" t="n">
        <v>0</v>
      </c>
      <c r="X126" s="15" t="n">
        <v>0</v>
      </c>
      <c r="Y126" s="15" t="n">
        <v>0</v>
      </c>
      <c r="Z126" s="15" t="n">
        <v>0</v>
      </c>
      <c r="AA126" s="15" t="n">
        <v>0</v>
      </c>
      <c r="AB126" s="15" t="n">
        <v>0</v>
      </c>
      <c r="AC126" s="17" t="n">
        <v>2</v>
      </c>
    </row>
    <row r="127" ht="15" customHeight="1">
      <c r="A127" s="15" t="n">
        <v>125</v>
      </c>
      <c r="B127" s="15" t="inlineStr">
        <is>
          <t>07287-2022</t>
        </is>
      </c>
      <c r="C127" s="15" t="inlineStr">
        <is>
          <t>Llamoja — SV de control (2021-2023)</t>
        </is>
      </c>
      <c r="D127" s="15" t="inlineStr">
        <is>
          <t>2024</t>
        </is>
      </c>
      <c r="E127" s="15" t="inlineStr">
        <is>
          <t>1SC</t>
        </is>
      </c>
      <c r="F127" s="15" t="n">
        <v>0</v>
      </c>
      <c r="G127" s="15" t="n">
        <v>0</v>
      </c>
      <c r="H127" s="15" t="n">
        <v>0</v>
      </c>
      <c r="I127" s="15" t="n">
        <v>0</v>
      </c>
      <c r="J127" s="15" t="n">
        <v>0</v>
      </c>
      <c r="K127" s="15" t="n">
        <v>0</v>
      </c>
      <c r="L127" s="15" t="n">
        <v>0</v>
      </c>
      <c r="M127" s="15" t="n">
        <v>0</v>
      </c>
      <c r="N127" s="15" t="n">
        <v>0</v>
      </c>
      <c r="O127" s="15" t="n">
        <v>0</v>
      </c>
      <c r="P127" s="15" t="n">
        <v>0</v>
      </c>
      <c r="Q127" s="15" t="n">
        <v>0</v>
      </c>
      <c r="R127" s="15" t="n">
        <v>0</v>
      </c>
      <c r="S127" s="15" t="n">
        <v>0</v>
      </c>
      <c r="T127" s="15" t="n">
        <v>0</v>
      </c>
      <c r="U127" s="16" t="n">
        <v>1</v>
      </c>
      <c r="V127" s="15" t="n">
        <v>0</v>
      </c>
      <c r="W127" s="15" t="n">
        <v>0</v>
      </c>
      <c r="X127" s="16" t="n">
        <v>1</v>
      </c>
      <c r="Y127" s="15" t="n">
        <v>0</v>
      </c>
      <c r="Z127" s="15" t="n">
        <v>0</v>
      </c>
      <c r="AA127" s="15" t="n">
        <v>0</v>
      </c>
      <c r="AB127" s="15" t="n">
        <v>0</v>
      </c>
      <c r="AC127" s="17" t="n">
        <v>2</v>
      </c>
    </row>
    <row r="128" ht="15" customHeight="1">
      <c r="A128" s="15" t="n">
        <v>126</v>
      </c>
      <c r="B128" s="15" t="inlineStr">
        <is>
          <t>07288-2022</t>
        </is>
      </c>
      <c r="C128" s="15" t="inlineStr">
        <is>
          <t>Matriz sumarísimos — grupo 2024</t>
        </is>
      </c>
      <c r="D128" s="15" t="inlineStr">
        <is>
          <t>2025</t>
        </is>
      </c>
      <c r="E128" s="15" t="inlineStr">
        <is>
          <t>3SC</t>
        </is>
      </c>
      <c r="F128" s="15" t="n">
        <v>0</v>
      </c>
      <c r="G128" s="15" t="n">
        <v>0</v>
      </c>
      <c r="H128" s="15" t="n">
        <v>0</v>
      </c>
      <c r="I128" s="15" t="n">
        <v>0</v>
      </c>
      <c r="J128" s="15" t="n">
        <v>0</v>
      </c>
      <c r="K128" s="15" t="n">
        <v>0</v>
      </c>
      <c r="L128" s="15" t="n">
        <v>0</v>
      </c>
      <c r="M128" s="15" t="n">
        <v>0</v>
      </c>
      <c r="N128" s="15" t="n">
        <v>0</v>
      </c>
      <c r="O128" s="15" t="n">
        <v>0</v>
      </c>
      <c r="P128" s="15" t="n">
        <v>0</v>
      </c>
      <c r="Q128" s="15" t="n">
        <v>0</v>
      </c>
      <c r="R128" s="16" t="n">
        <v>1</v>
      </c>
      <c r="S128" s="15" t="n">
        <v>0</v>
      </c>
      <c r="T128" s="15" t="n">
        <v>0</v>
      </c>
      <c r="U128" s="15" t="n">
        <v>0</v>
      </c>
      <c r="V128" s="15" t="n">
        <v>0</v>
      </c>
      <c r="W128" s="15" t="n">
        <v>0</v>
      </c>
      <c r="X128" s="15" t="n">
        <v>0</v>
      </c>
      <c r="Y128" s="15" t="n">
        <v>0</v>
      </c>
      <c r="Z128" s="15" t="n">
        <v>0</v>
      </c>
      <c r="AA128" s="15" t="n">
        <v>0</v>
      </c>
      <c r="AB128" s="15" t="n">
        <v>0</v>
      </c>
      <c r="AC128" s="17" t="n">
        <v>1</v>
      </c>
    </row>
    <row r="129" ht="15" customHeight="1">
      <c r="A129" s="15" t="n">
        <v>127</v>
      </c>
      <c r="B129" s="15" t="inlineStr">
        <is>
          <t>07296-2022</t>
        </is>
      </c>
      <c r="C129" s="15" t="inlineStr">
        <is>
          <t>Llamoja — SV de control (2021-2023)</t>
        </is>
      </c>
      <c r="D129" s="15" t="inlineStr">
        <is>
          <t>2025</t>
        </is>
      </c>
      <c r="E129" s="15" t="inlineStr">
        <is>
          <t>3SC</t>
        </is>
      </c>
      <c r="F129" s="15" t="n">
        <v>0</v>
      </c>
      <c r="G129" s="15" t="n">
        <v>0</v>
      </c>
      <c r="H129" s="15" t="n">
        <v>0</v>
      </c>
      <c r="I129" s="15" t="n">
        <v>0</v>
      </c>
      <c r="J129" s="15" t="n">
        <v>0</v>
      </c>
      <c r="K129" s="15" t="n">
        <v>0</v>
      </c>
      <c r="L129" s="15" t="n">
        <v>0</v>
      </c>
      <c r="M129" s="15" t="n">
        <v>0</v>
      </c>
      <c r="N129" s="15" t="n">
        <v>0</v>
      </c>
      <c r="O129" s="15" t="n">
        <v>0</v>
      </c>
      <c r="P129" s="15" t="n">
        <v>0</v>
      </c>
      <c r="Q129" s="16" t="n">
        <v>1</v>
      </c>
      <c r="R129" s="16" t="n">
        <v>1</v>
      </c>
      <c r="S129" s="15" t="n">
        <v>0</v>
      </c>
      <c r="T129" s="15" t="n">
        <v>0</v>
      </c>
      <c r="U129" s="15" t="n">
        <v>0</v>
      </c>
      <c r="V129" s="15" t="n">
        <v>0</v>
      </c>
      <c r="W129" s="15" t="n">
        <v>0</v>
      </c>
      <c r="X129" s="15" t="n">
        <v>0</v>
      </c>
      <c r="Y129" s="15" t="n">
        <v>0</v>
      </c>
      <c r="Z129" s="15" t="n">
        <v>0</v>
      </c>
      <c r="AA129" s="15" t="n">
        <v>0</v>
      </c>
      <c r="AB129" s="15" t="n">
        <v>0</v>
      </c>
      <c r="AC129" s="17" t="n">
        <v>2</v>
      </c>
    </row>
    <row r="130" ht="15" customHeight="1">
      <c r="A130" s="15" t="n">
        <v>128</v>
      </c>
      <c r="B130" s="15" t="inlineStr">
        <is>
          <t>07480-2014</t>
        </is>
      </c>
      <c r="C130" s="15" t="inlineStr">
        <is>
          <t>Pre-2019</t>
        </is>
      </c>
      <c r="D130" s="15" t="inlineStr">
        <is>
          <t>2018</t>
        </is>
      </c>
      <c r="E130" s="15" t="inlineStr">
        <is>
          <t>2SC</t>
        </is>
      </c>
      <c r="F130" s="15" t="n">
        <v>0</v>
      </c>
      <c r="G130" s="16" t="n">
        <v>1</v>
      </c>
      <c r="H130" s="15" t="n">
        <v>0</v>
      </c>
      <c r="I130" s="15" t="n">
        <v>0</v>
      </c>
      <c r="J130" s="15" t="n">
        <v>0</v>
      </c>
      <c r="K130" s="15" t="n">
        <v>0</v>
      </c>
      <c r="L130" s="15" t="n">
        <v>0</v>
      </c>
      <c r="M130" s="15" t="n">
        <v>0</v>
      </c>
      <c r="N130" s="15" t="n">
        <v>0</v>
      </c>
      <c r="O130" s="15" t="n">
        <v>0</v>
      </c>
      <c r="P130" s="15" t="n">
        <v>0</v>
      </c>
      <c r="Q130" s="15" t="n">
        <v>0</v>
      </c>
      <c r="R130" s="15" t="n">
        <v>0</v>
      </c>
      <c r="S130" s="15" t="n">
        <v>0</v>
      </c>
      <c r="T130" s="15" t="n">
        <v>0</v>
      </c>
      <c r="U130" s="15" t="n">
        <v>0</v>
      </c>
      <c r="V130" s="15" t="n">
        <v>0</v>
      </c>
      <c r="W130" s="15" t="n">
        <v>0</v>
      </c>
      <c r="X130" s="16" t="n">
        <v>1</v>
      </c>
      <c r="Y130" s="15" t="n">
        <v>0</v>
      </c>
      <c r="Z130" s="15" t="n">
        <v>0</v>
      </c>
      <c r="AA130" s="15" t="n">
        <v>0</v>
      </c>
      <c r="AB130" s="15" t="n">
        <v>0</v>
      </c>
      <c r="AC130" s="17" t="n">
        <v>2</v>
      </c>
    </row>
    <row r="131" ht="15" customHeight="1">
      <c r="A131" s="15" t="n">
        <v>129</v>
      </c>
      <c r="B131" s="15" t="inlineStr">
        <is>
          <t>07590-2022</t>
        </is>
      </c>
      <c r="C131" s="15" t="inlineStr">
        <is>
          <t>Matriz sumarísimos — grupo 2024</t>
        </is>
      </c>
      <c r="D131" s="15" t="inlineStr">
        <is>
          <t>2024</t>
        </is>
      </c>
      <c r="E131" s="15" t="inlineStr">
        <is>
          <t>1SC</t>
        </is>
      </c>
      <c r="F131" s="15" t="n">
        <v>0</v>
      </c>
      <c r="G131" s="15" t="n">
        <v>0</v>
      </c>
      <c r="H131" s="15" t="n">
        <v>0</v>
      </c>
      <c r="I131" s="15" t="n">
        <v>0</v>
      </c>
      <c r="J131" s="15" t="n">
        <v>0</v>
      </c>
      <c r="K131" s="16" t="n">
        <v>1</v>
      </c>
      <c r="L131" s="15" t="n">
        <v>0</v>
      </c>
      <c r="M131" s="15" t="n">
        <v>0</v>
      </c>
      <c r="N131" s="15" t="n">
        <v>0</v>
      </c>
      <c r="O131" s="15" t="n">
        <v>0</v>
      </c>
      <c r="P131" s="16" t="n">
        <v>1</v>
      </c>
      <c r="Q131" s="15" t="n">
        <v>0</v>
      </c>
      <c r="R131" s="15" t="n">
        <v>0</v>
      </c>
      <c r="S131" s="15" t="n">
        <v>0</v>
      </c>
      <c r="T131" s="15" t="n">
        <v>0</v>
      </c>
      <c r="U131" s="15" t="n">
        <v>0</v>
      </c>
      <c r="V131" s="15" t="n">
        <v>0</v>
      </c>
      <c r="W131" s="15" t="n">
        <v>0</v>
      </c>
      <c r="X131" s="15" t="n">
        <v>0</v>
      </c>
      <c r="Y131" s="15" t="n">
        <v>0</v>
      </c>
      <c r="Z131" s="15" t="n">
        <v>0</v>
      </c>
      <c r="AA131" s="15" t="n">
        <v>0</v>
      </c>
      <c r="AB131" s="15" t="n">
        <v>0</v>
      </c>
      <c r="AC131" s="17" t="n">
        <v>2</v>
      </c>
    </row>
    <row r="132" ht="15" customHeight="1">
      <c r="A132" s="15" t="n">
        <v>130</v>
      </c>
      <c r="B132" s="15" t="inlineStr">
        <is>
          <t>07595-2022</t>
        </is>
      </c>
      <c r="C132" s="15" t="inlineStr">
        <is>
          <t>Llamoja — SV de control (2021-2023)</t>
        </is>
      </c>
      <c r="D132" s="15" t="inlineStr">
        <is>
          <t>2025</t>
        </is>
      </c>
      <c r="E132" s="15" t="inlineStr">
        <is>
          <t>2SC</t>
        </is>
      </c>
      <c r="F132" s="15" t="n">
        <v>0</v>
      </c>
      <c r="G132" s="15" t="n">
        <v>0</v>
      </c>
      <c r="H132" s="15" t="n">
        <v>0</v>
      </c>
      <c r="I132" s="15" t="n">
        <v>0</v>
      </c>
      <c r="J132" s="15" t="n">
        <v>0</v>
      </c>
      <c r="K132" s="15" t="n">
        <v>0</v>
      </c>
      <c r="L132" s="15" t="n">
        <v>0</v>
      </c>
      <c r="M132" s="15" t="n">
        <v>0</v>
      </c>
      <c r="N132" s="15" t="n">
        <v>0</v>
      </c>
      <c r="O132" s="15" t="n">
        <v>0</v>
      </c>
      <c r="P132" s="15" t="n">
        <v>0</v>
      </c>
      <c r="Q132" s="15" t="n">
        <v>0</v>
      </c>
      <c r="R132" s="15" t="n">
        <v>0</v>
      </c>
      <c r="S132" s="15" t="n">
        <v>0</v>
      </c>
      <c r="T132" s="15" t="n">
        <v>0</v>
      </c>
      <c r="U132" s="15" t="n">
        <v>0</v>
      </c>
      <c r="V132" s="15" t="n">
        <v>0</v>
      </c>
      <c r="W132" s="15" t="n">
        <v>0</v>
      </c>
      <c r="X132" s="15" t="n">
        <v>0</v>
      </c>
      <c r="Y132" s="16" t="n">
        <v>1</v>
      </c>
      <c r="Z132" s="15" t="n">
        <v>0</v>
      </c>
      <c r="AA132" s="15" t="n">
        <v>0</v>
      </c>
      <c r="AB132" s="15" t="n">
        <v>0</v>
      </c>
      <c r="AC132" s="17" t="n">
        <v>1</v>
      </c>
    </row>
    <row r="133" ht="15" customHeight="1">
      <c r="A133" s="15" t="n">
        <v>131</v>
      </c>
      <c r="B133" s="15" t="inlineStr">
        <is>
          <t>07606-2013</t>
        </is>
      </c>
      <c r="C133" s="15" t="inlineStr">
        <is>
          <t>Matriz sumarísimos — anteriores a 2019</t>
        </is>
      </c>
      <c r="D133" s="15" t="inlineStr">
        <is>
          <t>2019</t>
        </is>
      </c>
      <c r="E133" s="15" t="inlineStr">
        <is>
          <t>2SC</t>
        </is>
      </c>
      <c r="F133" s="15" t="n">
        <v>0</v>
      </c>
      <c r="G133" s="15" t="n">
        <v>0</v>
      </c>
      <c r="H133" s="15" t="n">
        <v>0</v>
      </c>
      <c r="I133" s="15" t="n">
        <v>0</v>
      </c>
      <c r="J133" s="15" t="n">
        <v>0</v>
      </c>
      <c r="K133" s="15" t="n">
        <v>0</v>
      </c>
      <c r="L133" s="15" t="n">
        <v>0</v>
      </c>
      <c r="M133" s="15" t="n">
        <v>0</v>
      </c>
      <c r="N133" s="15" t="n">
        <v>0</v>
      </c>
      <c r="O133" s="15" t="n">
        <v>0</v>
      </c>
      <c r="P133" s="15" t="n">
        <v>0</v>
      </c>
      <c r="Q133" s="15" t="n">
        <v>0</v>
      </c>
      <c r="R133" s="15" t="n">
        <v>0</v>
      </c>
      <c r="S133" s="15" t="n">
        <v>0</v>
      </c>
      <c r="T133" s="16" t="n">
        <v>1</v>
      </c>
      <c r="U133" s="16" t="n">
        <v>1</v>
      </c>
      <c r="V133" s="15" t="n">
        <v>0</v>
      </c>
      <c r="W133" s="15" t="n">
        <v>0</v>
      </c>
      <c r="X133" s="15" t="n">
        <v>0</v>
      </c>
      <c r="Y133" s="15" t="n">
        <v>0</v>
      </c>
      <c r="Z133" s="15" t="n">
        <v>0</v>
      </c>
      <c r="AA133" s="15" t="n">
        <v>0</v>
      </c>
      <c r="AB133" s="15" t="n">
        <v>0</v>
      </c>
      <c r="AC133" s="17" t="n">
        <v>2</v>
      </c>
    </row>
    <row r="134" ht="15" customHeight="1">
      <c r="A134" s="15" t="n">
        <v>132</v>
      </c>
      <c r="B134" s="15" t="inlineStr">
        <is>
          <t>07609-2014</t>
        </is>
      </c>
      <c r="C134" s="15" t="inlineStr">
        <is>
          <t>Matriz sumarísimos — anteriores a 2019</t>
        </is>
      </c>
      <c r="D134" s="15" t="inlineStr">
        <is>
          <t>2019</t>
        </is>
      </c>
      <c r="E134" s="15" t="inlineStr">
        <is>
          <t>2SC</t>
        </is>
      </c>
      <c r="F134" s="15" t="n">
        <v>0</v>
      </c>
      <c r="G134" s="15" t="n">
        <v>0</v>
      </c>
      <c r="H134" s="15" t="n">
        <v>0</v>
      </c>
      <c r="I134" s="15" t="n">
        <v>0</v>
      </c>
      <c r="J134" s="15" t="n">
        <v>0</v>
      </c>
      <c r="K134" s="15" t="n">
        <v>0</v>
      </c>
      <c r="L134" s="15" t="n">
        <v>0</v>
      </c>
      <c r="M134" s="15" t="n">
        <v>0</v>
      </c>
      <c r="N134" s="15" t="n">
        <v>0</v>
      </c>
      <c r="O134" s="15" t="n">
        <v>0</v>
      </c>
      <c r="P134" s="15" t="n">
        <v>0</v>
      </c>
      <c r="Q134" s="15" t="n">
        <v>0</v>
      </c>
      <c r="R134" s="15" t="n">
        <v>0</v>
      </c>
      <c r="S134" s="15" t="n">
        <v>0</v>
      </c>
      <c r="T134" s="15" t="n">
        <v>0</v>
      </c>
      <c r="U134" s="16" t="n">
        <v>1</v>
      </c>
      <c r="V134" s="15" t="n">
        <v>0</v>
      </c>
      <c r="W134" s="15" t="n">
        <v>0</v>
      </c>
      <c r="X134" s="15" t="n">
        <v>0</v>
      </c>
      <c r="Y134" s="15" t="n">
        <v>0</v>
      </c>
      <c r="Z134" s="15" t="n">
        <v>0</v>
      </c>
      <c r="AA134" s="15" t="n">
        <v>0</v>
      </c>
      <c r="AB134" s="15" t="n">
        <v>0</v>
      </c>
      <c r="AC134" s="17" t="n">
        <v>1</v>
      </c>
    </row>
    <row r="135" ht="15" customHeight="1">
      <c r="A135" s="15" t="n">
        <v>133</v>
      </c>
      <c r="B135" s="15" t="inlineStr">
        <is>
          <t>08092-2014</t>
        </is>
      </c>
      <c r="C135" s="15" t="inlineStr">
        <is>
          <t>Pre-2019</t>
        </is>
      </c>
      <c r="D135" s="15" t="inlineStr">
        <is>
          <t>2020</t>
        </is>
      </c>
      <c r="E135" s="15" t="inlineStr">
        <is>
          <t>2SC</t>
        </is>
      </c>
      <c r="F135" s="15" t="n">
        <v>0</v>
      </c>
      <c r="G135" s="16" t="n">
        <v>1</v>
      </c>
      <c r="H135" s="15" t="n">
        <v>0</v>
      </c>
      <c r="I135" s="15" t="n">
        <v>0</v>
      </c>
      <c r="J135" s="15" t="n">
        <v>0</v>
      </c>
      <c r="K135" s="15" t="n">
        <v>0</v>
      </c>
      <c r="L135" s="15" t="n">
        <v>0</v>
      </c>
      <c r="M135" s="15" t="n">
        <v>0</v>
      </c>
      <c r="N135" s="15" t="n">
        <v>0</v>
      </c>
      <c r="O135" s="15" t="n">
        <v>0</v>
      </c>
      <c r="P135" s="15" t="n">
        <v>0</v>
      </c>
      <c r="Q135" s="15" t="n">
        <v>0</v>
      </c>
      <c r="R135" s="15" t="n">
        <v>0</v>
      </c>
      <c r="S135" s="15" t="n">
        <v>0</v>
      </c>
      <c r="T135" s="15" t="n">
        <v>0</v>
      </c>
      <c r="U135" s="16" t="n">
        <v>1</v>
      </c>
      <c r="V135" s="15" t="n">
        <v>0</v>
      </c>
      <c r="W135" s="15" t="n">
        <v>0</v>
      </c>
      <c r="X135" s="15" t="n">
        <v>0</v>
      </c>
      <c r="Y135" s="15" t="n">
        <v>0</v>
      </c>
      <c r="Z135" s="15" t="n">
        <v>0</v>
      </c>
      <c r="AA135" s="15" t="n">
        <v>0</v>
      </c>
      <c r="AB135" s="15" t="n">
        <v>0</v>
      </c>
      <c r="AC135" s="17" t="n">
        <v>2</v>
      </c>
    </row>
    <row r="136" ht="15" customHeight="1">
      <c r="A136" s="15" t="n">
        <v>134</v>
      </c>
      <c r="B136" s="15" t="inlineStr">
        <is>
          <t>08461-2014</t>
        </is>
      </c>
      <c r="C136" s="15" t="inlineStr">
        <is>
          <t>Matriz sumarísimos — anteriores a 2019</t>
        </is>
      </c>
      <c r="D136" s="15" t="inlineStr">
        <is>
          <t>2018</t>
        </is>
      </c>
      <c r="E136" s="15" t="inlineStr">
        <is>
          <t>3SC</t>
        </is>
      </c>
      <c r="F136" s="15" t="n">
        <v>0</v>
      </c>
      <c r="G136" s="15" t="n">
        <v>0</v>
      </c>
      <c r="H136" s="15" t="n">
        <v>0</v>
      </c>
      <c r="I136" s="15" t="n">
        <v>0</v>
      </c>
      <c r="J136" s="15" t="n">
        <v>0</v>
      </c>
      <c r="K136" s="16" t="n">
        <v>1</v>
      </c>
      <c r="L136" s="15" t="n">
        <v>0</v>
      </c>
      <c r="M136" s="15" t="n">
        <v>0</v>
      </c>
      <c r="N136" s="15" t="n">
        <v>0</v>
      </c>
      <c r="O136" s="15" t="n">
        <v>0</v>
      </c>
      <c r="P136" s="15" t="n">
        <v>0</v>
      </c>
      <c r="Q136" s="15" t="n">
        <v>0</v>
      </c>
      <c r="R136" s="15" t="n">
        <v>0</v>
      </c>
      <c r="S136" s="15" t="n">
        <v>0</v>
      </c>
      <c r="T136" s="15" t="n">
        <v>0</v>
      </c>
      <c r="U136" s="15" t="n">
        <v>0</v>
      </c>
      <c r="V136" s="15" t="n">
        <v>0</v>
      </c>
      <c r="W136" s="15" t="n">
        <v>0</v>
      </c>
      <c r="X136" s="15" t="n">
        <v>0</v>
      </c>
      <c r="Y136" s="15" t="n">
        <v>0</v>
      </c>
      <c r="Z136" s="15" t="n">
        <v>0</v>
      </c>
      <c r="AA136" s="15" t="n">
        <v>0</v>
      </c>
      <c r="AB136" s="15" t="n">
        <v>0</v>
      </c>
      <c r="AC136" s="17" t="n">
        <v>1</v>
      </c>
    </row>
    <row r="137" ht="15" customHeight="1">
      <c r="A137" s="15" t="n">
        <v>135</v>
      </c>
      <c r="B137" s="15" t="inlineStr">
        <is>
          <t>01302-2015</t>
        </is>
      </c>
      <c r="C137" s="15" t="inlineStr">
        <is>
          <t>Abreviado — anteriores a 2019 (ABR18_SV)</t>
        </is>
      </c>
      <c r="D137" s="15" t="inlineStr">
        <is>
          <t>2019</t>
        </is>
      </c>
      <c r="E137" s="15" t="inlineStr">
        <is>
          <t>1SC</t>
        </is>
      </c>
      <c r="F137" s="15" t="n">
        <v>0</v>
      </c>
      <c r="G137" s="15" t="n">
        <v>0</v>
      </c>
      <c r="H137" s="15" t="n">
        <v>0</v>
      </c>
      <c r="I137" s="15" t="n">
        <v>0</v>
      </c>
      <c r="J137" s="15" t="n">
        <v>0</v>
      </c>
      <c r="K137" s="15" t="n">
        <v>0</v>
      </c>
      <c r="L137" s="15" t="n">
        <v>0</v>
      </c>
      <c r="M137" s="15" t="n">
        <v>0</v>
      </c>
      <c r="N137" s="15" t="n">
        <v>0</v>
      </c>
      <c r="O137" s="15" t="n">
        <v>0</v>
      </c>
      <c r="P137" s="15" t="n">
        <v>0</v>
      </c>
      <c r="Q137" s="16" t="n">
        <v>0</v>
      </c>
      <c r="R137" s="15" t="n">
        <v>0</v>
      </c>
      <c r="S137" s="15" t="n">
        <v>0</v>
      </c>
      <c r="T137" s="16" t="n">
        <v>0</v>
      </c>
      <c r="U137" s="15" t="n">
        <v>0</v>
      </c>
      <c r="V137" s="15" t="n">
        <v>0</v>
      </c>
      <c r="W137" s="15" t="n">
        <v>0</v>
      </c>
      <c r="X137" s="15" t="n">
        <v>0</v>
      </c>
      <c r="Y137" s="15" t="n">
        <v>0</v>
      </c>
      <c r="Z137" s="15" t="n">
        <v>0</v>
      </c>
      <c r="AA137" s="15" t="n">
        <v>0</v>
      </c>
      <c r="AB137" s="15" t="n">
        <v>0</v>
      </c>
      <c r="AC137" s="17" t="n">
        <v>0</v>
      </c>
    </row>
    <row r="138" ht="15" customHeight="1">
      <c r="A138" s="15" t="n">
        <v>136</v>
      </c>
      <c r="B138" s="15" t="inlineStr">
        <is>
          <t>01530-2015</t>
        </is>
      </c>
      <c r="C138" s="15" t="inlineStr">
        <is>
          <t>Abreviado — anteriores a 2019 (ABR18_SV)</t>
        </is>
      </c>
      <c r="D138" s="15" t="inlineStr">
        <is>
          <t>2019</t>
        </is>
      </c>
      <c r="E138" s="15" t="inlineStr">
        <is>
          <t>2SC</t>
        </is>
      </c>
      <c r="F138" s="15" t="n">
        <v>0</v>
      </c>
      <c r="G138" s="15" t="n">
        <v>0</v>
      </c>
      <c r="H138" s="15" t="n">
        <v>0</v>
      </c>
      <c r="I138" s="15" t="n">
        <v>0</v>
      </c>
      <c r="J138" s="15" t="n">
        <v>0</v>
      </c>
      <c r="K138" s="15" t="n">
        <v>0</v>
      </c>
      <c r="L138" s="15" t="n">
        <v>0</v>
      </c>
      <c r="M138" s="15" t="n">
        <v>1</v>
      </c>
      <c r="N138" s="15" t="n">
        <v>0</v>
      </c>
      <c r="O138" s="15" t="n">
        <v>0</v>
      </c>
      <c r="P138" s="15" t="n">
        <v>1</v>
      </c>
      <c r="Q138" s="16" t="n">
        <v>0</v>
      </c>
      <c r="R138" s="15" t="n">
        <v>1</v>
      </c>
      <c r="S138" s="15" t="n">
        <v>1</v>
      </c>
      <c r="T138" s="16" t="n">
        <v>0</v>
      </c>
      <c r="U138" s="15" t="n">
        <v>0</v>
      </c>
      <c r="V138" s="15" t="n">
        <v>0</v>
      </c>
      <c r="W138" s="15" t="n">
        <v>0</v>
      </c>
      <c r="X138" s="15" t="n">
        <v>0</v>
      </c>
      <c r="Y138" s="15" t="n">
        <v>0</v>
      </c>
      <c r="Z138" s="15" t="n">
        <v>0</v>
      </c>
      <c r="AA138" s="15" t="n">
        <v>0</v>
      </c>
      <c r="AB138" s="15" t="n">
        <v>0</v>
      </c>
      <c r="AC138" s="17" t="n">
        <v>4</v>
      </c>
    </row>
    <row r="139" ht="15" customHeight="1">
      <c r="A139" s="15" t="n">
        <v>137</v>
      </c>
      <c r="B139" s="15" t="inlineStr">
        <is>
          <t>01612-2015</t>
        </is>
      </c>
      <c r="C139" s="15" t="inlineStr">
        <is>
          <t>Abreviado — anteriores a 2019 (ABR18_SV)</t>
        </is>
      </c>
      <c r="D139" s="15" t="inlineStr">
        <is>
          <t>2019</t>
        </is>
      </c>
      <c r="E139" s="15" t="inlineStr">
        <is>
          <t>1SC</t>
        </is>
      </c>
      <c r="F139" s="15" t="n">
        <v>0</v>
      </c>
      <c r="G139" s="15" t="n">
        <v>0</v>
      </c>
      <c r="H139" s="15" t="n">
        <v>1</v>
      </c>
      <c r="I139" s="15" t="n">
        <v>0</v>
      </c>
      <c r="J139" s="15" t="n">
        <v>0</v>
      </c>
      <c r="K139" s="15" t="n">
        <v>0</v>
      </c>
      <c r="L139" s="15" t="n">
        <v>0</v>
      </c>
      <c r="M139" s="15" t="n">
        <v>0</v>
      </c>
      <c r="N139" s="15" t="n">
        <v>0</v>
      </c>
      <c r="O139" s="15" t="n">
        <v>0</v>
      </c>
      <c r="P139" s="15" t="n">
        <v>0</v>
      </c>
      <c r="Q139" s="16" t="n">
        <v>0</v>
      </c>
      <c r="R139" s="15" t="n">
        <v>1</v>
      </c>
      <c r="S139" s="15" t="n">
        <v>0</v>
      </c>
      <c r="T139" s="16" t="n">
        <v>0</v>
      </c>
      <c r="U139" s="15" t="n">
        <v>0</v>
      </c>
      <c r="V139" s="15" t="n">
        <v>0</v>
      </c>
      <c r="W139" s="15" t="n">
        <v>0</v>
      </c>
      <c r="X139" s="15" t="n">
        <v>0</v>
      </c>
      <c r="Y139" s="15" t="n">
        <v>0</v>
      </c>
      <c r="Z139" s="15" t="n">
        <v>0</v>
      </c>
      <c r="AA139" s="15" t="n">
        <v>0</v>
      </c>
      <c r="AB139" s="15" t="n">
        <v>0</v>
      </c>
      <c r="AC139" s="17" t="n">
        <v>2</v>
      </c>
    </row>
    <row r="140" ht="15" customHeight="1">
      <c r="A140" s="15" t="n">
        <v>138</v>
      </c>
      <c r="B140" s="15" t="inlineStr">
        <is>
          <t>01763-2012</t>
        </is>
      </c>
      <c r="C140" s="15" t="inlineStr">
        <is>
          <t>Abreviado — anteriores a 2019 (ABR18_SV)</t>
        </is>
      </c>
      <c r="D140" s="15" t="inlineStr">
        <is>
          <t>2019</t>
        </is>
      </c>
      <c r="E140" s="15" t="inlineStr">
        <is>
          <t>2SC</t>
        </is>
      </c>
      <c r="F140" s="15" t="n">
        <v>0</v>
      </c>
      <c r="G140" s="15" t="n">
        <v>0</v>
      </c>
      <c r="H140" s="15" t="n">
        <v>0</v>
      </c>
      <c r="I140" s="15" t="n">
        <v>0</v>
      </c>
      <c r="J140" s="15" t="n">
        <v>0</v>
      </c>
      <c r="K140" s="15" t="n">
        <v>0</v>
      </c>
      <c r="L140" s="15" t="n">
        <v>0</v>
      </c>
      <c r="M140" s="15" t="n">
        <v>0</v>
      </c>
      <c r="N140" s="15" t="n">
        <v>0</v>
      </c>
      <c r="O140" s="15" t="n">
        <v>0</v>
      </c>
      <c r="P140" s="15" t="n">
        <v>0</v>
      </c>
      <c r="Q140" s="16" t="n">
        <v>0</v>
      </c>
      <c r="R140" s="15" t="n">
        <v>0</v>
      </c>
      <c r="S140" s="15" t="n">
        <v>0</v>
      </c>
      <c r="T140" s="16" t="n">
        <v>0</v>
      </c>
      <c r="U140" s="15" t="n">
        <v>0</v>
      </c>
      <c r="V140" s="15" t="n">
        <v>0</v>
      </c>
      <c r="W140" s="15" t="n">
        <v>0</v>
      </c>
      <c r="X140" s="15" t="n">
        <v>0</v>
      </c>
      <c r="Y140" s="15" t="n">
        <v>0</v>
      </c>
      <c r="Z140" s="15" t="n">
        <v>1</v>
      </c>
      <c r="AA140" s="15" t="n">
        <v>0</v>
      </c>
      <c r="AB140" s="15" t="n">
        <v>0</v>
      </c>
      <c r="AC140" s="17" t="n">
        <v>1</v>
      </c>
    </row>
    <row r="141" ht="15" customHeight="1">
      <c r="A141" s="15" t="n">
        <v>139</v>
      </c>
      <c r="B141" s="15" t="inlineStr">
        <is>
          <t>01852-2016</t>
        </is>
      </c>
      <c r="C141" s="15" t="inlineStr">
        <is>
          <t>Abreviado — anteriores a 2019 (ABR18_SV)</t>
        </is>
      </c>
      <c r="D141" s="15" t="inlineStr">
        <is>
          <t>2021</t>
        </is>
      </c>
      <c r="E141" s="15" t="inlineStr">
        <is>
          <t>2SC</t>
        </is>
      </c>
      <c r="F141" s="15" t="n">
        <v>0</v>
      </c>
      <c r="G141" s="15" t="n">
        <v>0</v>
      </c>
      <c r="H141" s="15" t="n">
        <v>0</v>
      </c>
      <c r="I141" s="15" t="n">
        <v>0</v>
      </c>
      <c r="J141" s="15" t="n">
        <v>0</v>
      </c>
      <c r="K141" s="15" t="n">
        <v>0</v>
      </c>
      <c r="L141" s="15" t="n">
        <v>0</v>
      </c>
      <c r="M141" s="15" t="n">
        <v>0</v>
      </c>
      <c r="N141" s="15" t="n">
        <v>0</v>
      </c>
      <c r="O141" s="15" t="n">
        <v>0</v>
      </c>
      <c r="P141" s="15" t="n">
        <v>0</v>
      </c>
      <c r="Q141" s="16" t="n">
        <v>1</v>
      </c>
      <c r="R141" s="15" t="n">
        <v>0</v>
      </c>
      <c r="S141" s="15" t="n">
        <v>0</v>
      </c>
      <c r="T141" s="16" t="n">
        <v>1</v>
      </c>
      <c r="U141" s="15" t="n">
        <v>0</v>
      </c>
      <c r="V141" s="15" t="n">
        <v>0</v>
      </c>
      <c r="W141" s="15" t="n">
        <v>0</v>
      </c>
      <c r="X141" s="15" t="n">
        <v>0</v>
      </c>
      <c r="Y141" s="15" t="n">
        <v>0</v>
      </c>
      <c r="Z141" s="15" t="n">
        <v>0</v>
      </c>
      <c r="AA141" s="15" t="n">
        <v>0</v>
      </c>
      <c r="AB141" s="15" t="n">
        <v>0</v>
      </c>
      <c r="AC141" s="17" t="n">
        <v>2</v>
      </c>
    </row>
    <row r="142" ht="15" customHeight="1">
      <c r="A142" s="15" t="n">
        <v>140</v>
      </c>
      <c r="B142" s="15" t="inlineStr">
        <is>
          <t>01922-2014</t>
        </is>
      </c>
      <c r="C142" s="15" t="inlineStr">
        <is>
          <t>Abreviado — anteriores a 2019 (ABR18_SV)</t>
        </is>
      </c>
      <c r="D142" s="15" t="inlineStr">
        <is>
          <t>2016</t>
        </is>
      </c>
      <c r="E142" s="15" t="inlineStr">
        <is>
          <t>1SC</t>
        </is>
      </c>
      <c r="F142" s="15" t="n">
        <v>0</v>
      </c>
      <c r="G142" s="15" t="n">
        <v>0</v>
      </c>
      <c r="H142" s="15" t="n">
        <v>0</v>
      </c>
      <c r="I142" s="15" t="n">
        <v>0</v>
      </c>
      <c r="J142" s="15" t="n">
        <v>0</v>
      </c>
      <c r="K142" s="15" t="n">
        <v>0</v>
      </c>
      <c r="L142" s="15" t="n">
        <v>0</v>
      </c>
      <c r="M142" s="15" t="n">
        <v>0</v>
      </c>
      <c r="N142" s="15" t="n">
        <v>0</v>
      </c>
      <c r="O142" s="15" t="n">
        <v>0</v>
      </c>
      <c r="P142" s="15" t="n">
        <v>0</v>
      </c>
      <c r="Q142" s="16" t="n">
        <v>0</v>
      </c>
      <c r="R142" s="15" t="n">
        <v>0</v>
      </c>
      <c r="S142" s="15" t="n">
        <v>0</v>
      </c>
      <c r="T142" s="16" t="n">
        <v>0</v>
      </c>
      <c r="U142" s="15" t="n">
        <v>0</v>
      </c>
      <c r="V142" s="15" t="n">
        <v>0</v>
      </c>
      <c r="W142" s="15" t="n">
        <v>0</v>
      </c>
      <c r="X142" s="15" t="n">
        <v>0</v>
      </c>
      <c r="Y142" s="15" t="n">
        <v>0</v>
      </c>
      <c r="Z142" s="15" t="n">
        <v>0</v>
      </c>
      <c r="AA142" s="15" t="n">
        <v>0</v>
      </c>
      <c r="AB142" s="15" t="n">
        <v>0</v>
      </c>
      <c r="AC142" s="17" t="n">
        <v>0</v>
      </c>
    </row>
    <row r="143" ht="15" customHeight="1">
      <c r="A143" s="15" t="n">
        <v>141</v>
      </c>
      <c r="B143" s="15" t="inlineStr">
        <is>
          <t>02126-2011</t>
        </is>
      </c>
      <c r="C143" s="15" t="inlineStr">
        <is>
          <t>Abreviado — anteriores a 2019 (ABR18_SV)</t>
        </is>
      </c>
      <c r="D143" s="15" t="inlineStr">
        <is>
          <t>2018</t>
        </is>
      </c>
      <c r="E143" s="15" t="inlineStr">
        <is>
          <t>1SC</t>
        </is>
      </c>
      <c r="F143" s="15" t="n">
        <v>0</v>
      </c>
      <c r="G143" s="15" t="n">
        <v>0</v>
      </c>
      <c r="H143" s="15" t="n">
        <v>0</v>
      </c>
      <c r="I143" s="15" t="n">
        <v>0</v>
      </c>
      <c r="J143" s="15" t="n">
        <v>0</v>
      </c>
      <c r="K143" s="15" t="n">
        <v>0</v>
      </c>
      <c r="L143" s="15" t="n">
        <v>1</v>
      </c>
      <c r="M143" s="15" t="n">
        <v>0</v>
      </c>
      <c r="N143" s="15" t="n">
        <v>0</v>
      </c>
      <c r="O143" s="15" t="n">
        <v>0</v>
      </c>
      <c r="P143" s="15" t="n">
        <v>1</v>
      </c>
      <c r="Q143" s="16" t="n">
        <v>1</v>
      </c>
      <c r="R143" s="15" t="n">
        <v>0</v>
      </c>
      <c r="S143" s="15" t="n">
        <v>1</v>
      </c>
      <c r="T143" s="16" t="n">
        <v>0</v>
      </c>
      <c r="U143" s="15" t="n">
        <v>1</v>
      </c>
      <c r="V143" s="15" t="n">
        <v>0</v>
      </c>
      <c r="W143" s="15" t="n">
        <v>0</v>
      </c>
      <c r="X143" s="15" t="n">
        <v>0</v>
      </c>
      <c r="Y143" s="15" t="n">
        <v>0</v>
      </c>
      <c r="Z143" s="15" t="n">
        <v>0</v>
      </c>
      <c r="AA143" s="15" t="n">
        <v>0</v>
      </c>
      <c r="AB143" s="15" t="n">
        <v>0</v>
      </c>
      <c r="AC143" s="17" t="n">
        <v>5</v>
      </c>
    </row>
    <row r="144" ht="15" customHeight="1">
      <c r="A144" s="15" t="n">
        <v>142</v>
      </c>
      <c r="B144" s="15" t="inlineStr">
        <is>
          <t>02412-2011</t>
        </is>
      </c>
      <c r="C144" s="15" t="inlineStr">
        <is>
          <t>Abreviado — anteriores a 2019 (ABR18_SV)</t>
        </is>
      </c>
      <c r="D144" s="15" t="inlineStr">
        <is>
          <t>2021</t>
        </is>
      </c>
      <c r="E144" s="15" t="inlineStr">
        <is>
          <t>3SC</t>
        </is>
      </c>
      <c r="F144" s="15" t="n">
        <v>0</v>
      </c>
      <c r="G144" s="15" t="n">
        <v>1</v>
      </c>
      <c r="H144" s="15" t="n">
        <v>0</v>
      </c>
      <c r="I144" s="15" t="n">
        <v>0</v>
      </c>
      <c r="J144" s="15" t="n">
        <v>0</v>
      </c>
      <c r="K144" s="15" t="n">
        <v>0</v>
      </c>
      <c r="L144" s="15" t="n">
        <v>0</v>
      </c>
      <c r="M144" s="15" t="n">
        <v>0</v>
      </c>
      <c r="N144" s="15" t="n">
        <v>0</v>
      </c>
      <c r="O144" s="15" t="n">
        <v>0</v>
      </c>
      <c r="P144" s="15" t="n">
        <v>0</v>
      </c>
      <c r="Q144" s="16" t="n">
        <v>0</v>
      </c>
      <c r="R144" s="15" t="n">
        <v>0</v>
      </c>
      <c r="S144" s="15" t="n">
        <v>0</v>
      </c>
      <c r="T144" s="16" t="n">
        <v>0</v>
      </c>
      <c r="U144" s="15" t="n">
        <v>0</v>
      </c>
      <c r="V144" s="15" t="n">
        <v>0</v>
      </c>
      <c r="W144" s="15" t="n">
        <v>0</v>
      </c>
      <c r="X144" s="15" t="n">
        <v>0</v>
      </c>
      <c r="Y144" s="15" t="n">
        <v>0</v>
      </c>
      <c r="Z144" s="15" t="n">
        <v>0</v>
      </c>
      <c r="AA144" s="15" t="n">
        <v>1</v>
      </c>
      <c r="AB144" s="15" t="n">
        <v>0</v>
      </c>
      <c r="AC144" s="17" t="n">
        <v>2</v>
      </c>
    </row>
    <row r="145" ht="15" customHeight="1">
      <c r="A145" s="15" t="n">
        <v>143</v>
      </c>
      <c r="B145" s="15" t="inlineStr">
        <is>
          <t>02476-2012</t>
        </is>
      </c>
      <c r="C145" s="15" t="inlineStr">
        <is>
          <t>Abreviado — anteriores a 2019 (ABR18_SV)</t>
        </is>
      </c>
      <c r="D145" s="15" t="inlineStr">
        <is>
          <t>2020</t>
        </is>
      </c>
      <c r="E145" s="15" t="inlineStr">
        <is>
          <t>2SC</t>
        </is>
      </c>
      <c r="F145" s="15" t="n">
        <v>0</v>
      </c>
      <c r="G145" s="15" t="n">
        <v>0</v>
      </c>
      <c r="H145" s="15" t="n">
        <v>0</v>
      </c>
      <c r="I145" s="15" t="n">
        <v>0</v>
      </c>
      <c r="J145" s="15" t="n">
        <v>0</v>
      </c>
      <c r="K145" s="15" t="n">
        <v>0</v>
      </c>
      <c r="L145" s="15" t="n">
        <v>0</v>
      </c>
      <c r="M145" s="15" t="n">
        <v>0</v>
      </c>
      <c r="N145" s="15" t="n">
        <v>0</v>
      </c>
      <c r="O145" s="15" t="n">
        <v>0</v>
      </c>
      <c r="P145" s="15" t="n">
        <v>0</v>
      </c>
      <c r="Q145" s="16" t="n">
        <v>0</v>
      </c>
      <c r="R145" s="15" t="n">
        <v>1</v>
      </c>
      <c r="S145" s="15" t="n">
        <v>0</v>
      </c>
      <c r="T145" s="16" t="n">
        <v>0</v>
      </c>
      <c r="U145" s="15" t="n">
        <v>0</v>
      </c>
      <c r="V145" s="15" t="n">
        <v>0</v>
      </c>
      <c r="W145" s="15" t="n">
        <v>0</v>
      </c>
      <c r="X145" s="15" t="n">
        <v>0</v>
      </c>
      <c r="Y145" s="15" t="n">
        <v>0</v>
      </c>
      <c r="Z145" s="15" t="n">
        <v>0</v>
      </c>
      <c r="AA145" s="15" t="n">
        <v>1</v>
      </c>
      <c r="AB145" s="15" t="n">
        <v>0</v>
      </c>
      <c r="AC145" s="17" t="n">
        <v>2</v>
      </c>
    </row>
    <row r="146" ht="15" customHeight="1">
      <c r="A146" s="15" t="n">
        <v>144</v>
      </c>
      <c r="B146" s="15" t="inlineStr">
        <is>
          <t>00025-2017</t>
        </is>
      </c>
      <c r="C146" s="15" t="inlineStr">
        <is>
          <t>Abreviado — anteriores a 2019 (ABR18_SV)</t>
        </is>
      </c>
      <c r="D146" s="15" t="inlineStr">
        <is>
          <t>2025</t>
        </is>
      </c>
      <c r="E146" s="15" t="inlineStr">
        <is>
          <t>2SC</t>
        </is>
      </c>
      <c r="F146" s="15" t="n">
        <v>0</v>
      </c>
      <c r="G146" s="15" t="n">
        <v>0</v>
      </c>
      <c r="H146" s="15" t="n">
        <v>0</v>
      </c>
      <c r="I146" s="15" t="n">
        <v>0</v>
      </c>
      <c r="J146" s="15" t="n">
        <v>0</v>
      </c>
      <c r="K146" s="15" t="n">
        <v>0</v>
      </c>
      <c r="L146" s="15" t="n">
        <v>0</v>
      </c>
      <c r="M146" s="15" t="n">
        <v>0</v>
      </c>
      <c r="N146" s="15" t="n">
        <v>0</v>
      </c>
      <c r="O146" s="15" t="n">
        <v>0</v>
      </c>
      <c r="P146" s="15" t="n">
        <v>0</v>
      </c>
      <c r="Q146" s="16" t="n">
        <v>0</v>
      </c>
      <c r="R146" s="15" t="n">
        <v>0</v>
      </c>
      <c r="S146" s="15" t="n">
        <v>0</v>
      </c>
      <c r="T146" s="16" t="n">
        <v>0</v>
      </c>
      <c r="U146" s="15" t="n">
        <v>1</v>
      </c>
      <c r="V146" s="15" t="n">
        <v>0</v>
      </c>
      <c r="W146" s="15" t="n">
        <v>0</v>
      </c>
      <c r="X146" s="15" t="n">
        <v>0</v>
      </c>
      <c r="Y146" s="15" t="n">
        <v>0</v>
      </c>
      <c r="Z146" s="15" t="n">
        <v>1</v>
      </c>
      <c r="AA146" s="15" t="n">
        <v>0</v>
      </c>
      <c r="AB146" s="15" t="n">
        <v>0</v>
      </c>
      <c r="AC146" s="17" t="n">
        <v>2</v>
      </c>
    </row>
    <row r="147" ht="15" customHeight="1">
      <c r="A147" s="15" t="n">
        <v>145</v>
      </c>
      <c r="B147" s="15" t="inlineStr">
        <is>
          <t>02592-2010</t>
        </is>
      </c>
      <c r="C147" s="15" t="inlineStr">
        <is>
          <t>Abreviado — anteriores a 2019 (ABR18_SV)</t>
        </is>
      </c>
      <c r="D147" s="15" t="inlineStr">
        <is>
          <t>2017</t>
        </is>
      </c>
      <c r="E147" s="15" t="inlineStr">
        <is>
          <t>2SC</t>
        </is>
      </c>
      <c r="F147" s="15" t="n">
        <v>0</v>
      </c>
      <c r="G147" s="15" t="n">
        <v>0</v>
      </c>
      <c r="H147" s="15" t="n">
        <v>0</v>
      </c>
      <c r="I147" s="15" t="n">
        <v>0</v>
      </c>
      <c r="J147" s="15" t="n">
        <v>0</v>
      </c>
      <c r="K147" s="15" t="n">
        <v>0</v>
      </c>
      <c r="L147" s="15" t="n">
        <v>0</v>
      </c>
      <c r="M147" s="15" t="n">
        <v>0</v>
      </c>
      <c r="N147" s="15" t="n">
        <v>0</v>
      </c>
      <c r="O147" s="15" t="n">
        <v>0</v>
      </c>
      <c r="P147" s="15" t="n">
        <v>0</v>
      </c>
      <c r="Q147" s="16" t="n">
        <v>0</v>
      </c>
      <c r="R147" s="15" t="n">
        <v>1</v>
      </c>
      <c r="S147" s="15" t="n">
        <v>0</v>
      </c>
      <c r="T147" s="16" t="n">
        <v>0</v>
      </c>
      <c r="U147" s="15" t="n">
        <v>1</v>
      </c>
      <c r="V147" s="15" t="n">
        <v>0</v>
      </c>
      <c r="W147" s="15" t="n">
        <v>0</v>
      </c>
      <c r="X147" s="15" t="n">
        <v>0</v>
      </c>
      <c r="Y147" s="15" t="n">
        <v>0</v>
      </c>
      <c r="Z147" s="15" t="n">
        <v>0</v>
      </c>
      <c r="AA147" s="15" t="n">
        <v>0</v>
      </c>
      <c r="AB147" s="15" t="n">
        <v>0</v>
      </c>
      <c r="AC147" s="17" t="n">
        <v>2</v>
      </c>
    </row>
    <row r="148" ht="15" customHeight="1">
      <c r="A148" s="15" t="n">
        <v>146</v>
      </c>
      <c r="B148" s="15" t="inlineStr">
        <is>
          <t>02676-2017</t>
        </is>
      </c>
      <c r="C148" s="15" t="inlineStr">
        <is>
          <t>Abreviado — anteriores a 2019 (ABR18_SV)</t>
        </is>
      </c>
      <c r="D148" s="15" t="inlineStr">
        <is>
          <t>2019</t>
        </is>
      </c>
      <c r="E148" s="15" t="inlineStr">
        <is>
          <t>2SC</t>
        </is>
      </c>
      <c r="F148" s="15" t="n">
        <v>0</v>
      </c>
      <c r="G148" s="15" t="n">
        <v>0</v>
      </c>
      <c r="H148" s="15" t="n">
        <v>0</v>
      </c>
      <c r="I148" s="15" t="n">
        <v>0</v>
      </c>
      <c r="J148" s="15" t="n">
        <v>0</v>
      </c>
      <c r="K148" s="15" t="n">
        <v>0</v>
      </c>
      <c r="L148" s="15" t="n">
        <v>0</v>
      </c>
      <c r="M148" s="15" t="n">
        <v>0</v>
      </c>
      <c r="N148" s="15" t="n">
        <v>0</v>
      </c>
      <c r="O148" s="15" t="n">
        <v>0</v>
      </c>
      <c r="P148" s="15" t="n">
        <v>0</v>
      </c>
      <c r="Q148" s="16" t="n">
        <v>0</v>
      </c>
      <c r="R148" s="15" t="n">
        <v>0</v>
      </c>
      <c r="S148" s="15" t="n">
        <v>0</v>
      </c>
      <c r="T148" s="16" t="n">
        <v>0</v>
      </c>
      <c r="U148" s="15" t="n">
        <v>0</v>
      </c>
      <c r="V148" s="15" t="n">
        <v>0</v>
      </c>
      <c r="W148" s="15" t="n">
        <v>0</v>
      </c>
      <c r="X148" s="15" t="n">
        <v>0</v>
      </c>
      <c r="Y148" s="15" t="n">
        <v>0</v>
      </c>
      <c r="Z148" s="15" t="n">
        <v>0</v>
      </c>
      <c r="AA148" s="15" t="n">
        <v>0</v>
      </c>
      <c r="AB148" s="15" t="n">
        <v>0</v>
      </c>
      <c r="AC148" s="17" t="n">
        <v>0</v>
      </c>
    </row>
    <row r="149" ht="15" customHeight="1">
      <c r="A149" s="15" t="n">
        <v>147</v>
      </c>
      <c r="B149" s="15" t="inlineStr">
        <is>
          <t>03271-2016</t>
        </is>
      </c>
      <c r="C149" s="15" t="inlineStr">
        <is>
          <t>Abreviado — anteriores a 2019 (ABR18_SV)</t>
        </is>
      </c>
      <c r="D149" s="15" t="inlineStr">
        <is>
          <t>2018</t>
        </is>
      </c>
      <c r="E149" s="15" t="inlineStr">
        <is>
          <t>3SC</t>
        </is>
      </c>
      <c r="F149" s="15" t="n">
        <v>0</v>
      </c>
      <c r="G149" s="15" t="n">
        <v>0</v>
      </c>
      <c r="H149" s="15" t="n">
        <v>0</v>
      </c>
      <c r="I149" s="15" t="n">
        <v>0</v>
      </c>
      <c r="J149" s="15" t="n">
        <v>0</v>
      </c>
      <c r="K149" s="15" t="n">
        <v>0</v>
      </c>
      <c r="L149" s="15" t="n">
        <v>0</v>
      </c>
      <c r="M149" s="15" t="n">
        <v>0</v>
      </c>
      <c r="N149" s="15" t="n">
        <v>0</v>
      </c>
      <c r="O149" s="15" t="n">
        <v>0</v>
      </c>
      <c r="P149" s="15" t="n">
        <v>0</v>
      </c>
      <c r="Q149" s="16" t="n">
        <v>0</v>
      </c>
      <c r="R149" s="15" t="n">
        <v>0</v>
      </c>
      <c r="S149" s="15" t="n">
        <v>0</v>
      </c>
      <c r="T149" s="16" t="n">
        <v>0</v>
      </c>
      <c r="U149" s="15" t="n">
        <v>1</v>
      </c>
      <c r="V149" s="15" t="n">
        <v>0</v>
      </c>
      <c r="W149" s="15" t="n">
        <v>0</v>
      </c>
      <c r="X149" s="15" t="n">
        <v>0</v>
      </c>
      <c r="Y149" s="15" t="n">
        <v>0</v>
      </c>
      <c r="Z149" s="15" t="n">
        <v>0</v>
      </c>
      <c r="AA149" s="15" t="n">
        <v>0</v>
      </c>
      <c r="AB149" s="15" t="n">
        <v>1</v>
      </c>
      <c r="AC149" s="17" t="n">
        <v>2</v>
      </c>
    </row>
    <row r="150" ht="15" customHeight="1">
      <c r="A150" s="15" t="n">
        <v>148</v>
      </c>
      <c r="B150" s="15" t="inlineStr">
        <is>
          <t>03379-2013</t>
        </is>
      </c>
      <c r="C150" s="15" t="inlineStr">
        <is>
          <t>Abreviado — anteriores a 2019 (ABR18_SV)</t>
        </is>
      </c>
      <c r="D150" s="15" t="inlineStr">
        <is>
          <t>2019</t>
        </is>
      </c>
      <c r="E150" s="15" t="inlineStr">
        <is>
          <t>3SC</t>
        </is>
      </c>
      <c r="F150" s="15" t="n">
        <v>0</v>
      </c>
      <c r="G150" s="15" t="n">
        <v>0</v>
      </c>
      <c r="H150" s="15" t="n">
        <v>1</v>
      </c>
      <c r="I150" s="15" t="n">
        <v>0</v>
      </c>
      <c r="J150" s="15" t="n">
        <v>0</v>
      </c>
      <c r="K150" s="15" t="n">
        <v>0</v>
      </c>
      <c r="L150" s="15" t="n">
        <v>0</v>
      </c>
      <c r="M150" s="15" t="n">
        <v>0</v>
      </c>
      <c r="N150" s="15" t="n">
        <v>0</v>
      </c>
      <c r="O150" s="15" t="n">
        <v>0</v>
      </c>
      <c r="P150" s="15" t="n">
        <v>0</v>
      </c>
      <c r="Q150" s="16" t="n">
        <v>0</v>
      </c>
      <c r="R150" s="15" t="n">
        <v>0</v>
      </c>
      <c r="S150" s="15" t="n">
        <v>0</v>
      </c>
      <c r="T150" s="16" t="n">
        <v>0</v>
      </c>
      <c r="U150" s="15" t="n">
        <v>0</v>
      </c>
      <c r="V150" s="15" t="n">
        <v>0</v>
      </c>
      <c r="W150" s="15" t="n">
        <v>0</v>
      </c>
      <c r="X150" s="15" t="n">
        <v>0</v>
      </c>
      <c r="Y150" s="15" t="n">
        <v>0</v>
      </c>
      <c r="Z150" s="15" t="n">
        <v>0</v>
      </c>
      <c r="AA150" s="15" t="n">
        <v>1</v>
      </c>
      <c r="AB150" s="15" t="n">
        <v>0</v>
      </c>
      <c r="AC150" s="17" t="n">
        <v>2</v>
      </c>
    </row>
    <row r="151" ht="15" customHeight="1">
      <c r="A151" s="15" t="n">
        <v>149</v>
      </c>
      <c r="B151" s="15" t="inlineStr">
        <is>
          <t>03601-2017</t>
        </is>
      </c>
      <c r="C151" s="15" t="inlineStr">
        <is>
          <t>Abreviado — anteriores a 2019 (ABR18_SV)</t>
        </is>
      </c>
      <c r="D151" s="15" t="inlineStr">
        <is>
          <t>2019</t>
        </is>
      </c>
      <c r="E151" s="15" t="inlineStr">
        <is>
          <t>2SC</t>
        </is>
      </c>
      <c r="F151" s="15" t="n">
        <v>0</v>
      </c>
      <c r="G151" s="15" t="n">
        <v>0</v>
      </c>
      <c r="H151" s="15" t="n">
        <v>0</v>
      </c>
      <c r="I151" s="15" t="n">
        <v>0</v>
      </c>
      <c r="J151" s="15" t="n">
        <v>0</v>
      </c>
      <c r="K151" s="15" t="n">
        <v>0</v>
      </c>
      <c r="L151" s="15" t="n">
        <v>0</v>
      </c>
      <c r="M151" s="15" t="n">
        <v>0</v>
      </c>
      <c r="N151" s="15" t="n">
        <v>0</v>
      </c>
      <c r="O151" s="15" t="n">
        <v>0</v>
      </c>
      <c r="P151" s="15" t="n">
        <v>0</v>
      </c>
      <c r="Q151" s="16" t="n">
        <v>0</v>
      </c>
      <c r="R151" s="15" t="n">
        <v>0</v>
      </c>
      <c r="S151" s="15" t="n">
        <v>0</v>
      </c>
      <c r="T151" s="16" t="n">
        <v>0</v>
      </c>
      <c r="U151" s="15" t="n">
        <v>0</v>
      </c>
      <c r="V151" s="15" t="n">
        <v>0</v>
      </c>
      <c r="W151" s="15" t="n">
        <v>0</v>
      </c>
      <c r="X151" s="15" t="n">
        <v>0</v>
      </c>
      <c r="Y151" s="15" t="n">
        <v>0</v>
      </c>
      <c r="Z151" s="15" t="n">
        <v>0</v>
      </c>
      <c r="AA151" s="15" t="n">
        <v>0</v>
      </c>
      <c r="AB151" s="15" t="n">
        <v>0</v>
      </c>
      <c r="AC151" s="17" t="n">
        <v>0</v>
      </c>
    </row>
    <row r="152" ht="15" customHeight="1">
      <c r="A152" s="15" t="n">
        <v>150</v>
      </c>
      <c r="B152" s="15" t="inlineStr">
        <is>
          <t>03656-2016</t>
        </is>
      </c>
      <c r="C152" s="15" t="inlineStr">
        <is>
          <t>Abreviado — anteriores a 2019 (ABR18_SV)</t>
        </is>
      </c>
      <c r="D152" s="15" t="inlineStr">
        <is>
          <t>2019</t>
        </is>
      </c>
      <c r="E152" s="15" t="inlineStr">
        <is>
          <t>2SC</t>
        </is>
      </c>
      <c r="F152" s="15" t="n">
        <v>1</v>
      </c>
      <c r="G152" s="15" t="n">
        <v>0</v>
      </c>
      <c r="H152" s="15" t="n">
        <v>0</v>
      </c>
      <c r="I152" s="15" t="n">
        <v>0</v>
      </c>
      <c r="J152" s="15" t="n">
        <v>0</v>
      </c>
      <c r="K152" s="15" t="n">
        <v>0</v>
      </c>
      <c r="L152" s="15" t="n">
        <v>0</v>
      </c>
      <c r="M152" s="15" t="n">
        <v>0</v>
      </c>
      <c r="N152" s="15" t="n">
        <v>0</v>
      </c>
      <c r="O152" s="15" t="n">
        <v>0</v>
      </c>
      <c r="P152" s="15" t="n">
        <v>0</v>
      </c>
      <c r="Q152" s="16" t="n">
        <v>1</v>
      </c>
      <c r="R152" s="15" t="n">
        <v>0</v>
      </c>
      <c r="S152" s="15" t="n">
        <v>0</v>
      </c>
      <c r="T152" s="16" t="n">
        <v>0</v>
      </c>
      <c r="U152" s="15" t="n">
        <v>0</v>
      </c>
      <c r="V152" s="15" t="n">
        <v>0</v>
      </c>
      <c r="W152" s="15" t="n">
        <v>0</v>
      </c>
      <c r="X152" s="15" t="n">
        <v>0</v>
      </c>
      <c r="Y152" s="15" t="n">
        <v>0</v>
      </c>
      <c r="Z152" s="15" t="n">
        <v>0</v>
      </c>
      <c r="AA152" s="15" t="n">
        <v>0</v>
      </c>
      <c r="AB152" s="15" t="n">
        <v>0</v>
      </c>
      <c r="AC152" s="17" t="n">
        <v>2</v>
      </c>
    </row>
    <row r="153" ht="15" customHeight="1">
      <c r="A153" s="15" t="n">
        <v>151</v>
      </c>
      <c r="B153" s="15" t="inlineStr">
        <is>
          <t>03697-2014</t>
        </is>
      </c>
      <c r="C153" s="15" t="inlineStr">
        <is>
          <t>Abreviado — anteriores a 2019 (ABR18_SV)</t>
        </is>
      </c>
      <c r="D153" s="15" t="inlineStr">
        <is>
          <t>2018</t>
        </is>
      </c>
      <c r="E153" s="15" t="inlineStr">
        <is>
          <t>3SC</t>
        </is>
      </c>
      <c r="F153" s="15" t="n">
        <v>0</v>
      </c>
      <c r="G153" s="15" t="n">
        <v>0</v>
      </c>
      <c r="H153" s="15" t="n">
        <v>0</v>
      </c>
      <c r="I153" s="15" t="n">
        <v>0</v>
      </c>
      <c r="J153" s="15" t="n">
        <v>0</v>
      </c>
      <c r="K153" s="15" t="n">
        <v>0</v>
      </c>
      <c r="L153" s="15" t="n">
        <v>0</v>
      </c>
      <c r="M153" s="15" t="n">
        <v>0</v>
      </c>
      <c r="N153" s="15" t="n">
        <v>0</v>
      </c>
      <c r="O153" s="15" t="n">
        <v>0</v>
      </c>
      <c r="P153" s="15" t="n">
        <v>0</v>
      </c>
      <c r="Q153" s="16" t="n">
        <v>0</v>
      </c>
      <c r="R153" s="15" t="n">
        <v>0</v>
      </c>
      <c r="S153" s="15" t="n">
        <v>0</v>
      </c>
      <c r="T153" s="16" t="n">
        <v>0</v>
      </c>
      <c r="U153" s="15" t="n">
        <v>0</v>
      </c>
      <c r="V153" s="15" t="n">
        <v>0</v>
      </c>
      <c r="W153" s="15" t="n">
        <v>0</v>
      </c>
      <c r="X153" s="15" t="n">
        <v>0</v>
      </c>
      <c r="Y153" s="15" t="n">
        <v>0</v>
      </c>
      <c r="Z153" s="15" t="n">
        <v>0</v>
      </c>
      <c r="AA153" s="15" t="n">
        <v>0</v>
      </c>
      <c r="AB153" s="15" t="n">
        <v>0</v>
      </c>
      <c r="AC153" s="17" t="n">
        <v>0</v>
      </c>
    </row>
    <row r="154" ht="15" customHeight="1">
      <c r="A154" s="15" t="n">
        <v>152</v>
      </c>
      <c r="B154" s="15" t="inlineStr">
        <is>
          <t>04246-2011</t>
        </is>
      </c>
      <c r="C154" s="15" t="inlineStr">
        <is>
          <t>Abreviado — anteriores a 2019 (ABR18_SV)</t>
        </is>
      </c>
      <c r="D154" s="15" t="inlineStr">
        <is>
          <t>2019</t>
        </is>
      </c>
      <c r="E154" s="15" t="inlineStr">
        <is>
          <t>3SC</t>
        </is>
      </c>
      <c r="F154" s="15" t="n">
        <v>0</v>
      </c>
      <c r="G154" s="15" t="n">
        <v>0</v>
      </c>
      <c r="H154" s="15" t="n">
        <v>0</v>
      </c>
      <c r="I154" s="15" t="n">
        <v>0</v>
      </c>
      <c r="J154" s="15" t="n">
        <v>0</v>
      </c>
      <c r="K154" s="15" t="n">
        <v>0</v>
      </c>
      <c r="L154" s="15" t="n">
        <v>0</v>
      </c>
      <c r="M154" s="15" t="n">
        <v>0</v>
      </c>
      <c r="N154" s="15" t="n">
        <v>0</v>
      </c>
      <c r="O154" s="15" t="n">
        <v>0</v>
      </c>
      <c r="P154" s="15" t="n">
        <v>0</v>
      </c>
      <c r="Q154" s="16" t="n">
        <v>1</v>
      </c>
      <c r="R154" s="15" t="n">
        <v>0</v>
      </c>
      <c r="S154" s="15" t="n">
        <v>0</v>
      </c>
      <c r="T154" s="16" t="n">
        <v>0</v>
      </c>
      <c r="U154" s="15" t="n">
        <v>0</v>
      </c>
      <c r="V154" s="15" t="n">
        <v>0</v>
      </c>
      <c r="W154" s="15" t="n">
        <v>0</v>
      </c>
      <c r="X154" s="15" t="n">
        <v>0</v>
      </c>
      <c r="Y154" s="15" t="n">
        <v>0</v>
      </c>
      <c r="Z154" s="15" t="n">
        <v>0</v>
      </c>
      <c r="AA154" s="15" t="n">
        <v>0</v>
      </c>
      <c r="AB154" s="15" t="n">
        <v>0</v>
      </c>
      <c r="AC154" s="17" t="n">
        <v>1</v>
      </c>
    </row>
    <row r="155" ht="15" customHeight="1">
      <c r="A155" s="15" t="n">
        <v>153</v>
      </c>
      <c r="B155" s="15" t="inlineStr">
        <is>
          <t>00442-2016</t>
        </is>
      </c>
      <c r="C155" s="15" t="inlineStr">
        <is>
          <t>Abreviado — anteriores a 2019 (ABR18_SV)</t>
        </is>
      </c>
      <c r="D155" s="15" t="inlineStr">
        <is>
          <t>2019</t>
        </is>
      </c>
      <c r="E155" s="15" t="inlineStr">
        <is>
          <t>1SC</t>
        </is>
      </c>
      <c r="F155" s="15" t="n">
        <v>0</v>
      </c>
      <c r="G155" s="15" t="n">
        <v>0</v>
      </c>
      <c r="H155" s="15" t="n">
        <v>0</v>
      </c>
      <c r="I155" s="15" t="n">
        <v>0</v>
      </c>
      <c r="J155" s="15" t="n">
        <v>0</v>
      </c>
      <c r="K155" s="15" t="n">
        <v>0</v>
      </c>
      <c r="L155" s="15" t="n">
        <v>0</v>
      </c>
      <c r="M155" s="15" t="n">
        <v>0</v>
      </c>
      <c r="N155" s="15" t="n">
        <v>0</v>
      </c>
      <c r="O155" s="15" t="n">
        <v>0</v>
      </c>
      <c r="P155" s="15" t="n">
        <v>0</v>
      </c>
      <c r="Q155" s="16" t="n">
        <v>1</v>
      </c>
      <c r="R155" s="15" t="n">
        <v>0</v>
      </c>
      <c r="S155" s="15" t="n">
        <v>0</v>
      </c>
      <c r="T155" s="16" t="n">
        <v>0</v>
      </c>
      <c r="U155" s="15" t="n">
        <v>0</v>
      </c>
      <c r="V155" s="15" t="n">
        <v>0</v>
      </c>
      <c r="W155" s="15" t="n">
        <v>0</v>
      </c>
      <c r="X155" s="15" t="n">
        <v>0</v>
      </c>
      <c r="Y155" s="15" t="n">
        <v>0</v>
      </c>
      <c r="Z155" s="15" t="n">
        <v>0</v>
      </c>
      <c r="AA155" s="15" t="n">
        <v>0</v>
      </c>
      <c r="AB155" s="15" t="n">
        <v>0</v>
      </c>
      <c r="AC155" s="17" t="n">
        <v>1</v>
      </c>
    </row>
    <row r="156" ht="15" customHeight="1">
      <c r="A156" s="15" t="n">
        <v>154</v>
      </c>
      <c r="B156" s="15" t="inlineStr">
        <is>
          <t>04422-2011</t>
        </is>
      </c>
      <c r="C156" s="15" t="inlineStr">
        <is>
          <t>Abreviado — anteriores a 2019 (ABR18_SV)</t>
        </is>
      </c>
      <c r="D156" s="15" t="inlineStr">
        <is>
          <t>2018</t>
        </is>
      </c>
      <c r="E156" s="15" t="inlineStr">
        <is>
          <t>2SC</t>
        </is>
      </c>
      <c r="F156" s="15" t="n">
        <v>0</v>
      </c>
      <c r="G156" s="15" t="n">
        <v>0</v>
      </c>
      <c r="H156" s="15" t="n">
        <v>0</v>
      </c>
      <c r="I156" s="15" t="n">
        <v>0</v>
      </c>
      <c r="J156" s="15" t="n">
        <v>0</v>
      </c>
      <c r="K156" s="15" t="n">
        <v>0</v>
      </c>
      <c r="L156" s="15" t="n">
        <v>0</v>
      </c>
      <c r="M156" s="15" t="n">
        <v>0</v>
      </c>
      <c r="N156" s="15" t="n">
        <v>0</v>
      </c>
      <c r="O156" s="15" t="n">
        <v>0</v>
      </c>
      <c r="P156" s="15" t="n">
        <v>0</v>
      </c>
      <c r="Q156" s="16" t="n">
        <v>0</v>
      </c>
      <c r="R156" s="15" t="n">
        <v>0</v>
      </c>
      <c r="S156" s="15" t="n">
        <v>0</v>
      </c>
      <c r="T156" s="16" t="n">
        <v>0</v>
      </c>
      <c r="U156" s="15" t="n">
        <v>1</v>
      </c>
      <c r="V156" s="15" t="n">
        <v>0</v>
      </c>
      <c r="W156" s="15" t="n">
        <v>1</v>
      </c>
      <c r="X156" s="15" t="n">
        <v>0</v>
      </c>
      <c r="Y156" s="15" t="n">
        <v>0</v>
      </c>
      <c r="Z156" s="15" t="n">
        <v>0</v>
      </c>
      <c r="AA156" s="15" t="n">
        <v>0</v>
      </c>
      <c r="AB156" s="15" t="n">
        <v>0</v>
      </c>
      <c r="AC156" s="17" t="n">
        <v>2</v>
      </c>
    </row>
    <row r="157" ht="15" customHeight="1">
      <c r="A157" s="15" t="n">
        <v>155</v>
      </c>
      <c r="B157" s="15" t="inlineStr">
        <is>
          <t>04649-2010</t>
        </is>
      </c>
      <c r="C157" s="15" t="inlineStr">
        <is>
          <t>Abreviado — anteriores a 2019 (ABR18_SV)</t>
        </is>
      </c>
      <c r="D157" s="15" t="inlineStr">
        <is>
          <t>2019</t>
        </is>
      </c>
      <c r="E157" s="15" t="inlineStr">
        <is>
          <t>1SC</t>
        </is>
      </c>
      <c r="F157" s="15" t="n">
        <v>0</v>
      </c>
      <c r="G157" s="15" t="n">
        <v>0</v>
      </c>
      <c r="H157" s="15" t="n">
        <v>0</v>
      </c>
      <c r="I157" s="15" t="n">
        <v>0</v>
      </c>
      <c r="J157" s="15" t="n">
        <v>0</v>
      </c>
      <c r="K157" s="15" t="n">
        <v>0</v>
      </c>
      <c r="L157" s="15" t="n">
        <v>0</v>
      </c>
      <c r="M157" s="15" t="n">
        <v>0</v>
      </c>
      <c r="N157" s="15" t="n">
        <v>0</v>
      </c>
      <c r="O157" s="15" t="n">
        <v>0</v>
      </c>
      <c r="P157" s="15" t="n">
        <v>0</v>
      </c>
      <c r="Q157" s="16" t="n">
        <v>1</v>
      </c>
      <c r="R157" s="15" t="n">
        <v>0</v>
      </c>
      <c r="S157" s="15" t="n">
        <v>0</v>
      </c>
      <c r="T157" s="16" t="n">
        <v>0</v>
      </c>
      <c r="U157" s="15" t="n">
        <v>0</v>
      </c>
      <c r="V157" s="15" t="n">
        <v>0</v>
      </c>
      <c r="W157" s="15" t="n">
        <v>0</v>
      </c>
      <c r="X157" s="15" t="n">
        <v>0</v>
      </c>
      <c r="Y157" s="15" t="n">
        <v>0</v>
      </c>
      <c r="Z157" s="15" t="n">
        <v>0</v>
      </c>
      <c r="AA157" s="15" t="n">
        <v>0</v>
      </c>
      <c r="AB157" s="15" t="n">
        <v>0</v>
      </c>
      <c r="AC157" s="17" t="n">
        <v>1</v>
      </c>
    </row>
    <row r="158" ht="15" customHeight="1">
      <c r="A158" s="15" t="n">
        <v>156</v>
      </c>
      <c r="B158" s="15" t="inlineStr">
        <is>
          <t>00051-2017</t>
        </is>
      </c>
      <c r="C158" s="15" t="inlineStr">
        <is>
          <t>Abreviado — anteriores a 2019 (ABR18_SV)</t>
        </is>
      </c>
      <c r="D158" s="15" t="inlineStr">
        <is>
          <t>2020</t>
        </is>
      </c>
      <c r="E158" s="15" t="inlineStr">
        <is>
          <t>2SC</t>
        </is>
      </c>
      <c r="F158" s="15" t="n">
        <v>0</v>
      </c>
      <c r="G158" s="15" t="n">
        <v>0</v>
      </c>
      <c r="H158" s="15" t="n">
        <v>0</v>
      </c>
      <c r="I158" s="15" t="n">
        <v>0</v>
      </c>
      <c r="J158" s="15" t="n">
        <v>0</v>
      </c>
      <c r="K158" s="15" t="n">
        <v>0</v>
      </c>
      <c r="L158" s="15" t="n">
        <v>0</v>
      </c>
      <c r="M158" s="15" t="n">
        <v>0</v>
      </c>
      <c r="N158" s="15" t="n">
        <v>0</v>
      </c>
      <c r="O158" s="15" t="n">
        <v>0</v>
      </c>
      <c r="P158" s="15" t="n">
        <v>0</v>
      </c>
      <c r="Q158" s="16" t="n">
        <v>0</v>
      </c>
      <c r="R158" s="15" t="n">
        <v>0</v>
      </c>
      <c r="S158" s="15" t="n">
        <v>0</v>
      </c>
      <c r="T158" s="16" t="n">
        <v>1</v>
      </c>
      <c r="U158" s="15" t="n">
        <v>0</v>
      </c>
      <c r="V158" s="15" t="n">
        <v>0</v>
      </c>
      <c r="W158" s="15" t="n">
        <v>1</v>
      </c>
      <c r="X158" s="15" t="n">
        <v>0</v>
      </c>
      <c r="Y158" s="15" t="n">
        <v>0</v>
      </c>
      <c r="Z158" s="15" t="n">
        <v>0</v>
      </c>
      <c r="AA158" s="15" t="n">
        <v>0</v>
      </c>
      <c r="AB158" s="15" t="n">
        <v>0</v>
      </c>
      <c r="AC158" s="17" t="n">
        <v>2</v>
      </c>
    </row>
    <row r="159" ht="15" customHeight="1">
      <c r="A159" s="15" t="n">
        <v>157</v>
      </c>
      <c r="B159" s="15" t="inlineStr">
        <is>
          <t>05208-2014</t>
        </is>
      </c>
      <c r="C159" s="15" t="inlineStr">
        <is>
          <t>Abreviado — anteriores a 2019 (ABR18_SV)</t>
        </is>
      </c>
      <c r="D159" s="15" t="inlineStr">
        <is>
          <t>2019</t>
        </is>
      </c>
      <c r="E159" s="15" t="inlineStr">
        <is>
          <t>3SC</t>
        </is>
      </c>
      <c r="F159" s="15" t="n">
        <v>0</v>
      </c>
      <c r="G159" s="15" t="n">
        <v>0</v>
      </c>
      <c r="H159" s="15" t="n">
        <v>0</v>
      </c>
      <c r="I159" s="15" t="n">
        <v>0</v>
      </c>
      <c r="J159" s="15" t="n">
        <v>0</v>
      </c>
      <c r="K159" s="15" t="n">
        <v>1</v>
      </c>
      <c r="L159" s="15" t="n">
        <v>0</v>
      </c>
      <c r="M159" s="15" t="n">
        <v>0</v>
      </c>
      <c r="N159" s="15" t="n">
        <v>0</v>
      </c>
      <c r="O159" s="15" t="n">
        <v>0</v>
      </c>
      <c r="P159" s="15" t="n">
        <v>0</v>
      </c>
      <c r="Q159" s="16" t="n">
        <v>0</v>
      </c>
      <c r="R159" s="15" t="n">
        <v>0</v>
      </c>
      <c r="S159" s="15" t="n">
        <v>1</v>
      </c>
      <c r="T159" s="16" t="n">
        <v>0</v>
      </c>
      <c r="U159" s="15" t="n">
        <v>1</v>
      </c>
      <c r="V159" s="15" t="n">
        <v>0</v>
      </c>
      <c r="W159" s="15" t="n">
        <v>0</v>
      </c>
      <c r="X159" s="15" t="n">
        <v>0</v>
      </c>
      <c r="Y159" s="15" t="n">
        <v>0</v>
      </c>
      <c r="Z159" s="15" t="n">
        <v>0</v>
      </c>
      <c r="AA159" s="15" t="n">
        <v>0</v>
      </c>
      <c r="AB159" s="15" t="n">
        <v>0</v>
      </c>
      <c r="AC159" s="17" t="n">
        <v>3</v>
      </c>
    </row>
    <row r="160" ht="15" customHeight="1">
      <c r="A160" s="15" t="n">
        <v>158</v>
      </c>
      <c r="B160" s="15" t="inlineStr">
        <is>
          <t>06617-2013</t>
        </is>
      </c>
      <c r="C160" s="15" t="inlineStr">
        <is>
          <t>Abreviado — anteriores a 2019 (ABR18_SV)</t>
        </is>
      </c>
      <c r="D160" s="15" t="inlineStr">
        <is>
          <t>2018</t>
        </is>
      </c>
      <c r="E160" s="15" t="inlineStr">
        <is>
          <t>2SC</t>
        </is>
      </c>
      <c r="F160" s="15" t="n">
        <v>0</v>
      </c>
      <c r="G160" s="15" t="n">
        <v>0</v>
      </c>
      <c r="H160" s="15" t="n">
        <v>0</v>
      </c>
      <c r="I160" s="15" t="n">
        <v>0</v>
      </c>
      <c r="J160" s="15" t="n">
        <v>0</v>
      </c>
      <c r="K160" s="15" t="n">
        <v>0</v>
      </c>
      <c r="L160" s="15" t="n">
        <v>0</v>
      </c>
      <c r="M160" s="15" t="n">
        <v>0</v>
      </c>
      <c r="N160" s="15" t="n">
        <v>0</v>
      </c>
      <c r="O160" s="15" t="n">
        <v>0</v>
      </c>
      <c r="P160" s="15" t="n">
        <v>0</v>
      </c>
      <c r="Q160" s="16" t="n">
        <v>1</v>
      </c>
      <c r="R160" s="15" t="n">
        <v>0</v>
      </c>
      <c r="S160" s="15" t="n">
        <v>0</v>
      </c>
      <c r="T160" s="16" t="n">
        <v>0</v>
      </c>
      <c r="U160" s="15" t="n">
        <v>0</v>
      </c>
      <c r="V160" s="15" t="n">
        <v>0</v>
      </c>
      <c r="W160" s="15" t="n">
        <v>0</v>
      </c>
      <c r="X160" s="15" t="n">
        <v>0</v>
      </c>
      <c r="Y160" s="15" t="n">
        <v>0</v>
      </c>
      <c r="Z160" s="15" t="n">
        <v>0</v>
      </c>
      <c r="AA160" s="15" t="n">
        <v>0</v>
      </c>
      <c r="AB160" s="15" t="n">
        <v>0</v>
      </c>
      <c r="AC160" s="17" t="n">
        <v>1</v>
      </c>
    </row>
    <row r="161" ht="15" customHeight="1">
      <c r="A161" s="15" t="n">
        <v>159</v>
      </c>
      <c r="B161" s="15" t="inlineStr">
        <is>
          <t>07218-2014</t>
        </is>
      </c>
      <c r="C161" s="15" t="inlineStr">
        <is>
          <t>Abreviado — anteriores a 2019 (ABR18_SV)</t>
        </is>
      </c>
      <c r="D161" s="15" t="inlineStr">
        <is>
          <t>2018</t>
        </is>
      </c>
      <c r="E161" s="15" t="inlineStr">
        <is>
          <t>1SC</t>
        </is>
      </c>
      <c r="F161" s="15" t="n">
        <v>0</v>
      </c>
      <c r="G161" s="15" t="n">
        <v>0</v>
      </c>
      <c r="H161" s="15" t="n">
        <v>0</v>
      </c>
      <c r="I161" s="15" t="n">
        <v>0</v>
      </c>
      <c r="J161" s="15" t="n">
        <v>0</v>
      </c>
      <c r="K161" s="15" t="n">
        <v>0</v>
      </c>
      <c r="L161" s="15" t="n">
        <v>0</v>
      </c>
      <c r="M161" s="15" t="n">
        <v>0</v>
      </c>
      <c r="N161" s="15" t="n">
        <v>0</v>
      </c>
      <c r="O161" s="15" t="n">
        <v>0</v>
      </c>
      <c r="P161" s="15" t="n">
        <v>0</v>
      </c>
      <c r="Q161" s="16" t="n">
        <v>0</v>
      </c>
      <c r="R161" s="15" t="n">
        <v>0</v>
      </c>
      <c r="S161" s="15" t="n">
        <v>0</v>
      </c>
      <c r="T161" s="16" t="n">
        <v>0</v>
      </c>
      <c r="U161" s="15" t="n">
        <v>0</v>
      </c>
      <c r="V161" s="15" t="n">
        <v>0</v>
      </c>
      <c r="W161" s="15" t="n">
        <v>0</v>
      </c>
      <c r="X161" s="15" t="n">
        <v>0</v>
      </c>
      <c r="Y161" s="15" t="n">
        <v>0</v>
      </c>
      <c r="Z161" s="15" t="n">
        <v>0</v>
      </c>
      <c r="AA161" s="15" t="n">
        <v>0</v>
      </c>
      <c r="AB161" s="15" t="n">
        <v>0</v>
      </c>
      <c r="AC161" s="17" t="n">
        <v>0</v>
      </c>
    </row>
    <row r="162" ht="15" customHeight="1">
      <c r="A162" s="15" t="n">
        <v>160</v>
      </c>
      <c r="B162" s="15" t="inlineStr">
        <is>
          <t>07394-2000</t>
        </is>
      </c>
      <c r="C162" s="15" t="inlineStr">
        <is>
          <t>Abreviado — anteriores a 2019 (ABR18_SV)</t>
        </is>
      </c>
      <c r="D162" s="15" t="inlineStr">
        <is>
          <t>2020</t>
        </is>
      </c>
      <c r="E162" s="15" t="inlineStr">
        <is>
          <t>2SC</t>
        </is>
      </c>
      <c r="F162" s="15" t="n">
        <v>0</v>
      </c>
      <c r="G162" s="15" t="n">
        <v>0</v>
      </c>
      <c r="H162" s="15" t="n">
        <v>0</v>
      </c>
      <c r="I162" s="15" t="n">
        <v>0</v>
      </c>
      <c r="J162" s="15" t="n">
        <v>0</v>
      </c>
      <c r="K162" s="15" t="n">
        <v>0</v>
      </c>
      <c r="L162" s="15" t="n">
        <v>0</v>
      </c>
      <c r="M162" s="15" t="n">
        <v>0</v>
      </c>
      <c r="N162" s="15" t="n">
        <v>0</v>
      </c>
      <c r="O162" s="15" t="n">
        <v>0</v>
      </c>
      <c r="P162" s="15" t="n">
        <v>0</v>
      </c>
      <c r="Q162" s="16" t="n">
        <v>1</v>
      </c>
      <c r="R162" s="15" t="n">
        <v>1</v>
      </c>
      <c r="S162" s="15" t="n">
        <v>0</v>
      </c>
      <c r="T162" s="16" t="n">
        <v>0</v>
      </c>
      <c r="U162" s="15" t="n">
        <v>0</v>
      </c>
      <c r="V162" s="15" t="n">
        <v>0</v>
      </c>
      <c r="W162" s="15" t="n">
        <v>0</v>
      </c>
      <c r="X162" s="15" t="n">
        <v>0</v>
      </c>
      <c r="Y162" s="15" t="n">
        <v>0</v>
      </c>
      <c r="Z162" s="15" t="n">
        <v>0</v>
      </c>
      <c r="AA162" s="15" t="n">
        <v>0</v>
      </c>
      <c r="AB162" s="15" t="n">
        <v>0</v>
      </c>
      <c r="AC162" s="17" t="n">
        <v>2</v>
      </c>
    </row>
    <row r="163" ht="15" customHeight="1">
      <c r="A163" s="15" t="n">
        <v>161</v>
      </c>
      <c r="B163" s="15" t="inlineStr">
        <is>
          <t>08011-2014</t>
        </is>
      </c>
      <c r="C163" s="15" t="inlineStr">
        <is>
          <t>Abreviado — anteriores a 2019 (ABR18_SV)</t>
        </is>
      </c>
      <c r="D163" s="15" t="inlineStr">
        <is>
          <t>2020</t>
        </is>
      </c>
      <c r="E163" s="15" t="inlineStr">
        <is>
          <t>2SC</t>
        </is>
      </c>
      <c r="F163" s="15" t="n">
        <v>0</v>
      </c>
      <c r="G163" s="15" t="n">
        <v>0</v>
      </c>
      <c r="H163" s="15" t="n">
        <v>0</v>
      </c>
      <c r="I163" s="15" t="n">
        <v>0</v>
      </c>
      <c r="J163" s="15" t="n">
        <v>0</v>
      </c>
      <c r="K163" s="15" t="n">
        <v>0</v>
      </c>
      <c r="L163" s="15" t="n">
        <v>0</v>
      </c>
      <c r="M163" s="15" t="n">
        <v>0</v>
      </c>
      <c r="N163" s="15" t="n">
        <v>0</v>
      </c>
      <c r="O163" s="15" t="n">
        <v>0</v>
      </c>
      <c r="P163" s="15" t="n">
        <v>0</v>
      </c>
      <c r="Q163" s="16" t="n">
        <v>1</v>
      </c>
      <c r="R163" s="15" t="n">
        <v>0</v>
      </c>
      <c r="S163" s="15" t="n">
        <v>0</v>
      </c>
      <c r="T163" s="16" t="n">
        <v>0</v>
      </c>
      <c r="U163" s="15" t="n">
        <v>0</v>
      </c>
      <c r="V163" s="15" t="n">
        <v>0</v>
      </c>
      <c r="W163" s="15" t="n">
        <v>0</v>
      </c>
      <c r="X163" s="15" t="n">
        <v>0</v>
      </c>
      <c r="Y163" s="15" t="n">
        <v>0</v>
      </c>
      <c r="Z163" s="15" t="n">
        <v>0</v>
      </c>
      <c r="AA163" s="15" t="n">
        <v>0</v>
      </c>
      <c r="AB163" s="15" t="n">
        <v>1</v>
      </c>
      <c r="AC163" s="17" t="n">
        <v>2</v>
      </c>
    </row>
    <row r="164" ht="15" customHeight="1">
      <c r="A164" s="15" t="n">
        <v>162</v>
      </c>
      <c r="B164" s="15" t="inlineStr">
        <is>
          <t>00925-2016</t>
        </is>
      </c>
      <c r="C164" s="15" t="inlineStr">
        <is>
          <t>Abreviado — anteriores a 2019 (ABR18_SV)</t>
        </is>
      </c>
      <c r="D164" s="15" t="inlineStr">
        <is>
          <t>2020</t>
        </is>
      </c>
      <c r="E164" s="15" t="inlineStr">
        <is>
          <t>2SC</t>
        </is>
      </c>
      <c r="F164" s="15" t="n">
        <v>0</v>
      </c>
      <c r="G164" s="15" t="n">
        <v>0</v>
      </c>
      <c r="H164" s="15" t="n">
        <v>1</v>
      </c>
      <c r="I164" s="15" t="n">
        <v>0</v>
      </c>
      <c r="J164" s="15" t="n">
        <v>0</v>
      </c>
      <c r="K164" s="15" t="n">
        <v>0</v>
      </c>
      <c r="L164" s="15" t="n">
        <v>0</v>
      </c>
      <c r="M164" s="15" t="n">
        <v>0</v>
      </c>
      <c r="N164" s="15" t="n">
        <v>0</v>
      </c>
      <c r="O164" s="15" t="n">
        <v>0</v>
      </c>
      <c r="P164" s="15" t="n">
        <v>0</v>
      </c>
      <c r="Q164" s="16" t="n">
        <v>0</v>
      </c>
      <c r="R164" s="15" t="n">
        <v>0</v>
      </c>
      <c r="S164" s="15" t="n">
        <v>0</v>
      </c>
      <c r="T164" s="16" t="n">
        <v>0</v>
      </c>
      <c r="U164" s="15" t="n">
        <v>0</v>
      </c>
      <c r="V164" s="15" t="n">
        <v>0</v>
      </c>
      <c r="W164" s="15" t="n">
        <v>0</v>
      </c>
      <c r="X164" s="15" t="n">
        <v>0</v>
      </c>
      <c r="Y164" s="15" t="n">
        <v>0</v>
      </c>
      <c r="Z164" s="15" t="n">
        <v>0</v>
      </c>
      <c r="AA164" s="15" t="n">
        <v>0</v>
      </c>
      <c r="AB164" s="15" t="n">
        <v>0</v>
      </c>
      <c r="AC164" s="17" t="n">
        <v>1</v>
      </c>
    </row>
    <row r="165" ht="15" customHeight="1">
      <c r="A165" s="15" t="n">
        <v>163</v>
      </c>
      <c r="B165" s="15" t="inlineStr">
        <is>
          <t>00925-2017</t>
        </is>
      </c>
      <c r="C165" s="15" t="inlineStr">
        <is>
          <t>Abreviado — anteriores a 2019 (ABR18_SV)</t>
        </is>
      </c>
      <c r="D165" s="15" t="inlineStr">
        <is>
          <t>2020</t>
        </is>
      </c>
      <c r="E165" s="15" t="inlineStr">
        <is>
          <t>2SC</t>
        </is>
      </c>
      <c r="F165" s="15" t="n">
        <v>0</v>
      </c>
      <c r="G165" s="15" t="n">
        <v>0</v>
      </c>
      <c r="H165" s="15" t="n">
        <v>0</v>
      </c>
      <c r="I165" s="15" t="n">
        <v>0</v>
      </c>
      <c r="J165" s="15" t="n">
        <v>0</v>
      </c>
      <c r="K165" s="15" t="n">
        <v>0</v>
      </c>
      <c r="L165" s="15" t="n">
        <v>0</v>
      </c>
      <c r="M165" s="15" t="n">
        <v>0</v>
      </c>
      <c r="N165" s="15" t="n">
        <v>0</v>
      </c>
      <c r="O165" s="15" t="n">
        <v>0</v>
      </c>
      <c r="P165" s="15" t="n">
        <v>0</v>
      </c>
      <c r="Q165" s="16" t="n">
        <v>0</v>
      </c>
      <c r="R165" s="15" t="n">
        <v>0</v>
      </c>
      <c r="S165" s="15" t="n">
        <v>0</v>
      </c>
      <c r="T165" s="16" t="n">
        <v>0</v>
      </c>
      <c r="U165" s="15" t="n">
        <v>0</v>
      </c>
      <c r="V165" s="15" t="n">
        <v>0</v>
      </c>
      <c r="W165" s="15" t="n">
        <v>0</v>
      </c>
      <c r="X165" s="15" t="n">
        <v>0</v>
      </c>
      <c r="Y165" s="15" t="n">
        <v>0</v>
      </c>
      <c r="Z165" s="15" t="n">
        <v>0</v>
      </c>
      <c r="AA165" s="15" t="n">
        <v>0</v>
      </c>
      <c r="AB165" s="15" t="n">
        <v>0</v>
      </c>
      <c r="AC165" s="17" t="n">
        <v>0</v>
      </c>
    </row>
    <row r="166" ht="15" customHeight="1">
      <c r="B166" s="18" t="inlineStr">
        <is>
          <t>TOTAL</t>
        </is>
      </c>
      <c r="F166" s="19" t="n">
        <v>9</v>
      </c>
      <c r="G166" s="19" t="n">
        <v>16</v>
      </c>
      <c r="H166" s="19" t="n">
        <v>8</v>
      </c>
      <c r="I166" s="19" t="n">
        <v>4</v>
      </c>
      <c r="J166" s="19" t="n">
        <v>0</v>
      </c>
      <c r="K166" s="19" t="n">
        <v>9</v>
      </c>
      <c r="L166" s="19" t="n">
        <v>5</v>
      </c>
      <c r="M166" s="19" t="n">
        <v>4</v>
      </c>
      <c r="N166" s="19" t="n">
        <v>3</v>
      </c>
      <c r="O166" s="19" t="n">
        <v>2</v>
      </c>
      <c r="P166" s="19" t="n">
        <v>11</v>
      </c>
      <c r="Q166" s="19" t="n">
        <v>28</v>
      </c>
      <c r="R166" s="19" t="n">
        <v>23</v>
      </c>
      <c r="S166" s="19" t="n">
        <v>12</v>
      </c>
      <c r="T166" s="19" t="n">
        <v>11</v>
      </c>
      <c r="U166" s="19" t="n">
        <v>37</v>
      </c>
      <c r="V166" s="19" t="n">
        <v>0</v>
      </c>
      <c r="W166" s="19" t="n">
        <v>2</v>
      </c>
      <c r="X166" s="19" t="n">
        <v>10</v>
      </c>
      <c r="Y166" s="19" t="n">
        <v>2</v>
      </c>
      <c r="Z166" s="19" t="n">
        <v>10</v>
      </c>
      <c r="AA166" s="19" t="n">
        <v>10</v>
      </c>
      <c r="AB166" s="19" t="n">
        <v>22</v>
      </c>
      <c r="AC166" s="19" t="n">
        <v>238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4" customWidth="1" min="2" max="2"/>
    <col width="10" customWidth="1" min="3" max="3"/>
    <col width="14" customWidth="1" min="4" max="4"/>
    <col width="13" customWidth="1" min="5" max="5"/>
    <col width="14" customWidth="1" min="6" max="6"/>
    <col width="70" customWidth="1" min="8" max="8"/>
  </cols>
  <sheetData>
    <row r="1" ht="15.75" customHeight="1">
      <c r="A1" s="20" t="inlineStr">
        <is>
          <t>FRECUENCIA DE DEFECTOS: REGISTRO ORIGINAL FRENTE A REGISTRO CORREGIDO</t>
        </is>
      </c>
    </row>
    <row r="2" ht="15" customHeight="1">
      <c r="A2" s="14" t="inlineStr">
        <is>
          <t>Corpus: 134 expedientes · Sentencias de vista, Salas Civiles CSJA.</t>
        </is>
      </c>
    </row>
    <row r="4" ht="33.75" customHeight="1">
      <c r="A4" s="5" t="inlineStr">
        <is>
          <t>Cód.</t>
        </is>
      </c>
      <c r="B4" s="5" t="inlineStr">
        <is>
          <t>Causal</t>
        </is>
      </c>
      <c r="C4" s="5" t="inlineStr">
        <is>
          <t>Original</t>
        </is>
      </c>
      <c r="D4" s="5" t="inlineStr">
        <is>
          <t>Original sin la fila fantasma</t>
        </is>
      </c>
      <c r="E4" s="5" t="inlineStr">
        <is>
          <t>Corregido: declarados</t>
        </is>
      </c>
      <c r="F4" s="5" t="inlineStr">
        <is>
          <t>Corregido: todos los estatus</t>
        </is>
      </c>
      <c r="G4" s="5" t="inlineStr">
        <is>
          <t>Variación (declarados − original)</t>
        </is>
      </c>
      <c r="H4" s="5" t="inlineStr">
        <is>
          <t>Comentario</t>
        </is>
      </c>
    </row>
    <row r="5" ht="21.75" customHeight="1">
      <c r="A5" s="21" t="inlineStr">
        <is>
          <t>D01</t>
        </is>
      </c>
      <c r="B5" s="7" t="inlineStr">
        <is>
          <t>Notificación o emplazamiento defectuoso</t>
        </is>
      </c>
      <c r="C5" s="6" t="n">
        <v>11</v>
      </c>
      <c r="D5" s="6" t="n">
        <v>10</v>
      </c>
      <c r="E5" s="6" t="n">
        <v>7</v>
      </c>
      <c r="F5" s="6" t="n">
        <v>8</v>
      </c>
      <c r="G5" s="22" t="inlineStr">
        <is>
          <t>-4</t>
        </is>
      </c>
      <c r="H5" s="7" t="inlineStr">
        <is>
          <t>De 11 a 7 declarados. Se retira 04370-2022 (era litisconsorcio), 04414-2023 pasa a D22 y 06942-2023 queda como alegado.</t>
        </is>
      </c>
    </row>
    <row r="6" ht="21.75" customHeight="1">
      <c r="A6" s="21" t="inlineStr">
        <is>
          <t>D02</t>
        </is>
      </c>
      <c r="B6" s="7" t="inlineStr">
        <is>
          <t>Vulneración del derecho de defensa</t>
        </is>
      </c>
      <c r="C6" s="6" t="n">
        <v>19</v>
      </c>
      <c r="D6" s="6" t="n">
        <v>18</v>
      </c>
      <c r="E6" s="6" t="n">
        <v>5</v>
      </c>
      <c r="F6" s="6" t="n">
        <v>15</v>
      </c>
      <c r="G6" s="22" t="inlineStr">
        <is>
          <t>-14</t>
        </is>
      </c>
      <c r="H6" s="7" t="inlineStr">
        <is>
          <t>De 19 a 5 declarados. Diez registros pasan a estatus DERIVADO: son la indefensión consecuencia de otro defecto ya codificado en la misma fila.</t>
        </is>
      </c>
    </row>
    <row r="7" ht="21.75" customHeight="1">
      <c r="A7" s="21" t="inlineStr">
        <is>
          <t>D03</t>
        </is>
      </c>
      <c r="B7" s="7" t="inlineStr">
        <is>
          <t>Litisconsorte necesario omitido</t>
        </is>
      </c>
      <c r="C7" s="6" t="n">
        <v>7</v>
      </c>
      <c r="D7" s="6" t="n">
        <v>6</v>
      </c>
      <c r="E7" s="6" t="n">
        <v>5</v>
      </c>
      <c r="F7" s="6" t="n">
        <v>5</v>
      </c>
      <c r="G7" s="22" t="inlineStr">
        <is>
          <t>-2</t>
        </is>
      </c>
      <c r="H7" s="7" t="inlineStr">
        <is>
          <t>De 7 a 5. Se retiran el duplicado de 02706-2015 (idéntico a D02) y los sujetos que no eran litisconsortes necesarios.</t>
        </is>
      </c>
    </row>
    <row r="8" ht="21.75" customHeight="1">
      <c r="A8" s="21" t="inlineStr">
        <is>
          <t>D04</t>
        </is>
      </c>
      <c r="B8" s="7" t="inlineStr">
        <is>
          <t>Declaración indebida de rebeldía</t>
        </is>
      </c>
      <c r="C8" s="6" t="n">
        <v>5</v>
      </c>
      <c r="D8" s="6" t="n">
        <v>4</v>
      </c>
      <c r="E8" s="6" t="n">
        <v>3</v>
      </c>
      <c r="F8" s="6" t="n">
        <v>4</v>
      </c>
      <c r="G8" s="22" t="inlineStr">
        <is>
          <t>-2</t>
        </is>
      </c>
      <c r="H8" s="7" t="inlineStr">
        <is>
          <t>De 5 a 3 declarados. Quedan los casos genuinos (02275-2023, 00742-2022 y 01286-2022, este con cita por verificar); 06942-2023 pasa a alegado.</t>
        </is>
      </c>
    </row>
    <row r="9" ht="21.75" customHeight="1">
      <c r="A9" s="21" t="inlineStr">
        <is>
          <t>D05</t>
        </is>
      </c>
      <c r="B9" s="7" t="inlineStr">
        <is>
          <t>Omisión o irregularidad de audiencia</t>
        </is>
      </c>
      <c r="C9" s="6" t="n">
        <v>2</v>
      </c>
      <c r="D9" s="6" t="n">
        <v>1</v>
      </c>
      <c r="E9" s="6" t="n">
        <v>0</v>
      </c>
      <c r="F9" s="6" t="n">
        <v>0</v>
      </c>
      <c r="G9" s="22" t="inlineStr">
        <is>
          <t>-2</t>
        </is>
      </c>
      <c r="H9" s="7" t="inlineStr">
        <is>
          <t>Queda en cero: el único registro solapaba íntegramente con D07 (la audiencia sí se celebró; lo omitido fue actuar la prueba).</t>
        </is>
      </c>
    </row>
    <row r="10" ht="32.25" customHeight="1">
      <c r="A10" s="21" t="inlineStr">
        <is>
          <t>D06</t>
        </is>
      </c>
      <c r="B10" s="7" t="inlineStr">
        <is>
          <t>Deficiente fijación de puntos/hechos controvertidos</t>
        </is>
      </c>
      <c r="C10" s="6" t="n">
        <v>17</v>
      </c>
      <c r="D10" s="6" t="n">
        <v>16</v>
      </c>
      <c r="E10" s="6" t="n">
        <v>3</v>
      </c>
      <c r="F10" s="6" t="n">
        <v>8</v>
      </c>
      <c r="G10" s="22" t="inlineStr">
        <is>
          <t>-14</t>
        </is>
      </c>
      <c r="H10" s="7" t="inlineStr">
        <is>
          <t>De 17 a 3 declarados, la caída proporcionalmente mayor: once registros describían sentencias que resuelven fuera de los puntos fijados o que omiten pronunciarse sobre ellos, no autos de fijación deficientes.</t>
        </is>
      </c>
    </row>
    <row r="11" ht="21.75" customHeight="1">
      <c r="A11" s="21" t="inlineStr">
        <is>
          <t>D07</t>
        </is>
      </c>
      <c r="B11" s="7" t="inlineStr">
        <is>
          <t>Prueba admitida y no actuada</t>
        </is>
      </c>
      <c r="C11" s="6" t="n">
        <v>5</v>
      </c>
      <c r="D11" s="6" t="n">
        <v>4</v>
      </c>
      <c r="E11" s="6" t="n">
        <v>4</v>
      </c>
      <c r="F11" s="6" t="n">
        <v>4</v>
      </c>
      <c r="G11" s="22" t="inlineStr">
        <is>
          <t>-1</t>
        </is>
      </c>
      <c r="H11" s="7" t="inlineStr">
        <is>
          <t>Categoría estable y de las mejor sustentadas del corpus: cuatro de sus cinco registros se conservan sin cambio.</t>
        </is>
      </c>
    </row>
    <row r="12" ht="21.75" customHeight="1">
      <c r="A12" s="21" t="inlineStr">
        <is>
          <t>D08</t>
        </is>
      </c>
      <c r="B12" s="7" t="inlineStr">
        <is>
          <t>Indebida admisión o exclusión de prueba</t>
        </is>
      </c>
      <c r="C12" s="6" t="n">
        <v>11</v>
      </c>
      <c r="D12" s="6" t="n">
        <v>10</v>
      </c>
      <c r="E12" s="6" t="n">
        <v>2</v>
      </c>
      <c r="F12" s="6" t="n">
        <v>3</v>
      </c>
      <c r="G12" s="22" t="inlineStr">
        <is>
          <t>-9</t>
        </is>
      </c>
      <c r="H12" s="7" t="inlineStr">
        <is>
          <t>De 11 a 2. Los demás eran incidencias previas (D19) o pasajes en que la Sala convalida la actuación del A quo.</t>
        </is>
      </c>
    </row>
    <row r="13" ht="21.75" customHeight="1">
      <c r="A13" s="21" t="inlineStr">
        <is>
          <t>D09</t>
        </is>
      </c>
      <c r="B13" s="7" t="inlineStr">
        <is>
          <t>Prueba de oficio irregular</t>
        </is>
      </c>
      <c r="C13" s="6" t="n">
        <v>7</v>
      </c>
      <c r="D13" s="6" t="n">
        <v>6</v>
      </c>
      <c r="E13" s="6" t="n">
        <v>2</v>
      </c>
      <c r="F13" s="6" t="n">
        <v>3</v>
      </c>
      <c r="G13" s="22" t="inlineStr">
        <is>
          <t>-5</t>
        </is>
      </c>
      <c r="H13" s="7" t="inlineStr">
        <is>
          <t>De 7 a 2. Se retiran la confusión con la nulidad de oficio del acto jurídico (art. V TP CC) y los pasajes que no censuran irregularidad alguna.</t>
        </is>
      </c>
    </row>
    <row r="14" ht="21.75" customHeight="1">
      <c r="A14" s="21" t="inlineStr">
        <is>
          <t>D10</t>
        </is>
      </c>
      <c r="B14" s="7" t="inlineStr">
        <is>
          <t>Falta de contradictorio de la prueba</t>
        </is>
      </c>
      <c r="C14" s="6" t="n">
        <v>6</v>
      </c>
      <c r="D14" s="6" t="n">
        <v>5</v>
      </c>
      <c r="E14" s="6" t="n">
        <v>2</v>
      </c>
      <c r="F14" s="6" t="n">
        <v>2</v>
      </c>
      <c r="G14" s="22" t="inlineStr">
        <is>
          <t>-4</t>
        </is>
      </c>
      <c r="H14" s="7" t="inlineStr">
        <is>
          <t>De 6 a 2. Queda restringido al contradictorio sobre PRUEBA; el contradictorio sobre causales jurídicas pasa a D02 y D16.</t>
        </is>
      </c>
    </row>
    <row r="15" ht="21.75" customHeight="1">
      <c r="A15" s="21" t="inlineStr">
        <is>
          <t>D11</t>
        </is>
      </c>
      <c r="B15" s="7" t="inlineStr">
        <is>
          <t>Omisión de valoración de prueba decisiva</t>
        </is>
      </c>
      <c r="C15" s="6" t="n">
        <v>22</v>
      </c>
      <c r="D15" s="6" t="n">
        <v>21</v>
      </c>
      <c r="E15" s="6" t="n">
        <v>7</v>
      </c>
      <c r="F15" s="6" t="n">
        <v>9</v>
      </c>
      <c r="G15" s="22" t="inlineStr">
        <is>
          <t>-15</t>
        </is>
      </c>
      <c r="H15" s="7" t="inlineStr">
        <is>
          <t>De 22 a 7, la caída más fuerte junto con D15 y D20: «no valoró debidamente» y «no valoró en conjunto» son D12, no omisión de valoración.</t>
        </is>
      </c>
    </row>
    <row r="16" ht="21.75" customHeight="1">
      <c r="A16" s="21" t="inlineStr">
        <is>
          <t>D12</t>
        </is>
      </c>
      <c r="B16" s="7" t="inlineStr">
        <is>
          <t>Valoración probatoria defectuosa</t>
        </is>
      </c>
      <c r="C16" s="6" t="n">
        <v>16</v>
      </c>
      <c r="D16" s="6" t="n">
        <v>15</v>
      </c>
      <c r="E16" s="6" t="n">
        <v>16</v>
      </c>
      <c r="F16" s="6" t="n">
        <v>19</v>
      </c>
      <c r="G16" s="23" t="inlineStr">
        <is>
          <t>0</t>
        </is>
      </c>
      <c r="H16" s="7" t="inlineStr">
        <is>
          <t>Se mantiene en 16 declarados, pero con otra composición: recibe ocho registros desde D11 y cede los que no recaían sobre prueba. Es hoy la categoría mejor sustentada.</t>
        </is>
      </c>
    </row>
    <row r="17" ht="21.75" customHeight="1">
      <c r="A17" s="21" t="inlineStr">
        <is>
          <t>D13</t>
        </is>
      </c>
      <c r="B17" s="7" t="inlineStr">
        <is>
          <t>Motivación insuficiente</t>
        </is>
      </c>
      <c r="C17" s="6" t="n">
        <v>25</v>
      </c>
      <c r="D17" s="6" t="n">
        <v>24</v>
      </c>
      <c r="E17" s="6" t="n">
        <v>13</v>
      </c>
      <c r="F17" s="6" t="n">
        <v>18</v>
      </c>
      <c r="G17" s="22" t="inlineStr">
        <is>
          <t>-12</t>
        </is>
      </c>
      <c r="H17" s="7" t="inlineStr">
        <is>
          <t>De 25 a 13. Se depura de fórmulas genéricas (a D23) y de las etiquetadas como motivación externa (a D21).</t>
        </is>
      </c>
    </row>
    <row r="18" ht="21.75" customHeight="1">
      <c r="A18" s="21" t="inlineStr">
        <is>
          <t>D14</t>
        </is>
      </c>
      <c r="B18" s="7" t="inlineStr">
        <is>
          <t>Motivación aparente</t>
        </is>
      </c>
      <c r="C18" s="6" t="n">
        <v>7</v>
      </c>
      <c r="D18" s="6" t="n">
        <v>6</v>
      </c>
      <c r="E18" s="6" t="n">
        <v>7</v>
      </c>
      <c r="F18" s="6" t="n">
        <v>9</v>
      </c>
      <c r="G18" s="23" t="inlineStr">
        <is>
          <t>0</t>
        </is>
      </c>
      <c r="H18" s="7" t="inlineStr">
        <is>
          <t>Se mantiene en 7 declarados con otra composición: recibe los casos de copia y pega y de omisión de respuesta que estaban en D15 y D17.</t>
        </is>
      </c>
    </row>
    <row r="19" ht="21.75" customHeight="1">
      <c r="A19" s="21" t="inlineStr">
        <is>
          <t>D15</t>
        </is>
      </c>
      <c r="B19" s="7" t="inlineStr">
        <is>
          <t>Falta o defecto interno de motivación</t>
        </is>
      </c>
      <c r="C19" s="6" t="n">
        <v>31</v>
      </c>
      <c r="D19" s="6" t="n">
        <v>30</v>
      </c>
      <c r="E19" s="6" t="n">
        <v>8</v>
      </c>
      <c r="F19" s="6" t="n">
        <v>9</v>
      </c>
      <c r="G19" s="22" t="inlineStr">
        <is>
          <t>-23</t>
        </is>
      </c>
      <c r="H19" s="7" t="inlineStr">
        <is>
          <t>De 31 a 8, la corrección de mayor impacto. Queda reservado a inferencia inválida e incoherencia narrativa, que es el concepto de Llamoja.</t>
        </is>
      </c>
    </row>
    <row r="20" ht="21.75" customHeight="1">
      <c r="A20" s="21" t="inlineStr">
        <is>
          <t>D16</t>
        </is>
      </c>
      <c r="B20" s="7" t="inlineStr">
        <is>
          <t>Incongruencia procesal</t>
        </is>
      </c>
      <c r="C20" s="6" t="n">
        <v>25</v>
      </c>
      <c r="D20" s="6" t="n">
        <v>24</v>
      </c>
      <c r="E20" s="6" t="n">
        <v>26</v>
      </c>
      <c r="F20" s="6" t="n">
        <v>31</v>
      </c>
      <c r="G20" s="24" t="inlineStr">
        <is>
          <t>+1</t>
        </is>
      </c>
      <c r="H20" s="7" t="inlineStr">
        <is>
          <t>De 25 a 26 declarados, pero absorbiendo once registros de D06 y los de omisión de pronunciamiento alojados en D15 y D17. Pasa a ser la causal más frecuente del corpus.</t>
        </is>
      </c>
    </row>
    <row r="21" ht="21.75" customHeight="1">
      <c r="A21" s="21" t="inlineStr">
        <is>
          <t>D17</t>
        </is>
      </c>
      <c r="B21" s="7" t="inlineStr">
        <is>
          <t>Falta de respuesta a agravios</t>
        </is>
      </c>
      <c r="C21" s="6" t="n">
        <v>4</v>
      </c>
      <c r="D21" s="6" t="n">
        <v>3</v>
      </c>
      <c r="E21" s="6" t="n">
        <v>0</v>
      </c>
      <c r="F21" s="6" t="n">
        <v>0</v>
      </c>
      <c r="G21" s="22" t="inlineStr">
        <is>
          <t>-4</t>
        </is>
      </c>
      <c r="H21" s="7" t="inlineStr">
        <is>
          <t>Queda en cero. Es un vicio del órgano revisor: estructuralmente inaplicable a un corpus de sentencias de vista.</t>
        </is>
      </c>
    </row>
    <row r="22" ht="21.75" customHeight="1">
      <c r="A22" s="21" t="inlineStr">
        <is>
          <t>D18</t>
        </is>
      </c>
      <c r="B22" s="7" t="inlineStr">
        <is>
          <t>Violación de preclusión procesal</t>
        </is>
      </c>
      <c r="C22" s="6" t="n">
        <v>2</v>
      </c>
      <c r="D22" s="6" t="n">
        <v>1</v>
      </c>
      <c r="E22" s="6" t="n">
        <v>0</v>
      </c>
      <c r="F22" s="6" t="n">
        <v>0</v>
      </c>
      <c r="G22" s="22" t="inlineStr">
        <is>
          <t>-2</t>
        </is>
      </c>
      <c r="H22" s="7" t="inlineStr">
        <is>
          <t>Queda en cero real. El único caso (04965-2023) era nulidad refleja por suspensión, no pérdida de una facultad precluida.</t>
        </is>
      </c>
    </row>
    <row r="23" ht="21.75" customHeight="1">
      <c r="A23" s="21" t="inlineStr">
        <is>
          <t>D19</t>
        </is>
      </c>
      <c r="B23" s="7" t="inlineStr">
        <is>
          <t>Omisión de resolver incidencia previa</t>
        </is>
      </c>
      <c r="C23" s="6" t="n">
        <v>10</v>
      </c>
      <c r="D23" s="6" t="n">
        <v>9</v>
      </c>
      <c r="E23" s="6" t="n">
        <v>9</v>
      </c>
      <c r="F23" s="6" t="n">
        <v>10</v>
      </c>
      <c r="G23" s="22" t="inlineStr">
        <is>
          <t>-1</t>
        </is>
      </c>
      <c r="H23" s="7" t="inlineStr">
        <is>
          <t>De 10 a 9 declarados, con mejor sustento: recibe las incidencias previas alojadas en D08 y D20 y cede a D22 las nulidades concatenadas.</t>
        </is>
      </c>
    </row>
    <row r="24" ht="21.75" customHeight="1">
      <c r="A24" s="21" t="inlineStr">
        <is>
          <t>D20</t>
        </is>
      </c>
      <c r="B24" s="7" t="inlineStr">
        <is>
          <t>Otro defecto insubsanable del procedimiento</t>
        </is>
      </c>
      <c r="C24" s="6" t="n">
        <v>33</v>
      </c>
      <c r="D24" s="6" t="n">
        <v>32</v>
      </c>
      <c r="E24" s="6" t="n">
        <v>2</v>
      </c>
      <c r="F24" s="6" t="n">
        <v>2</v>
      </c>
      <c r="G24" s="22" t="inlineStr">
        <is>
          <t>-31</t>
        </is>
      </c>
      <c r="H24" s="7" t="inlineStr">
        <is>
          <t>De 33 a 2. Solo quedan los dos defectos residuales genuinos (dictamen fiscal omitido y apercibimiento sin plazo); el resto era el calificativo «insubsanable», ahora en columna propia.</t>
        </is>
      </c>
    </row>
    <row r="25" ht="21.75" customHeight="1">
      <c r="A25" s="21" t="inlineStr">
        <is>
          <t>D21</t>
        </is>
      </c>
      <c r="B25" s="7" t="inlineStr">
        <is>
          <t>Deficiencia de motivación externa (justificación de las premisas)</t>
        </is>
      </c>
      <c r="C25" s="6" t="n">
        <v>0</v>
      </c>
      <c r="D25" s="6" t="n">
        <v>0</v>
      </c>
      <c r="E25" s="6" t="n">
        <v>7</v>
      </c>
      <c r="F25" s="6" t="n">
        <v>8</v>
      </c>
      <c r="G25" s="24" t="inlineStr">
        <is>
          <t>+7</t>
        </is>
      </c>
      <c r="H25" s="7" t="inlineStr">
        <is>
          <t>Código nuevo, 7 registros declarados: supuesto c) de Llamoja (justificación de las premisas), ausente del catálogo original pese a que varias Salas lo etiquetan de forma expresa.</t>
        </is>
      </c>
    </row>
    <row r="26" ht="21.75" customHeight="1">
      <c r="A26" s="21" t="inlineStr">
        <is>
          <t>D22</t>
        </is>
      </c>
      <c r="B26" s="7" t="inlineStr">
        <is>
          <t>Nulidad refleja, concatenada o por hecho sobreviniente</t>
        </is>
      </c>
      <c r="C26" s="6" t="n">
        <v>0</v>
      </c>
      <c r="D26" s="6" t="n">
        <v>0</v>
      </c>
      <c r="E26" s="6" t="n">
        <v>7</v>
      </c>
      <c r="F26" s="6" t="n">
        <v>7</v>
      </c>
      <c r="G26" s="24" t="inlineStr">
        <is>
          <t>+7</t>
        </is>
      </c>
      <c r="H26" s="7" t="inlineStr">
        <is>
          <t>Código nuevo, 7 registros declarados: nulidad refleja, concatenada o por hecho sobreviniente. El defecto no es propio de la sentencia revisada.</t>
        </is>
      </c>
    </row>
    <row r="27" ht="21.75" customHeight="1">
      <c r="A27" s="21" t="inlineStr">
        <is>
          <t>D23</t>
        </is>
      </c>
      <c r="B27" s="7" t="inlineStr">
        <is>
          <t>Motivación defectuosa sin especificación del supuesto</t>
        </is>
      </c>
      <c r="C27" s="6" t="n">
        <v>0</v>
      </c>
      <c r="D27" s="6" t="n">
        <v>0</v>
      </c>
      <c r="E27" s="6" t="n">
        <v>19</v>
      </c>
      <c r="F27" s="6" t="n">
        <v>20</v>
      </c>
      <c r="G27" s="24" t="inlineStr">
        <is>
          <t>+19</t>
        </is>
      </c>
      <c r="H27" s="7" t="inlineStr">
        <is>
          <t>Código nuevo, 19 registros declarados: motivación defectuosa sin especificación del supuesto. Recoge las fórmulas genéricas que inflaban D15.</t>
        </is>
      </c>
    </row>
    <row r="28" ht="15" customHeight="1">
      <c r="A28" s="25" t="inlineStr">
        <is>
          <t>TOTAL</t>
        </is>
      </c>
      <c r="B28" s="25" t="n"/>
      <c r="C28" s="25" t="n">
        <v>265</v>
      </c>
      <c r="D28" s="25" t="n">
        <v>245</v>
      </c>
      <c r="E28" s="25" t="n">
        <v>154</v>
      </c>
      <c r="F28" s="25" t="n">
        <v>194</v>
      </c>
      <c r="G28" s="25" t="inlineStr">
        <is>
          <t>-111</t>
        </is>
      </c>
      <c r="H28" s="25" t="n"/>
    </row>
    <row r="31" ht="15" customHeight="1">
      <c r="A31" s="26" t="inlineStr">
        <is>
          <t>DESGLOSE DE LOS REGISTROS CORREGIDOS POR ESTATUS</t>
        </is>
      </c>
    </row>
    <row r="32" ht="45.75" customHeight="1">
      <c r="A32" s="27" t="inlineStr">
        <is>
          <t>Cód.</t>
        </is>
      </c>
      <c r="B32" s="27" t="inlineStr">
        <is>
          <t>Causal</t>
        </is>
      </c>
      <c r="C32" s="27" t="inlineStr">
        <is>
          <t>Declarado por la Sala</t>
        </is>
      </c>
      <c r="D32" s="27" t="inlineStr">
        <is>
          <t>Consecuencia derivada</t>
        </is>
      </c>
      <c r="E32" s="27" t="inlineStr">
        <is>
          <t>Alegado, no acogido</t>
        </is>
      </c>
      <c r="F32" s="27" t="inlineStr">
        <is>
          <t>Voto en minoría / discordia / singular</t>
        </is>
      </c>
      <c r="G32" s="27" t="inlineStr">
        <is>
          <t>Advertido sin nulidad</t>
        </is>
      </c>
      <c r="H32" s="27" t="inlineStr">
        <is>
          <t>Total</t>
        </is>
      </c>
    </row>
    <row r="33" ht="15" customHeight="1">
      <c r="A33" s="21" t="inlineStr">
        <is>
          <t>D01</t>
        </is>
      </c>
      <c r="B33" s="7" t="inlineStr">
        <is>
          <t>Notificación o emplazamiento defectuoso</t>
        </is>
      </c>
      <c r="C33" s="6" t="n">
        <v>7</v>
      </c>
      <c r="D33" s="6" t="n">
        <v>0</v>
      </c>
      <c r="E33" s="6" t="n">
        <v>1</v>
      </c>
      <c r="F33" s="6" t="n">
        <v>0</v>
      </c>
      <c r="G33" s="6" t="n">
        <v>0</v>
      </c>
      <c r="H33" s="6" t="n">
        <v>8</v>
      </c>
    </row>
    <row r="34" ht="15" customHeight="1">
      <c r="A34" s="21" t="inlineStr">
        <is>
          <t>D02</t>
        </is>
      </c>
      <c r="B34" s="7" t="inlineStr">
        <is>
          <t>Vulneración del derecho de defensa</t>
        </is>
      </c>
      <c r="C34" s="6" t="n">
        <v>5</v>
      </c>
      <c r="D34" s="6" t="n">
        <v>9</v>
      </c>
      <c r="E34" s="6" t="n">
        <v>1</v>
      </c>
      <c r="F34" s="6" t="n">
        <v>0</v>
      </c>
      <c r="G34" s="6" t="n">
        <v>0</v>
      </c>
      <c r="H34" s="6" t="n">
        <v>15</v>
      </c>
    </row>
    <row r="35" ht="15" customHeight="1">
      <c r="A35" s="21" t="inlineStr">
        <is>
          <t>D03</t>
        </is>
      </c>
      <c r="B35" s="7" t="inlineStr">
        <is>
          <t>Litisconsorte necesario omitido</t>
        </is>
      </c>
      <c r="C35" s="6" t="n">
        <v>5</v>
      </c>
      <c r="D35" s="6" t="n">
        <v>0</v>
      </c>
      <c r="E35" s="6" t="n">
        <v>0</v>
      </c>
      <c r="F35" s="6" t="n">
        <v>0</v>
      </c>
      <c r="G35" s="6" t="n">
        <v>0</v>
      </c>
      <c r="H35" s="6" t="n">
        <v>5</v>
      </c>
    </row>
    <row r="36" ht="15" customHeight="1">
      <c r="A36" s="21" t="inlineStr">
        <is>
          <t>D04</t>
        </is>
      </c>
      <c r="B36" s="7" t="inlineStr">
        <is>
          <t>Declaración indebida de rebeldía</t>
        </is>
      </c>
      <c r="C36" s="6" t="n">
        <v>3</v>
      </c>
      <c r="D36" s="6" t="n">
        <v>0</v>
      </c>
      <c r="E36" s="6" t="n">
        <v>1</v>
      </c>
      <c r="F36" s="6" t="n">
        <v>0</v>
      </c>
      <c r="G36" s="6" t="n">
        <v>0</v>
      </c>
      <c r="H36" s="6" t="n">
        <v>4</v>
      </c>
    </row>
    <row r="37" ht="15" customHeight="1">
      <c r="A37" s="21" t="inlineStr">
        <is>
          <t>D05</t>
        </is>
      </c>
      <c r="B37" s="7" t="inlineStr">
        <is>
          <t>Omisión o irregularidad de audiencia</t>
        </is>
      </c>
      <c r="C37" s="6" t="n">
        <v>0</v>
      </c>
      <c r="D37" s="6" t="n">
        <v>0</v>
      </c>
      <c r="E37" s="6" t="n">
        <v>0</v>
      </c>
      <c r="F37" s="6" t="n">
        <v>0</v>
      </c>
      <c r="G37" s="6" t="n">
        <v>0</v>
      </c>
      <c r="H37" s="6" t="n">
        <v>0</v>
      </c>
    </row>
    <row r="38" ht="15" customHeight="1">
      <c r="A38" s="21" t="inlineStr">
        <is>
          <t>D06</t>
        </is>
      </c>
      <c r="B38" s="7" t="inlineStr">
        <is>
          <t>Deficiente fijación de puntos/hechos controvertidos</t>
        </is>
      </c>
      <c r="C38" s="6" t="n">
        <v>3</v>
      </c>
      <c r="D38" s="6" t="n">
        <v>0</v>
      </c>
      <c r="E38" s="6" t="n">
        <v>1</v>
      </c>
      <c r="F38" s="6" t="n">
        <v>2</v>
      </c>
      <c r="G38" s="6" t="n">
        <v>2</v>
      </c>
      <c r="H38" s="6" t="n">
        <v>8</v>
      </c>
    </row>
    <row r="39" ht="15" customHeight="1">
      <c r="A39" s="21" t="inlineStr">
        <is>
          <t>D07</t>
        </is>
      </c>
      <c r="B39" s="7" t="inlineStr">
        <is>
          <t>Prueba admitida y no actuada</t>
        </is>
      </c>
      <c r="C39" s="6" t="n">
        <v>4</v>
      </c>
      <c r="D39" s="6" t="n">
        <v>0</v>
      </c>
      <c r="E39" s="6" t="n">
        <v>0</v>
      </c>
      <c r="F39" s="6" t="n">
        <v>0</v>
      </c>
      <c r="G39" s="6" t="n">
        <v>0</v>
      </c>
      <c r="H39" s="6" t="n">
        <v>4</v>
      </c>
    </row>
    <row r="40" ht="15" customHeight="1">
      <c r="A40" s="21" t="inlineStr">
        <is>
          <t>D08</t>
        </is>
      </c>
      <c r="B40" s="7" t="inlineStr">
        <is>
          <t>Indebida admisión o exclusión de prueba</t>
        </is>
      </c>
      <c r="C40" s="6" t="n">
        <v>2</v>
      </c>
      <c r="D40" s="6" t="n">
        <v>0</v>
      </c>
      <c r="E40" s="6" t="n">
        <v>0</v>
      </c>
      <c r="F40" s="6" t="n">
        <v>1</v>
      </c>
      <c r="G40" s="6" t="n">
        <v>0</v>
      </c>
      <c r="H40" s="6" t="n">
        <v>3</v>
      </c>
    </row>
    <row r="41" ht="15" customHeight="1">
      <c r="A41" s="21" t="inlineStr">
        <is>
          <t>D09</t>
        </is>
      </c>
      <c r="B41" s="7" t="inlineStr">
        <is>
          <t>Prueba de oficio irregular</t>
        </is>
      </c>
      <c r="C41" s="6" t="n">
        <v>2</v>
      </c>
      <c r="D41" s="6" t="n">
        <v>0</v>
      </c>
      <c r="E41" s="6" t="n">
        <v>0</v>
      </c>
      <c r="F41" s="6" t="n">
        <v>1</v>
      </c>
      <c r="G41" s="6" t="n">
        <v>0</v>
      </c>
      <c r="H41" s="6" t="n">
        <v>3</v>
      </c>
    </row>
    <row r="42" ht="15" customHeight="1">
      <c r="A42" s="21" t="inlineStr">
        <is>
          <t>D10</t>
        </is>
      </c>
      <c r="B42" s="7" t="inlineStr">
        <is>
          <t>Falta de contradictorio de la prueba</t>
        </is>
      </c>
      <c r="C42" s="6" t="n">
        <v>2</v>
      </c>
      <c r="D42" s="6" t="n">
        <v>0</v>
      </c>
      <c r="E42" s="6" t="n">
        <v>0</v>
      </c>
      <c r="F42" s="6" t="n">
        <v>0</v>
      </c>
      <c r="G42" s="6" t="n">
        <v>0</v>
      </c>
      <c r="H42" s="6" t="n">
        <v>2</v>
      </c>
    </row>
    <row r="43" ht="15" customHeight="1">
      <c r="A43" s="21" t="inlineStr">
        <is>
          <t>D11</t>
        </is>
      </c>
      <c r="B43" s="7" t="inlineStr">
        <is>
          <t>Omisión de valoración de prueba decisiva</t>
        </is>
      </c>
      <c r="C43" s="6" t="n">
        <v>7</v>
      </c>
      <c r="D43" s="6" t="n">
        <v>0</v>
      </c>
      <c r="E43" s="6" t="n">
        <v>1</v>
      </c>
      <c r="F43" s="6" t="n">
        <v>0</v>
      </c>
      <c r="G43" s="6" t="n">
        <v>1</v>
      </c>
      <c r="H43" s="6" t="n">
        <v>9</v>
      </c>
    </row>
    <row r="44" ht="15" customHeight="1">
      <c r="A44" s="21" t="inlineStr">
        <is>
          <t>D12</t>
        </is>
      </c>
      <c r="B44" s="7" t="inlineStr">
        <is>
          <t>Valoración probatoria defectuosa</t>
        </is>
      </c>
      <c r="C44" s="6" t="n">
        <v>16</v>
      </c>
      <c r="D44" s="6" t="n">
        <v>0</v>
      </c>
      <c r="E44" s="6" t="n">
        <v>0</v>
      </c>
      <c r="F44" s="6" t="n">
        <v>0</v>
      </c>
      <c r="G44" s="6" t="n">
        <v>3</v>
      </c>
      <c r="H44" s="6" t="n">
        <v>19</v>
      </c>
    </row>
    <row r="45" ht="15" customHeight="1">
      <c r="A45" s="21" t="inlineStr">
        <is>
          <t>D13</t>
        </is>
      </c>
      <c r="B45" s="7" t="inlineStr">
        <is>
          <t>Motivación insuficiente</t>
        </is>
      </c>
      <c r="C45" s="6" t="n">
        <v>13</v>
      </c>
      <c r="D45" s="6" t="n">
        <v>0</v>
      </c>
      <c r="E45" s="6" t="n">
        <v>2</v>
      </c>
      <c r="F45" s="6" t="n">
        <v>1</v>
      </c>
      <c r="G45" s="6" t="n">
        <v>2</v>
      </c>
      <c r="H45" s="6" t="n">
        <v>18</v>
      </c>
    </row>
    <row r="46" ht="15" customHeight="1">
      <c r="A46" s="21" t="inlineStr">
        <is>
          <t>D14</t>
        </is>
      </c>
      <c r="B46" s="7" t="inlineStr">
        <is>
          <t>Motivación aparente</t>
        </is>
      </c>
      <c r="C46" s="6" t="n">
        <v>7</v>
      </c>
      <c r="D46" s="6" t="n">
        <v>0</v>
      </c>
      <c r="E46" s="6" t="n">
        <v>1</v>
      </c>
      <c r="F46" s="6" t="n">
        <v>0</v>
      </c>
      <c r="G46" s="6" t="n">
        <v>1</v>
      </c>
      <c r="H46" s="6" t="n">
        <v>9</v>
      </c>
    </row>
    <row r="47" ht="15" customHeight="1">
      <c r="A47" s="21" t="inlineStr">
        <is>
          <t>D15</t>
        </is>
      </c>
      <c r="B47" s="7" t="inlineStr">
        <is>
          <t>Falta o defecto interno de motivación</t>
        </is>
      </c>
      <c r="C47" s="6" t="n">
        <v>8</v>
      </c>
      <c r="D47" s="6" t="n">
        <v>0</v>
      </c>
      <c r="E47" s="6" t="n">
        <v>0</v>
      </c>
      <c r="F47" s="6" t="n">
        <v>0</v>
      </c>
      <c r="G47" s="6" t="n">
        <v>1</v>
      </c>
      <c r="H47" s="6" t="n">
        <v>9</v>
      </c>
    </row>
    <row r="48" ht="15" customHeight="1">
      <c r="A48" s="21" t="inlineStr">
        <is>
          <t>D16</t>
        </is>
      </c>
      <c r="B48" s="7" t="inlineStr">
        <is>
          <t>Incongruencia procesal</t>
        </is>
      </c>
      <c r="C48" s="6" t="n">
        <v>26</v>
      </c>
      <c r="D48" s="6" t="n">
        <v>0</v>
      </c>
      <c r="E48" s="6" t="n">
        <v>2</v>
      </c>
      <c r="F48" s="6" t="n">
        <v>0</v>
      </c>
      <c r="G48" s="6" t="n">
        <v>3</v>
      </c>
      <c r="H48" s="6" t="n">
        <v>31</v>
      </c>
    </row>
    <row r="49" ht="15" customHeight="1">
      <c r="A49" s="21" t="inlineStr">
        <is>
          <t>D17</t>
        </is>
      </c>
      <c r="B49" s="7" t="inlineStr">
        <is>
          <t>Falta de respuesta a agravios</t>
        </is>
      </c>
      <c r="C49" s="6" t="n">
        <v>0</v>
      </c>
      <c r="D49" s="6" t="n">
        <v>0</v>
      </c>
      <c r="E49" s="6" t="n">
        <v>0</v>
      </c>
      <c r="F49" s="6" t="n">
        <v>0</v>
      </c>
      <c r="G49" s="6" t="n">
        <v>0</v>
      </c>
      <c r="H49" s="6" t="n">
        <v>0</v>
      </c>
    </row>
    <row r="50" ht="15" customHeight="1">
      <c r="A50" s="21" t="inlineStr">
        <is>
          <t>D18</t>
        </is>
      </c>
      <c r="B50" s="7" t="inlineStr">
        <is>
          <t>Violación de preclusión procesal</t>
        </is>
      </c>
      <c r="C50" s="6" t="n">
        <v>0</v>
      </c>
      <c r="D50" s="6" t="n">
        <v>0</v>
      </c>
      <c r="E50" s="6" t="n">
        <v>0</v>
      </c>
      <c r="F50" s="6" t="n">
        <v>0</v>
      </c>
      <c r="G50" s="6" t="n">
        <v>0</v>
      </c>
      <c r="H50" s="6" t="n">
        <v>0</v>
      </c>
    </row>
    <row r="51" ht="15" customHeight="1">
      <c r="A51" s="21" t="inlineStr">
        <is>
          <t>D19</t>
        </is>
      </c>
      <c r="B51" s="7" t="inlineStr">
        <is>
          <t>Omisión de resolver incidencia previa</t>
        </is>
      </c>
      <c r="C51" s="6" t="n">
        <v>9</v>
      </c>
      <c r="D51" s="6" t="n">
        <v>0</v>
      </c>
      <c r="E51" s="6" t="n">
        <v>1</v>
      </c>
      <c r="F51" s="6" t="n">
        <v>0</v>
      </c>
      <c r="G51" s="6" t="n">
        <v>0</v>
      </c>
      <c r="H51" s="6" t="n">
        <v>10</v>
      </c>
    </row>
    <row r="52" ht="15" customHeight="1">
      <c r="A52" s="21" t="inlineStr">
        <is>
          <t>D20</t>
        </is>
      </c>
      <c r="B52" s="7" t="inlineStr">
        <is>
          <t>Otro defecto insubsanable del procedimiento</t>
        </is>
      </c>
      <c r="C52" s="6" t="n">
        <v>2</v>
      </c>
      <c r="D52" s="6" t="n">
        <v>0</v>
      </c>
      <c r="E52" s="6" t="n">
        <v>0</v>
      </c>
      <c r="F52" s="6" t="n">
        <v>0</v>
      </c>
      <c r="G52" s="6" t="n">
        <v>0</v>
      </c>
      <c r="H52" s="6" t="n">
        <v>2</v>
      </c>
    </row>
    <row r="53" ht="21.75" customHeight="1">
      <c r="A53" s="21" t="inlineStr">
        <is>
          <t>D21</t>
        </is>
      </c>
      <c r="B53" s="7" t="inlineStr">
        <is>
          <t>Deficiencia de motivación externa (justificación de las premisas)</t>
        </is>
      </c>
      <c r="C53" s="6" t="n">
        <v>7</v>
      </c>
      <c r="D53" s="6" t="n">
        <v>0</v>
      </c>
      <c r="E53" s="6" t="n">
        <v>0</v>
      </c>
      <c r="F53" s="6" t="n">
        <v>0</v>
      </c>
      <c r="G53" s="6" t="n">
        <v>1</v>
      </c>
      <c r="H53" s="6" t="n">
        <v>8</v>
      </c>
    </row>
    <row r="54" ht="15" customHeight="1">
      <c r="A54" s="21" t="inlineStr">
        <is>
          <t>D22</t>
        </is>
      </c>
      <c r="B54" s="7" t="inlineStr">
        <is>
          <t>Nulidad refleja, concatenada o por hecho sobreviniente</t>
        </is>
      </c>
      <c r="C54" s="6" t="n">
        <v>7</v>
      </c>
      <c r="D54" s="6" t="n">
        <v>0</v>
      </c>
      <c r="E54" s="6" t="n">
        <v>0</v>
      </c>
      <c r="F54" s="6" t="n">
        <v>0</v>
      </c>
      <c r="G54" s="6" t="n">
        <v>0</v>
      </c>
      <c r="H54" s="6" t="n">
        <v>7</v>
      </c>
    </row>
    <row r="55" ht="15" customHeight="1">
      <c r="A55" s="21" t="inlineStr">
        <is>
          <t>D23</t>
        </is>
      </c>
      <c r="B55" s="7" t="inlineStr">
        <is>
          <t>Motivación defectuosa sin especificación del supuesto</t>
        </is>
      </c>
      <c r="C55" s="6" t="n">
        <v>19</v>
      </c>
      <c r="D55" s="6" t="n">
        <v>0</v>
      </c>
      <c r="E55" s="6" t="n">
        <v>0</v>
      </c>
      <c r="F55" s="6" t="n">
        <v>1</v>
      </c>
      <c r="G55" s="6" t="n">
        <v>0</v>
      </c>
      <c r="H55" s="6" t="n">
        <v>20</v>
      </c>
    </row>
    <row r="56" ht="15" customHeight="1">
      <c r="A56" s="25" t="inlineStr">
        <is>
          <t>TOTAL</t>
        </is>
      </c>
      <c r="B56" s="25" t="n"/>
      <c r="C56" s="25" t="n">
        <v>154</v>
      </c>
      <c r="D56" s="25" t="n">
        <v>9</v>
      </c>
      <c r="E56" s="25" t="n">
        <v>11</v>
      </c>
      <c r="F56" s="25" t="n">
        <v>6</v>
      </c>
      <c r="G56" s="25" t="n">
        <v>14</v>
      </c>
      <c r="H56" s="25" t="n">
        <v>194</v>
      </c>
    </row>
    <row r="59" ht="15" customHeight="1">
      <c r="A59" s="26" t="inlineStr">
        <is>
          <t>VARIABLES NUEVAS (sustituyen usos indebidos de D20)</t>
        </is>
      </c>
    </row>
    <row r="60" ht="15" customHeight="1">
      <c r="A60" s="28" t="inlineStr">
        <is>
          <t>Insubsanabilidad declarada = Sí</t>
        </is>
      </c>
      <c r="C60" s="28" t="n">
        <v>19</v>
      </c>
      <c r="D60" s="29" t="inlineStr">
        <is>
          <t>Expedientes en que la Sala califica el vicio de insubsanable. Antes se contabilizaba como una aparición de D20.</t>
        </is>
      </c>
    </row>
    <row r="61" ht="15" customHeight="1">
      <c r="A61" s="28" t="inlineStr">
        <is>
          <t>Nulidad sin vicio procesal identificado</t>
        </is>
      </c>
      <c r="C61" s="28" t="n">
        <v>1</v>
      </c>
      <c r="D61" s="29" t="inlineStr">
        <is>
          <t>Nulidad declarada para corregir un error de juicio, sin defecto procesal. Categoría de interés propio para la tesis.</t>
        </is>
      </c>
    </row>
    <row r="62" ht="15" customHeight="1">
      <c r="A62" s="28" t="inlineStr">
        <is>
          <t>Filas con verificación de cita pendiente</t>
        </is>
      </c>
      <c r="C62" s="28" t="n">
        <v>13</v>
      </c>
      <c r="D62" s="29" t="inlineStr">
        <is>
          <t>Citas que son agravio de parte, parte resolutiva, marco teórico o texto truncado: requieren volver al expediente.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6"/>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4" customWidth="1" min="2" max="2"/>
    <col width="10" customWidth="1" min="3" max="3"/>
    <col width="110" customWidth="1" min="5" max="5"/>
  </cols>
  <sheetData>
    <row r="1" ht="15" customHeight="1">
      <c r="A1" s="30" t="inlineStr">
        <is>
          <t>REGISTRO DE CAMBIOS: cada corrección, con su motivo</t>
        </is>
      </c>
    </row>
    <row r="3" ht="33.75" customHeight="1">
      <c r="A3" s="5" t="inlineStr">
        <is>
          <t>Clave expediente</t>
        </is>
      </c>
      <c r="B3" s="5" t="inlineStr">
        <is>
          <t>Acción</t>
        </is>
      </c>
      <c r="C3" s="5" t="inlineStr">
        <is>
          <t>De</t>
        </is>
      </c>
      <c r="D3" s="5" t="inlineStr">
        <is>
          <t>A</t>
        </is>
      </c>
      <c r="E3" s="5" t="inlineStr">
        <is>
          <t>Motivo</t>
        </is>
      </c>
    </row>
    <row r="4" ht="15" customHeight="1">
      <c r="A4" s="21" t="inlineStr">
        <is>
          <t>00072-2023</t>
        </is>
      </c>
      <c r="B4" s="6" t="inlineStr">
        <is>
          <t>Alta</t>
        </is>
      </c>
      <c r="C4" s="6" t="inlineStr">
        <is>
          <t>—</t>
        </is>
      </c>
      <c r="D4" s="6" t="inlineStr">
        <is>
          <t>D21</t>
        </is>
      </c>
      <c r="E4" s="7" t="inlineStr">
        <is>
          <t>La propia cita menciona la «fase externa» de la motivación, supuesto c) de Llamoja que el catálogo D01–D20 no contemplaba.</t>
        </is>
      </c>
    </row>
    <row r="5" ht="15" customHeight="1">
      <c r="A5" s="21" t="inlineStr">
        <is>
          <t>00072-2023</t>
        </is>
      </c>
      <c r="B5" s="6" t="inlineStr">
        <is>
          <t>Baja</t>
        </is>
      </c>
      <c r="C5" s="6" t="inlineStr">
        <is>
          <t>D20</t>
        </is>
      </c>
      <c r="D5" s="6" t="inlineStr">
        <is>
          <t>—</t>
        </is>
      </c>
      <c r="E5" s="7" t="inlineStr">
        <is>
          <t>La cita solo declara la insubsanabilidad de los vicios de motivación ya codificados en D15; se traslada a la variable «Insubsanabilidad declarada».</t>
        </is>
      </c>
    </row>
    <row r="6" ht="15" customHeight="1">
      <c r="A6" s="21" t="inlineStr">
        <is>
          <t>00115-2012</t>
        </is>
      </c>
      <c r="B6" s="6" t="inlineStr">
        <is>
          <t>Baja</t>
        </is>
      </c>
      <c r="C6" s="6" t="inlineStr">
        <is>
          <t>D20</t>
        </is>
      </c>
      <c r="D6" s="6" t="inlineStr">
        <is>
          <t>—</t>
        </is>
      </c>
      <c r="E6" s="7" t="inlineStr">
        <is>
          <t>«Adolece de nulidad insubsanable» es el calificativo del defecto de D01, no un defecto residual.</t>
        </is>
      </c>
    </row>
    <row r="7" ht="15" customHeight="1">
      <c r="A7" s="21" t="inlineStr">
        <is>
          <t>00115-2012</t>
        </is>
      </c>
      <c r="B7" s="6" t="inlineStr">
        <is>
          <t>Reclasificación de estatus</t>
        </is>
      </c>
      <c r="C7" s="6" t="inlineStr">
        <is>
          <t>D02</t>
        </is>
      </c>
      <c r="D7" s="6" t="inlineStr">
        <is>
          <t>D02 (derivado)</t>
        </is>
      </c>
      <c r="E7" s="7" t="inlineStr">
        <is>
          <t>La indefensión es consecuencia del emplazamiento defectuoso de D01, no un defecto autónomo.</t>
        </is>
      </c>
    </row>
    <row r="8" ht="21.75" customHeight="1">
      <c r="A8" s="21" t="inlineStr">
        <is>
          <t>00234-2018</t>
        </is>
      </c>
      <c r="B8" s="6" t="inlineStr">
        <is>
          <t>Migración</t>
        </is>
      </c>
      <c r="C8" s="6" t="inlineStr">
        <is>
          <t>D20</t>
        </is>
      </c>
      <c r="D8" s="6" t="inlineStr">
        <is>
          <t>D19</t>
        </is>
      </c>
      <c r="E8" s="7" t="inlineStr">
        <is>
          <t>«Sentencia emitida sin que las resoluciones tres y catorce hayan quedado consentidas» es falta de firmeza de una incidencia condicionante, no un defecto residual. Se mantiene como alegado no acogido: la Sala lo desestima (art. 190 in fine CPC).</t>
        </is>
      </c>
    </row>
    <row r="9" ht="15" customHeight="1">
      <c r="A9" s="21" t="inlineStr">
        <is>
          <t>00340-2002</t>
        </is>
      </c>
      <c r="B9" s="6" t="inlineStr">
        <is>
          <t>Baja</t>
        </is>
      </c>
      <c r="C9" s="6" t="inlineStr">
        <is>
          <t>D15</t>
        </is>
      </c>
      <c r="D9" s="6" t="inlineStr">
        <is>
          <t>—</t>
        </is>
      </c>
      <c r="E9" s="7" t="inlineStr">
        <is>
          <t>Cita genérica (arts. VII TP, 50.6 CPC y 139.5 Const.) que no describe inferencia inválida ni incoherencia; el mismo pasaje sostenía D16.</t>
        </is>
      </c>
    </row>
    <row r="10" ht="15" customHeight="1">
      <c r="A10" s="21" t="inlineStr">
        <is>
          <t>00340-2002</t>
        </is>
      </c>
      <c r="B10" s="6" t="inlineStr">
        <is>
          <t>Migración</t>
        </is>
      </c>
      <c r="C10" s="6" t="inlineStr">
        <is>
          <t>D06</t>
        </is>
      </c>
      <c r="D10" s="6" t="inlineStr">
        <is>
          <t>D16</t>
        </is>
      </c>
      <c r="E10" s="7" t="inlineStr">
        <is>
          <t>«Se ha sentenciado sobre una causal no determinada como punto controvertido» describe una sentencia extra petita, no un auto de fijación deficiente.</t>
        </is>
      </c>
    </row>
    <row r="11" ht="15" customHeight="1">
      <c r="A11" s="21" t="inlineStr">
        <is>
          <t>00340-2002</t>
        </is>
      </c>
      <c r="B11" s="6" t="inlineStr">
        <is>
          <t>Sustitución de cita</t>
        </is>
      </c>
      <c r="C11" s="6" t="inlineStr">
        <is>
          <t>D16</t>
        </is>
      </c>
      <c r="D11" s="6" t="inlineStr">
        <is>
          <t>D16</t>
        </is>
      </c>
      <c r="E11" s="7" t="inlineStr">
        <is>
          <t>Se reemplaza la fórmula genérica por el pasaje que describe la incongruencia.</t>
        </is>
      </c>
    </row>
    <row r="12" ht="21.75" customHeight="1">
      <c r="A12" s="21" t="inlineStr">
        <is>
          <t>00428-2017</t>
        </is>
      </c>
      <c r="B12" s="6" t="inlineStr">
        <is>
          <t>Migración</t>
        </is>
      </c>
      <c r="C12" s="6" t="inlineStr">
        <is>
          <t>D15</t>
        </is>
      </c>
      <c r="D12" s="6" t="inlineStr">
        <is>
          <t>D21</t>
        </is>
      </c>
      <c r="E12" s="7" t="inlineStr">
        <is>
          <t>«Motivación defectuosa» por uso de casaciones sobre supuestos fácticos distintos es deficiencia de justificación externa de la premisa normativa, no defecto interno.</t>
        </is>
      </c>
    </row>
    <row r="13" ht="15" customHeight="1">
      <c r="A13" s="21" t="inlineStr">
        <is>
          <t>00428-2017</t>
        </is>
      </c>
      <c r="B13" s="6" t="inlineStr">
        <is>
          <t>Reclasificación de estatus</t>
        </is>
      </c>
      <c r="C13" s="6" t="inlineStr">
        <is>
          <t>—</t>
        </is>
      </c>
      <c r="D13" s="6" t="inlineStr">
        <is>
          <t>ADV</t>
        </is>
      </c>
      <c r="E13" s="7" t="inlineStr">
        <is>
          <t>La Sala revoca y falla el fondo: el vicio se advierte sin efecto anulatorio.</t>
        </is>
      </c>
    </row>
    <row r="14" ht="15" customHeight="1">
      <c r="A14" s="21" t="inlineStr">
        <is>
          <t>00646-2024</t>
        </is>
      </c>
      <c r="B14" s="6" t="inlineStr">
        <is>
          <t>Baja</t>
        </is>
      </c>
      <c r="C14" s="6" t="inlineStr">
        <is>
          <t>D11</t>
        </is>
      </c>
      <c r="D14" s="6" t="inlineStr">
        <is>
          <t>—</t>
        </is>
      </c>
      <c r="E14" s="7" t="inlineStr">
        <is>
          <t>«No obra en autos instrumento idóneo que acredite» describe ausencia de prueba, no omisión de valorarla; el fenómeno ya está en D12 (carga probatoria).</t>
        </is>
      </c>
    </row>
    <row r="15" ht="15" customHeight="1">
      <c r="A15" s="21" t="inlineStr">
        <is>
          <t>00646-2024</t>
        </is>
      </c>
      <c r="B15" s="6" t="inlineStr">
        <is>
          <t>Migración</t>
        </is>
      </c>
      <c r="C15" s="6" t="inlineStr">
        <is>
          <t>D13</t>
        </is>
      </c>
      <c r="D15" s="6" t="inlineStr">
        <is>
          <t>D23</t>
        </is>
      </c>
      <c r="E15" s="7" t="inlineStr">
        <is>
          <t>«Se ha vulnerado el inciso 5º del artículo 139» es invocación genérica que no permite discriminar el supuesto de Llamoja.</t>
        </is>
      </c>
    </row>
    <row r="16" ht="15" customHeight="1">
      <c r="A16" s="21" t="inlineStr">
        <is>
          <t>00661-2023</t>
        </is>
      </c>
      <c r="B16" s="6" t="inlineStr">
        <is>
          <t>Baja</t>
        </is>
      </c>
      <c r="C16" s="6" t="inlineStr">
        <is>
          <t>D11</t>
        </is>
      </c>
      <c r="D16" s="6" t="inlineStr">
        <is>
          <t>—</t>
        </is>
      </c>
      <c r="E16" s="7" t="inlineStr">
        <is>
          <t>«No se verifica que en autos obre el expediente N° 54182-2010» es ausencia de material probatorio; el reproche valorativo ya consta en D12.</t>
        </is>
      </c>
    </row>
    <row r="17" ht="21.75" customHeight="1">
      <c r="A17" s="21" t="inlineStr">
        <is>
          <t>00742-2022</t>
        </is>
      </c>
      <c r="B17" s="6" t="inlineStr">
        <is>
          <t>Migración</t>
        </is>
      </c>
      <c r="C17" s="6" t="inlineStr">
        <is>
          <t>D10</t>
        </is>
      </c>
      <c r="D17" s="6" t="inlineStr">
        <is>
          <t>D02</t>
        </is>
      </c>
      <c r="E17" s="7" t="inlineStr">
        <is>
          <t>El contradictorio omitido recae sobre una causal de nulidad de acto jurídico no invocada, no sobre un elemento probatorio: es defensa alegatoria, no contradictorio de la prueba.</t>
        </is>
      </c>
    </row>
    <row r="18" ht="15" customHeight="1">
      <c r="A18" s="21" t="inlineStr">
        <is>
          <t>00742-2022</t>
        </is>
      </c>
      <c r="B18" s="6" t="inlineStr">
        <is>
          <t>Migración</t>
        </is>
      </c>
      <c r="C18" s="6" t="inlineStr">
        <is>
          <t>D06</t>
        </is>
      </c>
      <c r="D18" s="6" t="inlineStr">
        <is>
          <t>D16</t>
        </is>
      </c>
      <c r="E18" s="7" t="inlineStr">
        <is>
          <t>El pasaje usa los puntos controvertidos para demostrar que se resolvió sobre una causal ajena al debate: incongruencia, no fijación deficiente.</t>
        </is>
      </c>
    </row>
    <row r="19" ht="15" customHeight="1">
      <c r="A19" s="21" t="inlineStr">
        <is>
          <t>00742-2022</t>
        </is>
      </c>
      <c r="B19" s="6" t="inlineStr">
        <is>
          <t>Sustitución de cita</t>
        </is>
      </c>
      <c r="C19" s="6" t="inlineStr">
        <is>
          <t>D16</t>
        </is>
      </c>
      <c r="D19" s="6" t="inlineStr">
        <is>
          <t>D16</t>
        </is>
      </c>
      <c r="E19" s="7" t="inlineStr">
        <is>
          <t>Se reemplaza la cita doctrinal del TC por el pasaje aplicativo.</t>
        </is>
      </c>
    </row>
    <row r="20" ht="15" customHeight="1">
      <c r="A20" s="21" t="inlineStr">
        <is>
          <t>00774-2021</t>
        </is>
      </c>
      <c r="B20" s="6" t="inlineStr">
        <is>
          <t>Migración</t>
        </is>
      </c>
      <c r="C20" s="6" t="inlineStr">
        <is>
          <t>D20</t>
        </is>
      </c>
      <c r="D20" s="6" t="inlineStr">
        <is>
          <t>D21</t>
        </is>
      </c>
      <c r="E20" s="7" t="inlineStr">
        <is>
          <t>Premisa no confrontada con los hechos de la demanda: deficiencia de motivación externa (Llamoja c), no defecto residual.</t>
        </is>
      </c>
    </row>
    <row r="21" ht="15" customHeight="1">
      <c r="A21" s="21" t="inlineStr">
        <is>
          <t>00788-2013</t>
        </is>
      </c>
      <c r="B21" s="6" t="inlineStr">
        <is>
          <t>Baja</t>
        </is>
      </c>
      <c r="C21" s="6" t="inlineStr">
        <is>
          <t>D06</t>
        </is>
      </c>
      <c r="D21" s="6" t="inlineStr">
        <is>
          <t>—</t>
        </is>
      </c>
      <c r="E21" s="7" t="inlineStr">
        <is>
          <t>La cita se autocalifica «sentencia extra petita» y es idéntica a la de D16: doble conteo del mismo pasaje.</t>
        </is>
      </c>
    </row>
    <row r="22" ht="15" customHeight="1">
      <c r="A22" s="21" t="inlineStr">
        <is>
          <t>00848-2011</t>
        </is>
      </c>
      <c r="B22" s="6" t="inlineStr">
        <is>
          <t>Migración</t>
        </is>
      </c>
      <c r="C22" s="6" t="inlineStr">
        <is>
          <t>D11</t>
        </is>
      </c>
      <c r="D22" s="6" t="inlineStr">
        <is>
          <t>D12</t>
        </is>
      </c>
      <c r="E22" s="7" t="inlineStr">
        <is>
          <t>«No ha realizado una valoración conjunta, razonada y adecuada» es valoración defectuosa, no omisión de valoración.</t>
        </is>
      </c>
    </row>
    <row r="23" ht="15" customHeight="1">
      <c r="A23" s="21" t="inlineStr">
        <is>
          <t>00856-2017</t>
        </is>
      </c>
      <c r="B23" s="6" t="inlineStr">
        <is>
          <t>Migración</t>
        </is>
      </c>
      <c r="C23" s="6" t="inlineStr">
        <is>
          <t>D15</t>
        </is>
      </c>
      <c r="D23" s="6" t="inlineStr">
        <is>
          <t>D16</t>
        </is>
      </c>
      <c r="E23" s="7" t="inlineStr">
        <is>
          <t>«Falta de motivación de una pretensión accesoria» es omisión de pronunciamiento: incongruencia citra petita.</t>
        </is>
      </c>
    </row>
    <row r="24" ht="15" customHeight="1">
      <c r="A24" s="21" t="inlineStr">
        <is>
          <t>00898-2013</t>
        </is>
      </c>
      <c r="B24" s="6" t="inlineStr">
        <is>
          <t>Reclasificación de estatus</t>
        </is>
      </c>
      <c r="C24" s="6" t="inlineStr">
        <is>
          <t>—</t>
        </is>
      </c>
      <c r="D24" s="6" t="inlineStr">
        <is>
          <t>ADV</t>
        </is>
      </c>
      <c r="E24" s="7" t="inlineStr">
        <is>
          <t>La Sala integra la sentencia en lugar de anularla.</t>
        </is>
      </c>
    </row>
    <row r="25" ht="15" customHeight="1">
      <c r="A25" s="21" t="inlineStr">
        <is>
          <t>00933-2022</t>
        </is>
      </c>
      <c r="B25" s="6" t="inlineStr">
        <is>
          <t>Migración</t>
        </is>
      </c>
      <c r="C25" s="6" t="inlineStr">
        <is>
          <t>D17</t>
        </is>
      </c>
      <c r="D25" s="6" t="inlineStr">
        <is>
          <t>D14</t>
        </is>
      </c>
      <c r="E25" s="7" t="inlineStr">
        <is>
          <t>La omisión es del A quo respecto de un hecho impeditivo, no de la Sala respecto de agravios. La propia resolución la etiqueta «ausencia de motivación».</t>
        </is>
      </c>
    </row>
    <row r="26" ht="15" customHeight="1">
      <c r="A26" s="21" t="inlineStr">
        <is>
          <t>00965-2015</t>
        </is>
      </c>
      <c r="B26" s="6" t="inlineStr">
        <is>
          <t>Migración</t>
        </is>
      </c>
      <c r="C26" s="6" t="inlineStr">
        <is>
          <t>D15</t>
        </is>
      </c>
      <c r="D26" s="6" t="inlineStr">
        <is>
          <t>D23</t>
        </is>
      </c>
      <c r="E26" s="7" t="inlineStr">
        <is>
          <t>Enumeración de los requisitos del art. 122 CPC: fórmula genérica sin descripción del defecto interno.</t>
        </is>
      </c>
    </row>
    <row r="27" ht="15" customHeight="1">
      <c r="A27" s="21" t="inlineStr">
        <is>
          <t>00992-2016</t>
        </is>
      </c>
      <c r="B27" s="6" t="inlineStr">
        <is>
          <t>Migración</t>
        </is>
      </c>
      <c r="C27" s="6" t="inlineStr">
        <is>
          <t>D17</t>
        </is>
      </c>
      <c r="D27" s="6" t="inlineStr">
        <is>
          <t>D16</t>
        </is>
      </c>
      <c r="E27" s="7" t="inlineStr">
        <is>
          <t>La omisión de pronunciarse sobre el fondo es del A quo: incongruencia omisiva, no falta de respuesta a agravios del ad quem.</t>
        </is>
      </c>
    </row>
    <row r="28" ht="15" customHeight="1">
      <c r="A28" s="21" t="inlineStr">
        <is>
          <t>00992-2016</t>
        </is>
      </c>
      <c r="B28" s="6" t="inlineStr">
        <is>
          <t>Migración</t>
        </is>
      </c>
      <c r="C28" s="6" t="inlineStr">
        <is>
          <t>D15</t>
        </is>
      </c>
      <c r="D28" s="6" t="inlineStr">
        <is>
          <t>D23</t>
        </is>
      </c>
      <c r="E28" s="7" t="inlineStr">
        <is>
          <t>Cita genérica (arts. 122 y 171 CPC) sin descripción del defecto interno.</t>
        </is>
      </c>
    </row>
    <row r="29" ht="15" customHeight="1">
      <c r="A29" s="21" t="inlineStr">
        <is>
          <t>01033-2023</t>
        </is>
      </c>
      <c r="B29" s="6" t="inlineStr">
        <is>
          <t>Baja</t>
        </is>
      </c>
      <c r="C29" s="6" t="inlineStr">
        <is>
          <t>D13</t>
        </is>
      </c>
      <c r="D29" s="6" t="inlineStr">
        <is>
          <t>—</t>
        </is>
      </c>
      <c r="E29" s="7" t="inlineStr">
        <is>
          <t>La marca carecía de cita propia; la única cita asociada declara la insubsanabilidad, que pasa a la variable correspondiente.</t>
        </is>
      </c>
    </row>
    <row r="30" ht="15" customHeight="1">
      <c r="A30" s="21" t="inlineStr">
        <is>
          <t>01101-2022</t>
        </is>
      </c>
      <c r="B30" s="6" t="inlineStr">
        <is>
          <t>Migración</t>
        </is>
      </c>
      <c r="C30" s="6" t="inlineStr">
        <is>
          <t>D15</t>
        </is>
      </c>
      <c r="D30" s="6" t="inlineStr">
        <is>
          <t>D23</t>
        </is>
      </c>
      <c r="E30" s="7" t="inlineStr">
        <is>
          <t>«El error en la motivación de la recurrida», sin especificación alguna.</t>
        </is>
      </c>
    </row>
    <row r="31" ht="15" customHeight="1">
      <c r="A31" s="21" t="inlineStr">
        <is>
          <t>01286-2022</t>
        </is>
      </c>
      <c r="B31" s="6" t="inlineStr">
        <is>
          <t>Baja</t>
        </is>
      </c>
      <c r="C31" s="6" t="inlineStr">
        <is>
          <t>D08</t>
        </is>
      </c>
      <c r="D31" s="6" t="inlineStr">
        <is>
          <t>—</t>
        </is>
      </c>
      <c r="E31" s="7" t="inlineStr">
        <is>
          <t>La Sala menciona los medios «admitidos extemporáneamente» para acreditar el domicilio, no para reprochar la admisión: cita descontextualizada.</t>
        </is>
      </c>
    </row>
    <row r="32" ht="15" customHeight="1">
      <c r="A32" s="21" t="inlineStr">
        <is>
          <t>01286-2022</t>
        </is>
      </c>
      <c r="B32" s="6" t="inlineStr">
        <is>
          <t>Baja</t>
        </is>
      </c>
      <c r="C32" s="6" t="inlineStr">
        <is>
          <t>D20</t>
        </is>
      </c>
      <c r="D32" s="6" t="inlineStr">
        <is>
          <t>—</t>
        </is>
      </c>
      <c r="E32" s="7" t="inlineStr">
        <is>
          <t>La cita fija el alcance subjetivo de la nulidad; la insubsanabilidad pasa a su variable.</t>
        </is>
      </c>
    </row>
    <row r="33" ht="15" customHeight="1">
      <c r="A33" s="21" t="inlineStr">
        <is>
          <t>01286-2022</t>
        </is>
      </c>
      <c r="B33" s="6" t="inlineStr">
        <is>
          <t>Reclasificación de estatus</t>
        </is>
      </c>
      <c r="C33" s="6" t="inlineStr">
        <is>
          <t>D02</t>
        </is>
      </c>
      <c r="D33" s="6" t="inlineStr">
        <is>
          <t>D02 (derivado)</t>
        </is>
      </c>
      <c r="E33" s="7" t="inlineStr">
        <is>
          <t>Consecuencia del emplazamiento defectuoso de D01.</t>
        </is>
      </c>
    </row>
    <row r="34" ht="15" customHeight="1">
      <c r="A34" s="21" t="inlineStr">
        <is>
          <t>01376-2023</t>
        </is>
      </c>
      <c r="B34" s="6" t="inlineStr">
        <is>
          <t>Baja</t>
        </is>
      </c>
      <c r="C34" s="6" t="inlineStr">
        <is>
          <t>D20</t>
        </is>
      </c>
      <c r="D34" s="6" t="inlineStr">
        <is>
          <t>—</t>
        </is>
      </c>
      <c r="E34" s="7" t="inlineStr">
        <is>
          <t>Texto coincidente con otro expediente; se retira hasta verificación.</t>
        </is>
      </c>
    </row>
    <row r="35" ht="15" customHeight="1">
      <c r="A35" s="21" t="inlineStr">
        <is>
          <t>01376-2023</t>
        </is>
      </c>
      <c r="B35" s="6" t="inlineStr">
        <is>
          <t>Migración</t>
        </is>
      </c>
      <c r="C35" s="6" t="inlineStr">
        <is>
          <t>D11</t>
        </is>
      </c>
      <c r="D35" s="6" t="inlineStr">
        <is>
          <t>D12</t>
        </is>
      </c>
      <c r="E35" s="7" t="inlineStr">
        <is>
          <t>«Omisión en cuanto a la valoración conjunta y razonada» es valoración defectuosa (art. 197 CPC).</t>
        </is>
      </c>
    </row>
    <row r="36" ht="15" customHeight="1">
      <c r="A36" s="21" t="inlineStr">
        <is>
          <t>01376-2023</t>
        </is>
      </c>
      <c r="B36" s="6" t="inlineStr">
        <is>
          <t>Migración</t>
        </is>
      </c>
      <c r="C36" s="6" t="inlineStr">
        <is>
          <t>D08</t>
        </is>
      </c>
      <c r="D36" s="6" t="inlineStr">
        <is>
          <t>D19</t>
        </is>
      </c>
      <c r="E36" s="7" t="inlineStr">
        <is>
          <t>El pasaje describe una contestación y reconvención pendientes de calificación por mandato de un auto de vista: incidencia previa, no admisión de prueba.</t>
        </is>
      </c>
    </row>
    <row r="37" ht="15" customHeight="1">
      <c r="A37" s="21" t="inlineStr">
        <is>
          <t>01417-2017</t>
        </is>
      </c>
      <c r="B37" s="6" t="inlineStr">
        <is>
          <t>Migración</t>
        </is>
      </c>
      <c r="C37" s="6" t="inlineStr">
        <is>
          <t>D15</t>
        </is>
      </c>
      <c r="D37" s="6" t="inlineStr">
        <is>
          <t>D23</t>
        </is>
      </c>
      <c r="E37" s="7" t="inlineStr">
        <is>
          <t>«No se encuentra debidamente motivada» (art. 122, segundo párrafo): fórmula genérica.</t>
        </is>
      </c>
    </row>
    <row r="38" ht="15" customHeight="1">
      <c r="A38" s="21" t="inlineStr">
        <is>
          <t>01535-2022</t>
        </is>
      </c>
      <c r="B38" s="6" t="inlineStr">
        <is>
          <t>Migración</t>
        </is>
      </c>
      <c r="C38" s="6" t="inlineStr">
        <is>
          <t>D15</t>
        </is>
      </c>
      <c r="D38" s="6" t="inlineStr">
        <is>
          <t>D14</t>
        </is>
      </c>
      <c r="E38" s="7" t="inlineStr">
        <is>
          <t>La propia cita califica el vicio de «motivación aparente»; el pasaje registrado en D15 era el mismo texto.</t>
        </is>
      </c>
    </row>
    <row r="39" ht="15" customHeight="1">
      <c r="A39" s="21" t="inlineStr">
        <is>
          <t>01647-2019</t>
        </is>
      </c>
      <c r="B39" s="6" t="inlineStr">
        <is>
          <t>Migración</t>
        </is>
      </c>
      <c r="C39" s="6" t="inlineStr">
        <is>
          <t>D11</t>
        </is>
      </c>
      <c r="D39" s="6" t="inlineStr">
        <is>
          <t>D12</t>
        </is>
      </c>
      <c r="E39" s="7" t="inlineStr">
        <is>
          <t>«Sin análisis conjunto y razonado de los medios probatorios» (art. 197 CPC) es valoración defectuosa.</t>
        </is>
      </c>
    </row>
    <row r="40" ht="15" customHeight="1">
      <c r="A40" s="21" t="inlineStr">
        <is>
          <t>01734-2017</t>
        </is>
      </c>
      <c r="B40" s="6" t="inlineStr">
        <is>
          <t>Baja</t>
        </is>
      </c>
      <c r="C40" s="6" t="inlineStr">
        <is>
          <t>D20</t>
        </is>
      </c>
      <c r="D40" s="6" t="inlineStr">
        <is>
          <t>—</t>
        </is>
      </c>
      <c r="E40" s="7" t="inlineStr">
        <is>
          <t>Mismo pasaje que D15; solo aporta el calificativo de insubsanabilidad.</t>
        </is>
      </c>
    </row>
    <row r="41" ht="15" customHeight="1">
      <c r="A41" s="21" t="inlineStr">
        <is>
          <t>01869-2023</t>
        </is>
      </c>
      <c r="B41" s="6" t="inlineStr">
        <is>
          <t>Alta</t>
        </is>
      </c>
      <c r="C41" s="6" t="inlineStr">
        <is>
          <t>—</t>
        </is>
      </c>
      <c r="D41" s="6" t="inlineStr">
        <is>
          <t>D21</t>
        </is>
      </c>
      <c r="E41" s="7" t="inlineStr">
        <is>
          <t>La Sala etiqueta el vicio como deficiencia de motivación y la premisa fáctica es falsa: supuesto c) de Llamoja, ausente del catálogo original.</t>
        </is>
      </c>
    </row>
    <row r="42" ht="15" customHeight="1">
      <c r="A42" s="21" t="inlineStr">
        <is>
          <t>01879-2022</t>
        </is>
      </c>
      <c r="B42" s="6" t="inlineStr">
        <is>
          <t>Baja</t>
        </is>
      </c>
      <c r="C42" s="6" t="inlineStr">
        <is>
          <t>D20</t>
        </is>
      </c>
      <c r="D42" s="6" t="inlineStr">
        <is>
          <t>—</t>
        </is>
      </c>
      <c r="E42" s="7" t="inlineStr">
        <is>
          <t>Mismo pasaje; el contenido útil es la insubsanabilidad.</t>
        </is>
      </c>
    </row>
    <row r="43" ht="15" customHeight="1">
      <c r="A43" s="21" t="inlineStr">
        <is>
          <t>01879-2022</t>
        </is>
      </c>
      <c r="B43" s="6" t="inlineStr">
        <is>
          <t>Migración</t>
        </is>
      </c>
      <c r="C43" s="6" t="inlineStr">
        <is>
          <t>D15</t>
        </is>
      </c>
      <c r="D43" s="6" t="inlineStr">
        <is>
          <t>D23</t>
        </is>
      </c>
      <c r="E43" s="7" t="inlineStr">
        <is>
          <t>«Vicios de motivación… defectos graves e insubsanables» no identifica el supuesto.</t>
        </is>
      </c>
    </row>
    <row r="44" ht="15" customHeight="1">
      <c r="A44" s="21" t="inlineStr">
        <is>
          <t>01888-2011</t>
        </is>
      </c>
      <c r="B44" s="6" t="inlineStr">
        <is>
          <t>Baja</t>
        </is>
      </c>
      <c r="C44" s="6" t="inlineStr">
        <is>
          <t>D15</t>
        </is>
      </c>
      <c r="D44" s="6" t="inlineStr">
        <is>
          <t>—</t>
        </is>
      </c>
      <c r="E44" s="7" t="inlineStr">
        <is>
          <t>La cita no menciona la motivación: invoca el art. 139.3 y la imposibilidad de pronunciamiento de fondo.</t>
        </is>
      </c>
    </row>
    <row r="45" ht="15" customHeight="1">
      <c r="A45" s="21" t="inlineStr">
        <is>
          <t>01888-2011</t>
        </is>
      </c>
      <c r="B45" s="6" t="inlineStr">
        <is>
          <t>Baja</t>
        </is>
      </c>
      <c r="C45" s="6" t="inlineStr">
        <is>
          <t>D20</t>
        </is>
      </c>
      <c r="D45" s="6" t="inlineStr">
        <is>
          <t>—</t>
        </is>
      </c>
      <c r="E45" s="7" t="inlineStr">
        <is>
          <t>Calificativo de insubsanabilidad.</t>
        </is>
      </c>
    </row>
    <row r="46" ht="15" customHeight="1">
      <c r="A46" s="21" t="inlineStr">
        <is>
          <t>01888-2011</t>
        </is>
      </c>
      <c r="B46" s="6" t="inlineStr">
        <is>
          <t>Migración</t>
        </is>
      </c>
      <c r="C46" s="6" t="inlineStr">
        <is>
          <t>D08</t>
        </is>
      </c>
      <c r="D46" s="6" t="inlineStr">
        <is>
          <t>D19</t>
        </is>
      </c>
      <c r="E46" s="7" t="inlineStr">
        <is>
          <t>Tacha declarada improcedente por extemporánea y pendiente de nuevo pronunciamiento: incidencia previa, no admisión de prueba.</t>
        </is>
      </c>
    </row>
    <row r="47" ht="15" customHeight="1">
      <c r="A47" s="21" t="inlineStr">
        <is>
          <t>02167-2023</t>
        </is>
      </c>
      <c r="B47" s="6" t="inlineStr">
        <is>
          <t>Migración</t>
        </is>
      </c>
      <c r="C47" s="6" t="inlineStr">
        <is>
          <t>D20</t>
        </is>
      </c>
      <c r="D47" s="6" t="inlineStr">
        <is>
          <t>D23</t>
        </is>
      </c>
      <c r="E47" s="7" t="inlineStr">
        <is>
          <t>«Causal de nulidad prevista en los incisos 3 y 4 del art. 122» remite a fundamentos y decisión: motivación no especificada.</t>
        </is>
      </c>
    </row>
    <row r="48" ht="15" customHeight="1">
      <c r="A48" s="21" t="inlineStr">
        <is>
          <t>02167-2023</t>
        </is>
      </c>
      <c r="B48" s="6" t="inlineStr">
        <is>
          <t>Reclasificación de estatus</t>
        </is>
      </c>
      <c r="C48" s="6" t="inlineStr">
        <is>
          <t>—</t>
        </is>
      </c>
      <c r="D48" s="6" t="inlineStr">
        <is>
          <t>MIN</t>
        </is>
      </c>
      <c r="E48" s="7" t="inlineStr">
        <is>
          <t>Los tres registros provienen del voto en minoría; la mayoría revoca sin declarar vicio.</t>
        </is>
      </c>
    </row>
    <row r="49" ht="15" customHeight="1">
      <c r="A49" s="21" t="inlineStr">
        <is>
          <t>02483-2021</t>
        </is>
      </c>
      <c r="B49" s="6" t="inlineStr">
        <is>
          <t>Baja</t>
        </is>
      </c>
      <c r="C49" s="6" t="inlineStr">
        <is>
          <t>D09</t>
        </is>
      </c>
      <c r="D49" s="6" t="inlineStr">
        <is>
          <t>—</t>
        </is>
      </c>
      <c r="E49" s="7" t="inlineStr">
        <is>
          <t>La Sala sugiere al A quo el uso de la prueba de oficio; no declara irregularidad alguna en su ejercicio.</t>
        </is>
      </c>
    </row>
    <row r="50" ht="15" customHeight="1">
      <c r="A50" s="21" t="inlineStr">
        <is>
          <t>02505-2009</t>
        </is>
      </c>
      <c r="B50" s="6" t="inlineStr">
        <is>
          <t>Baja</t>
        </is>
      </c>
      <c r="C50" s="6" t="inlineStr">
        <is>
          <t>D09</t>
        </is>
      </c>
      <c r="D50" s="6" t="inlineStr">
        <is>
          <t>—</t>
        </is>
      </c>
      <c r="E50" s="7" t="inlineStr">
        <is>
          <t>Confusión conceptual: lo incorporado de oficio fue una causal de nulidad del acto jurídico (art. V TP CC), no un medio probatorio del art. 194 CPC.</t>
        </is>
      </c>
    </row>
    <row r="51" ht="15" customHeight="1">
      <c r="A51" s="21" t="inlineStr">
        <is>
          <t>02505-2009</t>
        </is>
      </c>
      <c r="B51" s="6" t="inlineStr">
        <is>
          <t>Baja</t>
        </is>
      </c>
      <c r="C51" s="6" t="inlineStr">
        <is>
          <t>D10</t>
        </is>
      </c>
      <c r="D51" s="6" t="inlineStr">
        <is>
          <t>—</t>
        </is>
      </c>
      <c r="E51" s="7" t="inlineStr">
        <is>
          <t>El contradictorio omitido recae sobre una causal jurídica, no sobre prueba; el fenómeno ya está en D02.</t>
        </is>
      </c>
    </row>
    <row r="52" ht="15" customHeight="1">
      <c r="A52" s="21" t="inlineStr">
        <is>
          <t>02532-2017</t>
        </is>
      </c>
      <c r="B52" s="6" t="inlineStr">
        <is>
          <t>Reclasificación de estatus</t>
        </is>
      </c>
      <c r="C52" s="6" t="inlineStr">
        <is>
          <t>D02</t>
        </is>
      </c>
      <c r="D52" s="6" t="inlineStr">
        <is>
          <t>D02 (derivado)</t>
        </is>
      </c>
      <c r="E52" s="7" t="inlineStr">
        <is>
          <t>La afectación del debido proceso es consecuencia del emplazamiento genérico a la sucesión.</t>
        </is>
      </c>
    </row>
    <row r="53" ht="15" customHeight="1">
      <c r="A53" s="21" t="inlineStr">
        <is>
          <t>02635-2019</t>
        </is>
      </c>
      <c r="B53" s="6" t="inlineStr">
        <is>
          <t>Baja</t>
        </is>
      </c>
      <c r="C53" s="6" t="inlineStr">
        <is>
          <t>D20</t>
        </is>
      </c>
      <c r="D53" s="6" t="inlineStr">
        <is>
          <t>—</t>
        </is>
      </c>
      <c r="E53" s="7" t="inlineStr">
        <is>
          <t>Principio de unidad de las resoluciones: alcance de la nulidad, no defecto residual.</t>
        </is>
      </c>
    </row>
    <row r="54" ht="15" customHeight="1">
      <c r="A54" s="21" t="inlineStr">
        <is>
          <t>02635-2019</t>
        </is>
      </c>
      <c r="B54" s="6" t="inlineStr">
        <is>
          <t>Migración</t>
        </is>
      </c>
      <c r="C54" s="6" t="inlineStr">
        <is>
          <t>D15</t>
        </is>
      </c>
      <c r="D54" s="6" t="inlineStr">
        <is>
          <t>D14</t>
        </is>
      </c>
      <c r="E54" s="7" t="inlineStr">
        <is>
          <t>«Ha copiado y pegado literalmente» los considerandos de otra sentencia: motivación aparente por copia de antecedentes, supuesto tipificado.</t>
        </is>
      </c>
    </row>
    <row r="55" ht="15" customHeight="1">
      <c r="A55" s="21" t="inlineStr">
        <is>
          <t>02641-2010</t>
        </is>
      </c>
      <c r="B55" s="6" t="inlineStr">
        <is>
          <t>Baja</t>
        </is>
      </c>
      <c r="C55" s="6" t="inlineStr">
        <is>
          <t>D05</t>
        </is>
      </c>
      <c r="D55" s="6" t="inlineStr">
        <is>
          <t>—</t>
        </is>
      </c>
      <c r="E55" s="7" t="inlineStr">
        <is>
          <t>La audiencia sí se celebró; lo omitido fue la reproducción del audio admitido. El hecho ya está registrado en D07 y se evitaba así el doble conteo.</t>
        </is>
      </c>
    </row>
    <row r="56" ht="15" customHeight="1">
      <c r="A56" s="21" t="inlineStr">
        <is>
          <t>02706-2015</t>
        </is>
      </c>
      <c r="B56" s="6" t="inlineStr">
        <is>
          <t>Baja</t>
        </is>
      </c>
      <c r="C56" s="6" t="inlineStr">
        <is>
          <t>D02</t>
        </is>
      </c>
      <c r="D56" s="6" t="inlineStr">
        <is>
          <t>—</t>
        </is>
      </c>
      <c r="E56" s="7" t="inlineStr">
        <is>
          <t>Cita literalmente idéntica a la de D03, cuyo objeto es la integración del Notario (art. 95 CPC).</t>
        </is>
      </c>
    </row>
    <row r="57" ht="15" customHeight="1">
      <c r="A57" s="21" t="inlineStr">
        <is>
          <t>02718-2015</t>
        </is>
      </c>
      <c r="B57" s="6" t="inlineStr">
        <is>
          <t>Baja</t>
        </is>
      </c>
      <c r="C57" s="6" t="inlineStr">
        <is>
          <t>D02</t>
        </is>
      </c>
      <c r="D57" s="6" t="inlineStr">
        <is>
          <t>—</t>
        </is>
      </c>
      <c r="E57" s="7" t="inlineStr">
        <is>
          <t>«Medios probatorios que debieron ser actuados en primera instancia» acredita D07, ya registrado.</t>
        </is>
      </c>
    </row>
    <row r="58" ht="15" customHeight="1">
      <c r="A58" s="21" t="inlineStr">
        <is>
          <t>02718-2015</t>
        </is>
      </c>
      <c r="B58" s="6" t="inlineStr">
        <is>
          <t>Baja</t>
        </is>
      </c>
      <c r="C58" s="6" t="inlineStr">
        <is>
          <t>D20</t>
        </is>
      </c>
      <c r="D58" s="6" t="inlineStr">
        <is>
          <t>—</t>
        </is>
      </c>
      <c r="E58" s="7" t="inlineStr">
        <is>
          <t>«Renovar los actuados» es el efecto del art. 177 CPC.</t>
        </is>
      </c>
    </row>
    <row r="59" ht="15" customHeight="1">
      <c r="A59" s="21" t="inlineStr">
        <is>
          <t>02718-2015</t>
        </is>
      </c>
      <c r="B59" s="6" t="inlineStr">
        <is>
          <t>Migración</t>
        </is>
      </c>
      <c r="C59" s="6" t="inlineStr">
        <is>
          <t>D15</t>
        </is>
      </c>
      <c r="D59" s="6" t="inlineStr">
        <is>
          <t>D23</t>
        </is>
      </c>
      <c r="E59" s="7" t="inlineStr">
        <is>
          <t>«Indebida motivación no subsanable»: fórmula genérica.</t>
        </is>
      </c>
    </row>
    <row r="60" ht="15" customHeight="1">
      <c r="A60" s="21" t="inlineStr">
        <is>
          <t>02792-2023</t>
        </is>
      </c>
      <c r="B60" s="6" t="inlineStr">
        <is>
          <t>Alta</t>
        </is>
      </c>
      <c r="C60" s="6" t="inlineStr">
        <is>
          <t>—</t>
        </is>
      </c>
      <c r="D60" s="6" t="inlineStr">
        <is>
          <t>D14 y D15</t>
        </is>
      </c>
      <c r="E60" s="7" t="inlineStr">
        <is>
          <t>La fila no tenía marcas pese a que la Sala identifica dos vicios de motivación; se registran como advertidos porque corrige por revocatoria.</t>
        </is>
      </c>
    </row>
    <row r="61" ht="15" customHeight="1">
      <c r="A61" s="21" t="inlineStr">
        <is>
          <t>02851-2023</t>
        </is>
      </c>
      <c r="B61" s="6" t="inlineStr">
        <is>
          <t>Alta</t>
        </is>
      </c>
      <c r="C61" s="6" t="inlineStr">
        <is>
          <t>—</t>
        </is>
      </c>
      <c r="D61" s="6" t="inlineStr">
        <is>
          <t>D22</t>
        </is>
      </c>
      <c r="E61" s="7" t="inlineStr">
        <is>
          <t>Nulidad concatenada: el defecto no es propio de la sentencia sino reflejo de la anulación de la Res. 18.</t>
        </is>
      </c>
    </row>
    <row r="62" ht="15" customHeight="1">
      <c r="A62" s="21" t="inlineStr">
        <is>
          <t>02851-2023</t>
        </is>
      </c>
      <c r="B62" s="6" t="inlineStr">
        <is>
          <t>Baja</t>
        </is>
      </c>
      <c r="C62" s="6" t="inlineStr">
        <is>
          <t>D03</t>
        </is>
      </c>
      <c r="D62" s="6" t="inlineStr">
        <is>
          <t>—</t>
        </is>
      </c>
      <c r="E62" s="7" t="inlineStr">
        <is>
          <t>Los sujetos cuya incorporación se discute son litisconsortes facultativos activos, no necesarios.</t>
        </is>
      </c>
    </row>
    <row r="63" ht="15" customHeight="1">
      <c r="A63" s="21" t="inlineStr">
        <is>
          <t>02943-2016</t>
        </is>
      </c>
      <c r="B63" s="6" t="inlineStr">
        <is>
          <t>Migración</t>
        </is>
      </c>
      <c r="C63" s="6" t="inlineStr">
        <is>
          <t>D06</t>
        </is>
      </c>
      <c r="D63" s="6" t="inlineStr">
        <is>
          <t>D16</t>
        </is>
      </c>
      <c r="E63" s="7" t="inlineStr">
        <is>
          <t>Los puntos estaban fijados (Res. 14-2017); lo que falta es el pronunciamiento sobre ellos: incongruencia omisiva.</t>
        </is>
      </c>
    </row>
    <row r="64" ht="15" customHeight="1">
      <c r="A64" s="21" t="inlineStr">
        <is>
          <t>02943-2016</t>
        </is>
      </c>
      <c r="B64" s="6" t="inlineStr">
        <is>
          <t>Migración</t>
        </is>
      </c>
      <c r="C64" s="6" t="inlineStr">
        <is>
          <t>D15</t>
        </is>
      </c>
      <c r="D64" s="6" t="inlineStr">
        <is>
          <t>D23</t>
        </is>
      </c>
      <c r="E64" s="7" t="inlineStr">
        <is>
          <t>«Motivación defectuosa»: fórmula genérica.</t>
        </is>
      </c>
    </row>
    <row r="65" ht="15" customHeight="1">
      <c r="A65" s="21" t="inlineStr">
        <is>
          <t>02973-2022</t>
        </is>
      </c>
      <c r="B65" s="6" t="inlineStr">
        <is>
          <t>Baja</t>
        </is>
      </c>
      <c r="C65" s="6" t="inlineStr">
        <is>
          <t>D20</t>
        </is>
      </c>
      <c r="D65" s="6" t="inlineStr">
        <is>
          <t>—</t>
        </is>
      </c>
      <c r="E65" s="7" t="inlineStr">
        <is>
          <t>La cita expone el efecto (nulidad e instancia plural), no un defecto residual.</t>
        </is>
      </c>
    </row>
    <row r="66" ht="21.75" customHeight="1">
      <c r="A66" s="21" t="inlineStr">
        <is>
          <t>02973-2022</t>
        </is>
      </c>
      <c r="B66" s="6" t="inlineStr">
        <is>
          <t>Migración</t>
        </is>
      </c>
      <c r="C66" s="6" t="inlineStr">
        <is>
          <t>D13</t>
        </is>
      </c>
      <c r="D66" s="6" t="inlineStr">
        <is>
          <t>D21</t>
        </is>
      </c>
      <c r="E66" s="7" t="inlineStr">
        <is>
          <t>La Sala etiqueta expresamente «falta de motivación externa, referida a la justificación de las premisas» (STC 03943-2006-PA/TC). La observación original ya advertía que el catálogo carecía de esta categoría.</t>
        </is>
      </c>
    </row>
    <row r="67" ht="15" customHeight="1">
      <c r="A67" s="21" t="inlineStr">
        <is>
          <t>03228-2013</t>
        </is>
      </c>
      <c r="B67" s="6" t="inlineStr">
        <is>
          <t>Baja</t>
        </is>
      </c>
      <c r="C67" s="6" t="inlineStr">
        <is>
          <t>D11</t>
        </is>
      </c>
      <c r="D67" s="6" t="inlineStr">
        <is>
          <t>—</t>
        </is>
      </c>
      <c r="E67" s="7" t="inlineStr">
        <is>
          <t>«No se ha valorado debidamente» presupone que la prueba fue considerada: el fenómeno ya está en D12.</t>
        </is>
      </c>
    </row>
    <row r="68" ht="15" customHeight="1">
      <c r="A68" s="21" t="inlineStr">
        <is>
          <t>03228-2013</t>
        </is>
      </c>
      <c r="B68" s="6" t="inlineStr">
        <is>
          <t>Baja</t>
        </is>
      </c>
      <c r="C68" s="6" t="inlineStr">
        <is>
          <t>D17</t>
        </is>
      </c>
      <c r="D68" s="6" t="inlineStr">
        <is>
          <t>—</t>
        </is>
      </c>
      <c r="E68" s="7" t="inlineStr">
        <is>
          <t>La omisión es del A quo frente a las alegaciones de las partes, no de la Sala frente a agravios; ya está cubierta por D14 y D16.</t>
        </is>
      </c>
    </row>
    <row r="69" ht="15" customHeight="1">
      <c r="A69" s="21" t="inlineStr">
        <is>
          <t>03228-2013</t>
        </is>
      </c>
      <c r="B69" s="6" t="inlineStr">
        <is>
          <t>Migración</t>
        </is>
      </c>
      <c r="C69" s="6" t="inlineStr">
        <is>
          <t>D06</t>
        </is>
      </c>
      <c r="D69" s="6" t="inlineStr">
        <is>
          <t>D16</t>
        </is>
      </c>
      <c r="E69" s="7" t="inlineStr">
        <is>
          <t>«Tampoco ha emitido pronunciamiento respecto del último punto controvertido»: omisión resolutiva, no fijación deficiente.</t>
        </is>
      </c>
    </row>
    <row r="70" ht="15" customHeight="1">
      <c r="A70" s="21" t="inlineStr">
        <is>
          <t>03228-2013</t>
        </is>
      </c>
      <c r="B70" s="6" t="inlineStr">
        <is>
          <t>Nota</t>
        </is>
      </c>
      <c r="C70" s="6" t="inlineStr">
        <is>
          <t>—</t>
        </is>
      </c>
      <c r="D70" s="6" t="inlineStr">
        <is>
          <t>—</t>
        </is>
      </c>
      <c r="E70" s="7" t="inlineStr">
        <is>
          <t>Un mismo considerando sostenía cinco causales; tras la corrección sostiene tres, cada una con un extremo distinto del pasaje.</t>
        </is>
      </c>
    </row>
    <row r="71" ht="15" customHeight="1">
      <c r="A71" s="21" t="inlineStr">
        <is>
          <t>03566-2011</t>
        </is>
      </c>
      <c r="B71" s="6" t="inlineStr">
        <is>
          <t>Migración</t>
        </is>
      </c>
      <c r="C71" s="6" t="inlineStr">
        <is>
          <t>D11</t>
        </is>
      </c>
      <c r="D71" s="6" t="inlineStr">
        <is>
          <t>D12</t>
        </is>
      </c>
      <c r="E71" s="7" t="inlineStr">
        <is>
          <t>«No se ha valorado los medios probatorios ofrecidos en forma conjunta»: valoración conjunta defectuosa.</t>
        </is>
      </c>
    </row>
    <row r="72" ht="15" customHeight="1">
      <c r="A72" s="21" t="inlineStr">
        <is>
          <t>03672-2013</t>
        </is>
      </c>
      <c r="B72" s="6" t="inlineStr">
        <is>
          <t>Baja</t>
        </is>
      </c>
      <c r="C72" s="6" t="inlineStr">
        <is>
          <t>D20</t>
        </is>
      </c>
      <c r="D72" s="6" t="inlineStr">
        <is>
          <t>—</t>
        </is>
      </c>
      <c r="E72" s="7" t="inlineStr">
        <is>
          <t>No se identifica defecto sustantivo alguno: la cita solo contiene el calificativo. La fila queda sin causal hasta reexamen.</t>
        </is>
      </c>
    </row>
    <row r="73" ht="15" customHeight="1">
      <c r="A73" s="21" t="inlineStr">
        <is>
          <t>03701-2023</t>
        </is>
      </c>
      <c r="B73" s="6" t="inlineStr">
        <is>
          <t>Migración</t>
        </is>
      </c>
      <c r="C73" s="6" t="inlineStr">
        <is>
          <t>D14</t>
        </is>
      </c>
      <c r="D73" s="6" t="inlineStr">
        <is>
          <t>D23</t>
        </is>
      </c>
      <c r="E73" s="7" t="inlineStr">
        <is>
          <t>«Sin tener en cuenta el mérito de lo actuado» (art. 122.3 CPC) no describe apariencia de motivación.</t>
        </is>
      </c>
    </row>
    <row r="74" ht="15" customHeight="1">
      <c r="A74" s="21" t="inlineStr">
        <is>
          <t>03731-2015</t>
        </is>
      </c>
      <c r="B74" s="6" t="inlineStr">
        <is>
          <t>Baja</t>
        </is>
      </c>
      <c r="C74" s="6" t="inlineStr">
        <is>
          <t>D19</t>
        </is>
      </c>
      <c r="D74" s="6" t="inlineStr">
        <is>
          <t>—</t>
        </is>
      </c>
      <c r="E74" s="7" t="inlineStr">
        <is>
          <t>No hay incidencia pendiente al momento de sentenciar: la cuestión es sobreviniente.</t>
        </is>
      </c>
    </row>
    <row r="75" ht="15" customHeight="1">
      <c r="A75" s="21" t="inlineStr">
        <is>
          <t>03731-2015</t>
        </is>
      </c>
      <c r="B75" s="6" t="inlineStr">
        <is>
          <t>Migración</t>
        </is>
      </c>
      <c r="C75" s="6" t="inlineStr">
        <is>
          <t>D20</t>
        </is>
      </c>
      <c r="D75" s="6" t="inlineStr">
        <is>
          <t>D22</t>
        </is>
      </c>
      <c r="E75" s="7" t="inlineStr">
        <is>
          <t>Nulidad por hecho sobreviniente (nulidad del título declarada en el Exp. 2183-2014): supuesto residual genuino, ahora con código propio.</t>
        </is>
      </c>
    </row>
    <row r="76" ht="21.75" customHeight="1">
      <c r="A76" s="21" t="inlineStr">
        <is>
          <t>03754-2015</t>
        </is>
      </c>
      <c r="B76" s="6" t="inlineStr">
        <is>
          <t>Baja</t>
        </is>
      </c>
      <c r="C76" s="6" t="inlineStr">
        <is>
          <t>D01–D20</t>
        </is>
      </c>
      <c r="D76" s="6" t="inlineStr">
        <is>
          <t>—</t>
        </is>
      </c>
      <c r="E76" s="7" t="inlineStr">
        <is>
          <t>Las veinte celdas contenían la leyenda «SIN DOCUMENTO» y la hoja de marcas binarias las computaba como veinte defectos reales. Se retiran todas: el archivo fuente es una copia del Exp. 00115-2012 (md5 idéntico) y no existe sentencia de vista propia.</t>
        </is>
      </c>
    </row>
    <row r="77" ht="15" customHeight="1">
      <c r="A77" s="21" t="inlineStr">
        <is>
          <t>03770-2019</t>
        </is>
      </c>
      <c r="B77" s="6" t="inlineStr">
        <is>
          <t>Migración</t>
        </is>
      </c>
      <c r="C77" s="6" t="inlineStr">
        <is>
          <t>D19</t>
        </is>
      </c>
      <c r="D77" s="6" t="inlineStr">
        <is>
          <t>D22</t>
        </is>
      </c>
      <c r="E77" s="7" t="inlineStr">
        <is>
          <t>Nulidad concatenada: anulada la Res. 41 que prescindió de la pericia, la sentencia cae por reflejo.</t>
        </is>
      </c>
    </row>
    <row r="78" ht="15" customHeight="1">
      <c r="A78" s="21" t="inlineStr">
        <is>
          <t>03819-2022</t>
        </is>
      </c>
      <c r="B78" s="6" t="inlineStr">
        <is>
          <t>Baja</t>
        </is>
      </c>
      <c r="C78" s="6" t="inlineStr">
        <is>
          <t>D11</t>
        </is>
      </c>
      <c r="D78" s="6" t="inlineStr">
        <is>
          <t>—</t>
        </is>
      </c>
      <c r="E78" s="7" t="inlineStr">
        <is>
          <t>«No se valoró adecuadamente» es valoración defectuosa; el mismo hecho ya está en D12.</t>
        </is>
      </c>
    </row>
    <row r="79" ht="15" customHeight="1">
      <c r="A79" s="21" t="inlineStr">
        <is>
          <t>03819-2022</t>
        </is>
      </c>
      <c r="B79" s="6" t="inlineStr">
        <is>
          <t>Baja</t>
        </is>
      </c>
      <c r="C79" s="6" t="inlineStr">
        <is>
          <t>D20</t>
        </is>
      </c>
      <c r="D79" s="6" t="inlineStr">
        <is>
          <t>—</t>
        </is>
      </c>
      <c r="E79" s="7" t="inlineStr">
        <is>
          <t>«Indebida motivación» (art. 122.3): duplica lo anterior.</t>
        </is>
      </c>
    </row>
    <row r="80" ht="15" customHeight="1">
      <c r="A80" s="21" t="inlineStr">
        <is>
          <t>03819-2022</t>
        </is>
      </c>
      <c r="B80" s="6" t="inlineStr">
        <is>
          <t>Migración</t>
        </is>
      </c>
      <c r="C80" s="6" t="inlineStr">
        <is>
          <t>D13</t>
        </is>
      </c>
      <c r="D80" s="6" t="inlineStr">
        <is>
          <t>D23</t>
        </is>
      </c>
      <c r="E80" s="7" t="inlineStr">
        <is>
          <t>«Respuesta debidamente razonada»: fórmula genérica que no discrimina el supuesto.</t>
        </is>
      </c>
    </row>
    <row r="81" ht="15" customHeight="1">
      <c r="A81" s="21" t="inlineStr">
        <is>
          <t>04034-2022</t>
        </is>
      </c>
      <c r="B81" s="6" t="inlineStr">
        <is>
          <t>Baja</t>
        </is>
      </c>
      <c r="C81" s="6" t="inlineStr">
        <is>
          <t>D20</t>
        </is>
      </c>
      <c r="D81" s="6" t="inlineStr">
        <is>
          <t>—</t>
        </is>
      </c>
      <c r="E81" s="7" t="inlineStr">
        <is>
          <t>La cita describe el alcance del reenvío, no un defecto residual.</t>
        </is>
      </c>
    </row>
    <row r="82" ht="21.75" customHeight="1">
      <c r="A82" s="21" t="inlineStr">
        <is>
          <t>04040-2015</t>
        </is>
      </c>
      <c r="B82" s="6" t="inlineStr">
        <is>
          <t>Baja</t>
        </is>
      </c>
      <c r="C82" s="6" t="inlineStr">
        <is>
          <t>D08</t>
        </is>
      </c>
      <c r="D82" s="6" t="inlineStr">
        <is>
          <t>—</t>
        </is>
      </c>
      <c r="E82" s="7" t="inlineStr">
        <is>
          <t>«Aspecto que debió advertirse en la calificación de medios probatorios» es un inciso incidental; el núcleo de la sentencia de vista es la insuficiencia de motivación.</t>
        </is>
      </c>
    </row>
    <row r="83" ht="15" customHeight="1">
      <c r="A83" s="21" t="inlineStr">
        <is>
          <t>04126-2021</t>
        </is>
      </c>
      <c r="B83" s="6" t="inlineStr">
        <is>
          <t>Migración</t>
        </is>
      </c>
      <c r="C83" s="6" t="inlineStr">
        <is>
          <t>D06</t>
        </is>
      </c>
      <c r="D83" s="6" t="inlineStr">
        <is>
          <t>D16</t>
        </is>
      </c>
      <c r="E83" s="7" t="inlineStr">
        <is>
          <t>El A quo resolvió el punto con figuras «totalmente ajenas a este proceso»: incongruencia fáctica, no fijación deficiente.</t>
        </is>
      </c>
    </row>
    <row r="84" ht="15" customHeight="1">
      <c r="A84" s="21" t="inlineStr">
        <is>
          <t>04126-2021</t>
        </is>
      </c>
      <c r="B84" s="6" t="inlineStr">
        <is>
          <t>Migración</t>
        </is>
      </c>
      <c r="C84" s="6" t="inlineStr">
        <is>
          <t>D15</t>
        </is>
      </c>
      <c r="D84" s="6" t="inlineStr">
        <is>
          <t>D23</t>
        </is>
      </c>
      <c r="E84" s="7" t="inlineStr">
        <is>
          <t>Arts. 121 y 122 CPC: fórmula genérica.</t>
        </is>
      </c>
    </row>
    <row r="85" ht="15" customHeight="1">
      <c r="A85" s="21" t="inlineStr">
        <is>
          <t>04138-2022</t>
        </is>
      </c>
      <c r="B85" s="6" t="inlineStr">
        <is>
          <t>Baja</t>
        </is>
      </c>
      <c r="C85" s="6" t="inlineStr">
        <is>
          <t>D11</t>
        </is>
      </c>
      <c r="D85" s="6" t="inlineStr">
        <is>
          <t>—</t>
        </is>
      </c>
      <c r="E85" s="7" t="inlineStr">
        <is>
          <t>«No ha valorado debidamente»: el mismo hecho está en D12.</t>
        </is>
      </c>
    </row>
    <row r="86" ht="15" customHeight="1">
      <c r="A86" s="21" t="inlineStr">
        <is>
          <t>04138-2022</t>
        </is>
      </c>
      <c r="B86" s="6" t="inlineStr">
        <is>
          <t>Baja</t>
        </is>
      </c>
      <c r="C86" s="6" t="inlineStr">
        <is>
          <t>D13</t>
        </is>
      </c>
      <c r="D86" s="6" t="inlineStr">
        <is>
          <t>—</t>
        </is>
      </c>
      <c r="E86" s="7" t="inlineStr">
        <is>
          <t>«Carece de adecuada motivación al no valorar debidamente la prueba» remite al art. 197 CPC: es valoración, no insuficiencia motivacional autónoma.</t>
        </is>
      </c>
    </row>
    <row r="87" ht="15" customHeight="1">
      <c r="A87" s="21" t="inlineStr">
        <is>
          <t>04275-2015</t>
        </is>
      </c>
      <c r="B87" s="6" t="inlineStr">
        <is>
          <t>Baja</t>
        </is>
      </c>
      <c r="C87" s="6" t="inlineStr">
        <is>
          <t>D11</t>
        </is>
      </c>
      <c r="D87" s="6" t="inlineStr">
        <is>
          <t>—</t>
        </is>
      </c>
      <c r="E87" s="7" t="inlineStr">
        <is>
          <t>«Premisas equivocadas y sin debida valoración»: el fenómeno está en D12.</t>
        </is>
      </c>
    </row>
    <row r="88" ht="15" customHeight="1">
      <c r="A88" s="21" t="inlineStr">
        <is>
          <t>04275-2015</t>
        </is>
      </c>
      <c r="B88" s="6" t="inlineStr">
        <is>
          <t>Migración</t>
        </is>
      </c>
      <c r="C88" s="6" t="inlineStr">
        <is>
          <t>D15</t>
        </is>
      </c>
      <c r="D88" s="6" t="inlineStr">
        <is>
          <t>D21</t>
        </is>
      </c>
      <c r="E88" s="7" t="inlineStr">
        <is>
          <t>«Por no sustentarse en elementos fácticos y objetivos» es deficiencia de justificación externa de las premisas, no defecto interno.</t>
        </is>
      </c>
    </row>
    <row r="89" ht="15" customHeight="1">
      <c r="A89" s="21" t="inlineStr">
        <is>
          <t>04280-2017</t>
        </is>
      </c>
      <c r="B89" s="6" t="inlineStr">
        <is>
          <t>Reclasificación de estatus</t>
        </is>
      </c>
      <c r="C89" s="6" t="inlineStr">
        <is>
          <t>—</t>
        </is>
      </c>
      <c r="D89" s="6" t="inlineStr">
        <is>
          <t>ADV</t>
        </is>
      </c>
      <c r="E89" s="7" t="inlineStr">
        <is>
          <t>La Sala revoca: los vicios se advierten sin efecto anulatorio.</t>
        </is>
      </c>
    </row>
    <row r="90" ht="15" customHeight="1">
      <c r="A90" s="21" t="inlineStr">
        <is>
          <t>04370-2022</t>
        </is>
      </c>
      <c r="B90" s="6" t="inlineStr">
        <is>
          <t>Baja</t>
        </is>
      </c>
      <c r="C90" s="6" t="inlineStr">
        <is>
          <t>D01</t>
        </is>
      </c>
      <c r="D90" s="6" t="inlineStr">
        <is>
          <t>—</t>
        </is>
      </c>
      <c r="E90" s="7" t="inlineStr">
        <is>
          <t>La cita acredita la falta de emplazamiento de un litisconsorte necesario, no un defecto del acto de comunicación; el registro ya existe en D03.</t>
        </is>
      </c>
    </row>
    <row r="91" ht="15" customHeight="1">
      <c r="A91" s="21" t="inlineStr">
        <is>
          <t>04370-2022</t>
        </is>
      </c>
      <c r="B91" s="6" t="inlineStr">
        <is>
          <t>Baja</t>
        </is>
      </c>
      <c r="C91" s="6" t="inlineStr">
        <is>
          <t>D20</t>
        </is>
      </c>
      <c r="D91" s="6" t="inlineStr">
        <is>
          <t>—</t>
        </is>
      </c>
      <c r="E91" s="7" t="inlineStr">
        <is>
          <t>«Carece de los requisitos indispensables para la finalidad» es la fórmula del art. 171 CPC aplicada al defecto de D03.</t>
        </is>
      </c>
    </row>
    <row r="92" ht="15" customHeight="1">
      <c r="A92" s="21" t="inlineStr">
        <is>
          <t>04370-2022</t>
        </is>
      </c>
      <c r="B92" s="6" t="inlineStr">
        <is>
          <t>Reclasificación de estatus</t>
        </is>
      </c>
      <c r="C92" s="6" t="inlineStr">
        <is>
          <t>D02</t>
        </is>
      </c>
      <c r="D92" s="6" t="inlineStr">
        <is>
          <t>D02 (derivado)</t>
        </is>
      </c>
      <c r="E92" s="7" t="inlineStr">
        <is>
          <t>La indefensión es consecuencia de la falta de integración.</t>
        </is>
      </c>
    </row>
    <row r="93" ht="15" customHeight="1">
      <c r="A93" s="21" t="inlineStr">
        <is>
          <t>04414-2023</t>
        </is>
      </c>
      <c r="B93" s="6" t="inlineStr">
        <is>
          <t>Baja</t>
        </is>
      </c>
      <c r="C93" s="6" t="inlineStr">
        <is>
          <t>D02</t>
        </is>
      </c>
      <c r="D93" s="6" t="inlineStr">
        <is>
          <t>—</t>
        </is>
      </c>
      <c r="E93" s="7" t="inlineStr">
        <is>
          <t>La cita es una orden de notificación; no describe privación de defensa.</t>
        </is>
      </c>
    </row>
    <row r="94" ht="15" customHeight="1">
      <c r="A94" s="21" t="inlineStr">
        <is>
          <t>04414-2023</t>
        </is>
      </c>
      <c r="B94" s="6" t="inlineStr">
        <is>
          <t>Baja</t>
        </is>
      </c>
      <c r="C94" s="6" t="inlineStr">
        <is>
          <t>D20</t>
        </is>
      </c>
      <c r="D94" s="6" t="inlineStr">
        <is>
          <t>—</t>
        </is>
      </c>
      <c r="E94" s="7" t="inlineStr">
        <is>
          <t>Fórmula de los arts. 171 y 176 CPC.</t>
        </is>
      </c>
    </row>
    <row r="95" ht="21.75" customHeight="1">
      <c r="A95" s="21" t="inlineStr">
        <is>
          <t>04414-2023</t>
        </is>
      </c>
      <c r="B95" s="6" t="inlineStr">
        <is>
          <t>Migración</t>
        </is>
      </c>
      <c r="C95" s="6" t="inlineStr">
        <is>
          <t>D01</t>
        </is>
      </c>
      <c r="D95" s="6" t="inlineStr">
        <is>
          <t>D22</t>
        </is>
      </c>
      <c r="E95" s="7" t="inlineStr">
        <is>
          <t>El defecto no es propio de esta sentencia: es nulidad refleja del auto de saneamiento anulado por un auto de vista precedente. La cita registrada era, además, el mandato restitutorio.</t>
        </is>
      </c>
    </row>
    <row r="96" ht="15" customHeight="1">
      <c r="A96" s="21" t="inlineStr">
        <is>
          <t>04543-2023</t>
        </is>
      </c>
      <c r="B96" s="6" t="inlineStr">
        <is>
          <t>Alta</t>
        </is>
      </c>
      <c r="C96" s="6" t="inlineStr">
        <is>
          <t>—</t>
        </is>
      </c>
      <c r="D96" s="6" t="inlineStr">
        <is>
          <t>D22</t>
        </is>
      </c>
      <c r="E96" s="7" t="inlineStr">
        <is>
          <t>Nulidad refleja: un auto de vista previo anuló la improcedencia de las pruebas y ordenó nuevo pronunciamiento.</t>
        </is>
      </c>
    </row>
    <row r="97" ht="15" customHeight="1">
      <c r="A97" s="21" t="inlineStr">
        <is>
          <t>04543-2023</t>
        </is>
      </c>
      <c r="B97" s="6" t="inlineStr">
        <is>
          <t>Baja</t>
        </is>
      </c>
      <c r="C97" s="6" t="inlineStr">
        <is>
          <t>D08</t>
        </is>
      </c>
      <c r="D97" s="6" t="inlineStr">
        <is>
          <t>—</t>
        </is>
      </c>
      <c r="E97" s="7" t="inlineStr">
        <is>
          <t>La marca carecía de cita propia; el pasaje describe la causa no expedita para sentenciar, ya recogida en D19.</t>
        </is>
      </c>
    </row>
    <row r="98" ht="21.75" customHeight="1">
      <c r="A98" s="21" t="inlineStr">
        <is>
          <t>04554-2022</t>
        </is>
      </c>
      <c r="B98" s="6" t="inlineStr">
        <is>
          <t>Migración</t>
        </is>
      </c>
      <c r="C98" s="6" t="inlineStr">
        <is>
          <t>D20</t>
        </is>
      </c>
      <c r="D98" s="6" t="inlineStr">
        <is>
          <t>D21</t>
        </is>
      </c>
      <c r="E98" s="7" t="inlineStr">
        <is>
          <t>Premisa jurídica errónea (trata como simulación absoluta lo demandado como relativa): deficiencia de motivación externa. La observación original ya calificaba la asignación de tentativa.</t>
        </is>
      </c>
    </row>
    <row r="99" ht="15" customHeight="1">
      <c r="A99" s="21" t="inlineStr">
        <is>
          <t>04605-2022</t>
        </is>
      </c>
      <c r="B99" s="6" t="inlineStr">
        <is>
          <t>Reclasificación de estatus</t>
        </is>
      </c>
      <c r="C99" s="6" t="inlineStr">
        <is>
          <t>D11</t>
        </is>
      </c>
      <c r="D99" s="6" t="inlineStr">
        <is>
          <t>D11 (alegado)</t>
        </is>
      </c>
      <c r="E99" s="7" t="inlineStr">
        <is>
          <t>El pasaje corresponde a los agravios del apelante y el fallo es revocatorio.</t>
        </is>
      </c>
    </row>
    <row r="100" ht="21.75" customHeight="1">
      <c r="A100" s="21" t="inlineStr">
        <is>
          <t>04667-2022</t>
        </is>
      </c>
      <c r="B100" s="6" t="inlineStr">
        <is>
          <t>Baja</t>
        </is>
      </c>
      <c r="C100" s="6" t="inlineStr">
        <is>
          <t>D20</t>
        </is>
      </c>
      <c r="D100" s="6" t="inlineStr">
        <is>
          <t>—</t>
        </is>
      </c>
      <c r="E100" s="7" t="inlineStr">
        <is>
          <t>La Sala anula para corregir un error de juicio (cómputo del plazo del art. 92 CC) sin identificar vicio procesal. Se registra en la variable «Nulidad sin vicio procesal identificado».</t>
        </is>
      </c>
    </row>
    <row r="101" ht="15" customHeight="1">
      <c r="A101" s="21" t="inlineStr">
        <is>
          <t>04711-2010</t>
        </is>
      </c>
      <c r="B101" s="6" t="inlineStr">
        <is>
          <t>Migración</t>
        </is>
      </c>
      <c r="C101" s="6" t="inlineStr">
        <is>
          <t>D15</t>
        </is>
      </c>
      <c r="D101" s="6" t="inlineStr">
        <is>
          <t>D23</t>
        </is>
      </c>
      <c r="E101" s="7" t="inlineStr">
        <is>
          <t>«Motivación defectuosa» (arts. 50.6 CPC y 139.5 Const.): fórmula genérica.</t>
        </is>
      </c>
    </row>
    <row r="102" ht="21.75" customHeight="1">
      <c r="A102" s="21" t="inlineStr">
        <is>
          <t>04965-2023</t>
        </is>
      </c>
      <c r="B102" s="6" t="inlineStr">
        <is>
          <t>Migración</t>
        </is>
      </c>
      <c r="C102" s="6" t="inlineStr">
        <is>
          <t>D18</t>
        </is>
      </c>
      <c r="D102" s="6" t="inlineStr">
        <is>
          <t>D22</t>
        </is>
      </c>
      <c r="E102" s="7" t="inlineStr">
        <is>
          <t>Sentenciar pese a una suspensión ordenada por la Sala no es preclusión —pérdida de una facultad por vencimiento, incompatibilidad o consumación— sino nulidad refleja de la resolución que ordenó suspender.</t>
        </is>
      </c>
    </row>
    <row r="103" ht="15" customHeight="1">
      <c r="A103" s="21" t="inlineStr">
        <is>
          <t>04965-2023</t>
        </is>
      </c>
      <c r="B103" s="6" t="inlineStr">
        <is>
          <t>Nota</t>
        </is>
      </c>
      <c r="C103" s="6" t="inlineStr">
        <is>
          <t>D18</t>
        </is>
      </c>
      <c r="D103" s="6" t="inlineStr">
        <is>
          <t>—</t>
        </is>
      </c>
      <c r="E103" s="7" t="inlineStr">
        <is>
          <t>Con esta corrección D18 queda en cero en todo el corpus, lo que debe documentarse como resultado empírico y no como dato faltante.</t>
        </is>
      </c>
    </row>
    <row r="104" ht="15" customHeight="1">
      <c r="A104" s="21" t="inlineStr">
        <is>
          <t>05012-2008</t>
        </is>
      </c>
      <c r="B104" s="6" t="inlineStr">
        <is>
          <t>Migración</t>
        </is>
      </c>
      <c r="C104" s="6" t="inlineStr">
        <is>
          <t>D15</t>
        </is>
      </c>
      <c r="D104" s="6" t="inlineStr">
        <is>
          <t>D23</t>
        </is>
      </c>
      <c r="E104" s="7" t="inlineStr">
        <is>
          <t>«Incompletos y defectuosos»: el extremo «incompletos» ya sostiene D13; «defectuosos» no identifica el supuesto.</t>
        </is>
      </c>
    </row>
    <row r="105" ht="15" customHeight="1">
      <c r="A105" s="21" t="inlineStr">
        <is>
          <t>05345-2022</t>
        </is>
      </c>
      <c r="B105" s="6" t="inlineStr">
        <is>
          <t>Migración</t>
        </is>
      </c>
      <c r="C105" s="6" t="inlineStr">
        <is>
          <t>D20</t>
        </is>
      </c>
      <c r="D105" s="6" t="inlineStr">
        <is>
          <t>D22</t>
        </is>
      </c>
      <c r="E105" s="7" t="inlineStr">
        <is>
          <t>Nulidad refleja (art. 380 CPC): se sentenció pese a haberse declarado la suspensión por prejudicialidad.</t>
        </is>
      </c>
    </row>
    <row r="106" ht="15" customHeight="1">
      <c r="A106" s="21" t="inlineStr">
        <is>
          <t>05381-2009</t>
        </is>
      </c>
      <c r="B106" s="6" t="inlineStr">
        <is>
          <t>Baja</t>
        </is>
      </c>
      <c r="C106" s="6" t="inlineStr">
        <is>
          <t>D06</t>
        </is>
      </c>
      <c r="D106" s="6" t="inlineStr">
        <is>
          <t>—</t>
        </is>
      </c>
      <c r="E106" s="7" t="inlineStr">
        <is>
          <t>Cita del agravio del apelante, referida además a la falta de precisión de la sentencia y no del auto de fijación.</t>
        </is>
      </c>
    </row>
    <row r="107" ht="15" customHeight="1">
      <c r="A107" s="21" t="inlineStr">
        <is>
          <t>05381-2009</t>
        </is>
      </c>
      <c r="B107" s="6" t="inlineStr">
        <is>
          <t>Migración</t>
        </is>
      </c>
      <c r="C107" s="6" t="inlineStr">
        <is>
          <t>D15</t>
        </is>
      </c>
      <c r="D107" s="6" t="inlineStr">
        <is>
          <t>D23</t>
        </is>
      </c>
      <c r="E107" s="7" t="inlineStr">
        <is>
          <t>«Vulnerar el derecho a la motivación»: fórmula genérica.</t>
        </is>
      </c>
    </row>
    <row r="108" ht="15" customHeight="1">
      <c r="A108" s="21" t="inlineStr">
        <is>
          <t>05487-2013</t>
        </is>
      </c>
      <c r="B108" s="6" t="inlineStr">
        <is>
          <t>Baja</t>
        </is>
      </c>
      <c r="C108" s="6" t="inlineStr">
        <is>
          <t>D11</t>
        </is>
      </c>
      <c r="D108" s="6" t="inlineStr">
        <is>
          <t>—</t>
        </is>
      </c>
      <c r="E108" s="7" t="inlineStr">
        <is>
          <t>Cita de la parte resolutiva («valorando debidamente los medios probatorios»): acredita el mandato de reenvío, no el vicio.</t>
        </is>
      </c>
    </row>
    <row r="109" ht="15" customHeight="1">
      <c r="A109" s="21" t="inlineStr">
        <is>
          <t>05487-2013</t>
        </is>
      </c>
      <c r="B109" s="6" t="inlineStr">
        <is>
          <t>Baja</t>
        </is>
      </c>
      <c r="C109" s="6" t="inlineStr">
        <is>
          <t>D20</t>
        </is>
      </c>
      <c r="D109" s="6" t="inlineStr">
        <is>
          <t>—</t>
        </is>
      </c>
      <c r="E109" s="7" t="inlineStr">
        <is>
          <t>Mismo pasaje; aporta solo el calificativo.</t>
        </is>
      </c>
    </row>
    <row r="110" ht="15" customHeight="1">
      <c r="A110" s="21" t="inlineStr">
        <is>
          <t>05487-2013</t>
        </is>
      </c>
      <c r="B110" s="6" t="inlineStr">
        <is>
          <t>Migración</t>
        </is>
      </c>
      <c r="C110" s="6" t="inlineStr">
        <is>
          <t>D15</t>
        </is>
      </c>
      <c r="D110" s="6" t="inlineStr">
        <is>
          <t>D23</t>
        </is>
      </c>
      <c r="E110" s="7" t="inlineStr">
        <is>
          <t>«Al no haberse emitido la sentencia con una debida motivación»: fórmula genérica.</t>
        </is>
      </c>
    </row>
    <row r="111" ht="15" customHeight="1">
      <c r="A111" s="21" t="inlineStr">
        <is>
          <t>05814-2021</t>
        </is>
      </c>
      <c r="B111" s="6" t="inlineStr">
        <is>
          <t>Baja</t>
        </is>
      </c>
      <c r="C111" s="6" t="inlineStr">
        <is>
          <t>D20</t>
        </is>
      </c>
      <c r="D111" s="6" t="inlineStr">
        <is>
          <t>—</t>
        </is>
      </c>
      <c r="E111" s="7" t="inlineStr">
        <is>
          <t>La cita describe la omisión de pronunciamiento sobre hechos alegados: el fenómeno ya está en D16.</t>
        </is>
      </c>
    </row>
    <row r="112" ht="15" customHeight="1">
      <c r="A112" s="21" t="inlineStr">
        <is>
          <t>06071-2006</t>
        </is>
      </c>
      <c r="B112" s="6" t="inlineStr">
        <is>
          <t>Baja</t>
        </is>
      </c>
      <c r="C112" s="6" t="inlineStr">
        <is>
          <t>D12</t>
        </is>
      </c>
      <c r="D112" s="6" t="inlineStr">
        <is>
          <t>—</t>
        </is>
      </c>
      <c r="E112" s="7" t="inlineStr">
        <is>
          <t>«Sin valorar debidamente la demanda»: la demanda no es un medio probatorio.</t>
        </is>
      </c>
    </row>
    <row r="113" ht="15" customHeight="1">
      <c r="A113" s="21" t="inlineStr">
        <is>
          <t>06071-2006</t>
        </is>
      </c>
      <c r="B113" s="6" t="inlineStr">
        <is>
          <t>Migración</t>
        </is>
      </c>
      <c r="C113" s="6" t="inlineStr">
        <is>
          <t>D15</t>
        </is>
      </c>
      <c r="D113" s="6" t="inlineStr">
        <is>
          <t>D23</t>
        </is>
      </c>
      <c r="E113" s="7" t="inlineStr">
        <is>
          <t>Fórmula genérica (arts. 122.3 CPC y 139.5 Const.).</t>
        </is>
      </c>
    </row>
    <row r="114" ht="15" customHeight="1">
      <c r="A114" s="21" t="inlineStr">
        <is>
          <t>06147-2023</t>
        </is>
      </c>
      <c r="B114" s="6" t="inlineStr">
        <is>
          <t>Confirmación</t>
        </is>
      </c>
      <c r="C114" s="6" t="inlineStr">
        <is>
          <t>D20</t>
        </is>
      </c>
      <c r="D114" s="6" t="inlineStr">
        <is>
          <t>D20</t>
        </is>
      </c>
      <c r="E114" s="7" t="inlineStr">
        <is>
          <t>Se conserva: el apercibimiento efectivizado sin plazo previamente fijado es un defecto de procedimiento que no encaja en ninguna categoría específica.</t>
        </is>
      </c>
    </row>
    <row r="115" ht="15" customHeight="1">
      <c r="A115" s="21" t="inlineStr">
        <is>
          <t>06147-2023</t>
        </is>
      </c>
      <c r="B115" s="6" t="inlineStr">
        <is>
          <t>Migración</t>
        </is>
      </c>
      <c r="C115" s="6" t="inlineStr">
        <is>
          <t>D13</t>
        </is>
      </c>
      <c r="D115" s="6" t="inlineStr">
        <is>
          <t>D23</t>
        </is>
      </c>
      <c r="E115" s="7" t="inlineStr">
        <is>
          <t>«No se ha motivado debidamente»: fórmula genérica.</t>
        </is>
      </c>
    </row>
    <row r="116" ht="15" customHeight="1">
      <c r="A116" s="21" t="inlineStr">
        <is>
          <t>06151-2000</t>
        </is>
      </c>
      <c r="B116" s="6" t="inlineStr">
        <is>
          <t>Baja</t>
        </is>
      </c>
      <c r="C116" s="6" t="inlineStr">
        <is>
          <t>D20</t>
        </is>
      </c>
      <c r="D116" s="6" t="inlineStr">
        <is>
          <t>—</t>
        </is>
      </c>
      <c r="E116" s="7" t="inlineStr">
        <is>
          <t>«Causal de nulidad insalvable»: calificativo.</t>
        </is>
      </c>
    </row>
    <row r="117" ht="15" customHeight="1">
      <c r="A117" s="21" t="inlineStr">
        <is>
          <t>06151-2000</t>
        </is>
      </c>
      <c r="B117" s="6" t="inlineStr">
        <is>
          <t>Reclasificación de estatus</t>
        </is>
      </c>
      <c r="C117" s="6" t="inlineStr">
        <is>
          <t>D02</t>
        </is>
      </c>
      <c r="D117" s="6" t="inlineStr">
        <is>
          <t>D02 (derivado)</t>
        </is>
      </c>
      <c r="E117" s="7" t="inlineStr">
        <is>
          <t>Consecuencia del emplazamiento omitido.</t>
        </is>
      </c>
    </row>
    <row r="118" ht="15" customHeight="1">
      <c r="A118" s="21" t="inlineStr">
        <is>
          <t>06374-2019</t>
        </is>
      </c>
      <c r="B118" s="6" t="inlineStr">
        <is>
          <t>Baja</t>
        </is>
      </c>
      <c r="C118" s="6" t="inlineStr">
        <is>
          <t>D20</t>
        </is>
      </c>
      <c r="D118" s="6" t="inlineStr">
        <is>
          <t>—</t>
        </is>
      </c>
      <c r="E118" s="7" t="inlineStr">
        <is>
          <t>La cita fija el alcance subjetivo de la nulidad.</t>
        </is>
      </c>
    </row>
    <row r="119" ht="15" customHeight="1">
      <c r="A119" s="21" t="inlineStr">
        <is>
          <t>06374-2019</t>
        </is>
      </c>
      <c r="B119" s="6" t="inlineStr">
        <is>
          <t>Reclasificación de estatus</t>
        </is>
      </c>
      <c r="C119" s="6" t="inlineStr">
        <is>
          <t>D02</t>
        </is>
      </c>
      <c r="D119" s="6" t="inlineStr">
        <is>
          <t>D02 (derivado)</t>
        </is>
      </c>
      <c r="E119" s="7" t="inlineStr">
        <is>
          <t>Consecuencia del defecto de notificación.</t>
        </is>
      </c>
    </row>
    <row r="120" ht="15" customHeight="1">
      <c r="A120" s="21" t="inlineStr">
        <is>
          <t>06385-2023</t>
        </is>
      </c>
      <c r="B120" s="6" t="inlineStr">
        <is>
          <t>Baja</t>
        </is>
      </c>
      <c r="C120" s="6" t="inlineStr">
        <is>
          <t>D06</t>
        </is>
      </c>
      <c r="D120" s="6" t="inlineStr">
        <is>
          <t>—</t>
        </is>
      </c>
      <c r="E120" s="7" t="inlineStr">
        <is>
          <t>La «deficiente respuesta a los puntos controvertidos fijados» es omisión de pronunciamiento, ya recogida en D16.</t>
        </is>
      </c>
    </row>
    <row r="121" ht="15" customHeight="1">
      <c r="A121" s="21" t="inlineStr">
        <is>
          <t>06402-2022</t>
        </is>
      </c>
      <c r="B121" s="6" t="inlineStr">
        <is>
          <t>Baja</t>
        </is>
      </c>
      <c r="C121" s="6" t="inlineStr">
        <is>
          <t>D08</t>
        </is>
      </c>
      <c r="D121" s="6" t="inlineStr">
        <is>
          <t>—</t>
        </is>
      </c>
      <c r="E121" s="7" t="inlineStr">
        <is>
          <t>La cita muestra a la Sala convalidando la actuación de la jueza: no acredita defecto de admisión.</t>
        </is>
      </c>
    </row>
    <row r="122" ht="15" customHeight="1">
      <c r="A122" s="21" t="inlineStr">
        <is>
          <t>06402-2022</t>
        </is>
      </c>
      <c r="B122" s="6" t="inlineStr">
        <is>
          <t>Baja</t>
        </is>
      </c>
      <c r="C122" s="6" t="inlineStr">
        <is>
          <t>D09</t>
        </is>
      </c>
      <c r="D122" s="6" t="inlineStr">
        <is>
          <t>—</t>
        </is>
      </c>
      <c r="E122" s="7" t="inlineStr">
        <is>
          <t>El pasaje justifica la pertinencia de la prueba de oficio; no censura su irregularidad.</t>
        </is>
      </c>
    </row>
    <row r="123" ht="15" customHeight="1">
      <c r="A123" s="21" t="inlineStr">
        <is>
          <t>06402-2022</t>
        </is>
      </c>
      <c r="B123" s="6" t="inlineStr">
        <is>
          <t>Migración</t>
        </is>
      </c>
      <c r="C123" s="6" t="inlineStr">
        <is>
          <t>D15</t>
        </is>
      </c>
      <c r="D123" s="6" t="inlineStr">
        <is>
          <t>D23</t>
        </is>
      </c>
      <c r="E123" s="7" t="inlineStr">
        <is>
          <t>Arts. 50.6 CPC y 139.5 Const.: fórmula genérica.</t>
        </is>
      </c>
    </row>
    <row r="124" ht="15" customHeight="1">
      <c r="A124" s="21" t="inlineStr">
        <is>
          <t>06607-2021</t>
        </is>
      </c>
      <c r="B124" s="6" t="inlineStr">
        <is>
          <t>Alta</t>
        </is>
      </c>
      <c r="C124" s="6" t="inlineStr">
        <is>
          <t>—</t>
        </is>
      </c>
      <c r="D124" s="6" t="inlineStr">
        <is>
          <t>D16</t>
        </is>
      </c>
      <c r="E124" s="7" t="inlineStr">
        <is>
          <t>Pronunciarse sobre una causal no alegada es incongruencia; se codifica igual que en 00340-2002 y 00742-2022.</t>
        </is>
      </c>
    </row>
    <row r="125" ht="15" customHeight="1">
      <c r="A125" s="21" t="inlineStr">
        <is>
          <t>06607-2021</t>
        </is>
      </c>
      <c r="B125" s="6" t="inlineStr">
        <is>
          <t>Baja</t>
        </is>
      </c>
      <c r="C125" s="6" t="inlineStr">
        <is>
          <t>D10</t>
        </is>
      </c>
      <c r="D125" s="6" t="inlineStr">
        <is>
          <t>—</t>
        </is>
      </c>
      <c r="E125" s="7" t="inlineStr">
        <is>
          <t>El contradictorio omitido recae sobre una causal jurídica, no sobre prueba.</t>
        </is>
      </c>
    </row>
    <row r="126" ht="15" customHeight="1">
      <c r="A126" s="21" t="inlineStr">
        <is>
          <t>06607-2021</t>
        </is>
      </c>
      <c r="B126" s="6" t="inlineStr">
        <is>
          <t>Migración</t>
        </is>
      </c>
      <c r="C126" s="6" t="inlineStr">
        <is>
          <t>D15</t>
        </is>
      </c>
      <c r="D126" s="6" t="inlineStr">
        <is>
          <t>D23</t>
        </is>
      </c>
      <c r="E126" s="7" t="inlineStr">
        <is>
          <t>Arts. 171 y 122 CPC, sin referencia a la motivación interna.</t>
        </is>
      </c>
    </row>
    <row r="127" ht="15" customHeight="1">
      <c r="A127" s="21" t="inlineStr">
        <is>
          <t>06834-2022</t>
        </is>
      </c>
      <c r="B127" s="6" t="inlineStr">
        <is>
          <t>Alta</t>
        </is>
      </c>
      <c r="C127" s="6" t="inlineStr">
        <is>
          <t>—</t>
        </is>
      </c>
      <c r="D127" s="6" t="inlineStr">
        <is>
          <t>D13</t>
        </is>
      </c>
      <c r="E127" s="7" t="inlineStr">
        <is>
          <t>La CITA2 de la fila acredita la insuficiencia de motivación, que no estaba marcada.</t>
        </is>
      </c>
    </row>
    <row r="128" ht="15" customHeight="1">
      <c r="A128" s="21" t="inlineStr">
        <is>
          <t>06834-2022</t>
        </is>
      </c>
      <c r="B128" s="6" t="inlineStr">
        <is>
          <t>Migración</t>
        </is>
      </c>
      <c r="C128" s="6" t="inlineStr">
        <is>
          <t>D11</t>
        </is>
      </c>
      <c r="D128" s="6" t="inlineStr">
        <is>
          <t>D12</t>
        </is>
      </c>
      <c r="E128" s="7" t="inlineStr">
        <is>
          <t>«No haber realizado una valoración conjunta»: valoración defectuosa.</t>
        </is>
      </c>
    </row>
    <row r="129" ht="15" customHeight="1">
      <c r="A129" s="21" t="inlineStr">
        <is>
          <t>06866-2022</t>
        </is>
      </c>
      <c r="B129" s="6" t="inlineStr">
        <is>
          <t>Alta</t>
        </is>
      </c>
      <c r="C129" s="6" t="inlineStr">
        <is>
          <t>—</t>
        </is>
      </c>
      <c r="D129" s="6" t="inlineStr">
        <is>
          <t>D16</t>
        </is>
      </c>
      <c r="E129" s="7" t="inlineStr">
        <is>
          <t>La incongruencia de la inhibitoria extemporánea consta como agravio; se registra como alegado.</t>
        </is>
      </c>
    </row>
    <row r="130" ht="15" customHeight="1">
      <c r="A130" s="21" t="inlineStr">
        <is>
          <t>06866-2022</t>
        </is>
      </c>
      <c r="B130" s="6" t="inlineStr">
        <is>
          <t>Baja</t>
        </is>
      </c>
      <c r="C130" s="6" t="inlineStr">
        <is>
          <t>D20</t>
        </is>
      </c>
      <c r="D130" s="6" t="inlineStr">
        <is>
          <t>—</t>
        </is>
      </c>
      <c r="E130" s="7" t="inlineStr">
        <is>
          <t>La cita describe el efecto (nulidad y pronunciamiento de fondo).</t>
        </is>
      </c>
    </row>
    <row r="131" ht="15" customHeight="1">
      <c r="A131" s="21" t="inlineStr">
        <is>
          <t>06866-2022</t>
        </is>
      </c>
      <c r="B131" s="6" t="inlineStr">
        <is>
          <t>Migración</t>
        </is>
      </c>
      <c r="C131" s="6" t="inlineStr">
        <is>
          <t>D13</t>
        </is>
      </c>
      <c r="D131" s="6" t="inlineStr">
        <is>
          <t>D21</t>
        </is>
      </c>
      <c r="E131" s="7" t="inlineStr">
        <is>
          <t>La sumilla y el considerando 2.10 etiquetan expresamente «deficiencia en la motivación externa».</t>
        </is>
      </c>
    </row>
    <row r="132" ht="15" customHeight="1">
      <c r="A132" s="21" t="inlineStr">
        <is>
          <t>07287-2022</t>
        </is>
      </c>
      <c r="B132" s="6" t="inlineStr">
        <is>
          <t>Reclasificación de estatus</t>
        </is>
      </c>
      <c r="C132" s="6" t="inlineStr">
        <is>
          <t>D16</t>
        </is>
      </c>
      <c r="D132" s="6" t="inlineStr">
        <is>
          <t>D16 (alegado)</t>
        </is>
      </c>
      <c r="E132" s="7" t="inlineStr">
        <is>
          <t>La incongruencia la alega el apelante; la Sala anula por la cuestión previa de copropiedad.</t>
        </is>
      </c>
    </row>
    <row r="133" ht="15" customHeight="1">
      <c r="A133" s="21" t="inlineStr">
        <is>
          <t>07480-2014</t>
        </is>
      </c>
      <c r="B133" s="6" t="inlineStr">
        <is>
          <t>Baja</t>
        </is>
      </c>
      <c r="C133" s="6" t="inlineStr">
        <is>
          <t>D08</t>
        </is>
      </c>
      <c r="D133" s="6" t="inlineStr">
        <is>
          <t>—</t>
        </is>
      </c>
      <c r="E133" s="7" t="inlineStr">
        <is>
          <t>Sentenciar con el ofrecimiento pendiente de calificación es omisión de incidencia previa, ya registrada en D19.</t>
        </is>
      </c>
    </row>
    <row r="134" ht="15" customHeight="1">
      <c r="A134" s="21" t="inlineStr">
        <is>
          <t>07480-2014</t>
        </is>
      </c>
      <c r="B134" s="6" t="inlineStr">
        <is>
          <t>Reclasificación de estatus</t>
        </is>
      </c>
      <c r="C134" s="6" t="inlineStr">
        <is>
          <t>D02</t>
        </is>
      </c>
      <c r="D134" s="6" t="inlineStr">
        <is>
          <t>D02 (derivado)</t>
        </is>
      </c>
      <c r="E134" s="7" t="inlineStr">
        <is>
          <t>La afectación de la defensa es consecuencia de la omisión de D19.</t>
        </is>
      </c>
    </row>
    <row r="135" ht="15" customHeight="1">
      <c r="A135" s="21" t="inlineStr">
        <is>
          <t>07590-2022</t>
        </is>
      </c>
      <c r="B135" s="6" t="inlineStr">
        <is>
          <t>Baja</t>
        </is>
      </c>
      <c r="C135" s="6" t="inlineStr">
        <is>
          <t>D20</t>
        </is>
      </c>
      <c r="D135" s="6" t="inlineStr">
        <is>
          <t>—</t>
        </is>
      </c>
      <c r="E135" s="7" t="inlineStr">
        <is>
          <t>«Se ha infringido el principio del debido proceso»: fórmula genérica sin defecto residual identificable.</t>
        </is>
      </c>
    </row>
    <row r="136" ht="15" customHeight="1">
      <c r="A136" s="21" t="inlineStr">
        <is>
          <t>07590-2022</t>
        </is>
      </c>
      <c r="B136" s="6" t="inlineStr">
        <is>
          <t>Reclasificación de estatus</t>
        </is>
      </c>
      <c r="C136" s="6" t="inlineStr">
        <is>
          <t>D11</t>
        </is>
      </c>
      <c r="D136" s="6" t="inlineStr">
        <is>
          <t>D11 (advertido)</t>
        </is>
      </c>
      <c r="E136" s="7" t="inlineStr">
        <is>
          <t>El vicio se corrige en instancia sin reenvío.</t>
        </is>
      </c>
    </row>
    <row r="137" ht="15" customHeight="1">
      <c r="A137" s="21" t="inlineStr">
        <is>
          <t>07595-2022</t>
        </is>
      </c>
      <c r="B137" s="6" t="inlineStr">
        <is>
          <t>Baja</t>
        </is>
      </c>
      <c r="C137" s="6" t="inlineStr">
        <is>
          <t>D02</t>
        </is>
      </c>
      <c r="D137" s="6" t="inlineStr">
        <is>
          <t>—</t>
        </is>
      </c>
      <c r="E137" s="7" t="inlineStr">
        <is>
          <t>La marca carecía de cita propia.</t>
        </is>
      </c>
    </row>
    <row r="138" ht="15" customHeight="1">
      <c r="A138" s="21" t="inlineStr">
        <is>
          <t>07595-2022</t>
        </is>
      </c>
      <c r="B138" s="6" t="inlineStr">
        <is>
          <t>Confirmación</t>
        </is>
      </c>
      <c r="C138" s="6" t="inlineStr">
        <is>
          <t>D20</t>
        </is>
      </c>
      <c r="D138" s="6" t="inlineStr">
        <is>
          <t>D20</t>
        </is>
      </c>
      <c r="E138" s="7" t="inlineStr">
        <is>
          <t>Se conserva: la omisión del dictamen fiscal previo a sentencia es un defecto de procedimiento que no encaja en ninguna categoría específica.</t>
        </is>
      </c>
    </row>
    <row r="139" ht="15" customHeight="1">
      <c r="A139" s="21" t="inlineStr">
        <is>
          <t>07606-2013</t>
        </is>
      </c>
      <c r="B139" s="6" t="inlineStr">
        <is>
          <t>Baja</t>
        </is>
      </c>
      <c r="C139" s="6" t="inlineStr">
        <is>
          <t>D20</t>
        </is>
      </c>
      <c r="D139" s="6" t="inlineStr">
        <is>
          <t>—</t>
        </is>
      </c>
      <c r="E139" s="7" t="inlineStr">
        <is>
          <t>«Causal de nulidad insubsanable»: calificativo.</t>
        </is>
      </c>
    </row>
    <row r="140" ht="15" customHeight="1">
      <c r="A140" s="21" t="inlineStr">
        <is>
          <t>08092-2014</t>
        </is>
      </c>
      <c r="B140" s="6" t="inlineStr">
        <is>
          <t>Baja</t>
        </is>
      </c>
      <c r="C140" s="6" t="inlineStr">
        <is>
          <t>D20</t>
        </is>
      </c>
      <c r="D140" s="6" t="inlineStr">
        <is>
          <t>—</t>
        </is>
      </c>
      <c r="E140" s="7" t="inlineStr">
        <is>
          <t>«Errores insubsanables» (arts. 173 y 176 CPC): calificativo.</t>
        </is>
      </c>
    </row>
    <row r="141" ht="15" customHeight="1">
      <c r="A141" s="21" t="inlineStr">
        <is>
          <t>08092-2014</t>
        </is>
      </c>
      <c r="B141" s="6" t="inlineStr">
        <is>
          <t>Reclasificación de estatus</t>
        </is>
      </c>
      <c r="C141" s="6" t="inlineStr">
        <is>
          <t>D02</t>
        </is>
      </c>
      <c r="D141" s="6" t="inlineStr">
        <is>
          <t>D02 (derivado)</t>
        </is>
      </c>
      <c r="E141" s="7" t="inlineStr">
        <is>
          <t>Consecuencia de la incongruencia omisiva de D16.</t>
        </is>
      </c>
    </row>
    <row r="142" ht="15" customHeight="1">
      <c r="A142" s="21" t="inlineStr">
        <is>
          <t>01530-2015</t>
        </is>
      </c>
      <c r="B142" s="6" t="inlineStr">
        <is>
          <t>Recodificación</t>
        </is>
      </c>
      <c r="C142" s="6" t="inlineStr">
        <is>
          <t>D12</t>
        </is>
      </c>
      <c r="D142" s="6" t="inlineStr">
        <is>
          <t>D11</t>
        </is>
      </c>
      <c r="E142" s="7" t="inlineStr">
        <is>
          <t>«No se ha considerado» describe omisión de valoración (D11), no valoración defectuosa de lo sí considerado (D12).</t>
        </is>
      </c>
    </row>
    <row r="143" ht="15" customHeight="1">
      <c r="A143" s="21" t="inlineStr">
        <is>
          <t>02126-2011</t>
        </is>
      </c>
      <c r="B143" s="6" t="inlineStr">
        <is>
          <t>Recodificación</t>
        </is>
      </c>
      <c r="C143" s="6" t="inlineStr">
        <is>
          <t>D21</t>
        </is>
      </c>
      <c r="D143" s="6" t="inlineStr">
        <is>
          <t>D12</t>
        </is>
      </c>
      <c r="E143" s="7" t="inlineStr">
        <is>
          <t>Error en la distribución de la carga de la prueba (art. 196 CPC): el diccionario asigna este supuesto a D12, no a D21.</t>
        </is>
      </c>
    </row>
    <row r="144" ht="15" customHeight="1">
      <c r="A144" s="21" t="inlineStr">
        <is>
          <t>02412-2011</t>
        </is>
      </c>
      <c r="B144" s="6" t="inlineStr">
        <is>
          <t>Estatus</t>
        </is>
      </c>
      <c r="C144" s="6" t="inlineStr">
        <is>
          <t>—</t>
        </is>
      </c>
      <c r="D144" s="6" t="inlineStr">
        <is>
          <t>D02 (derivado)</t>
        </is>
      </c>
      <c r="E144" s="7" t="inlineStr">
        <is>
          <t>Consecuencia del mismo hecho ya contado en otra causal declarada de la misma fila; no se computa como defecto autónomo.</t>
        </is>
      </c>
    </row>
    <row r="145" ht="15" customHeight="1">
      <c r="A145" s="21" t="inlineStr">
        <is>
          <t>00025-2017</t>
        </is>
      </c>
      <c r="B145" s="6" t="inlineStr">
        <is>
          <t>Recodificación</t>
        </is>
      </c>
      <c r="C145" s="6" t="inlineStr">
        <is>
          <t>D13</t>
        </is>
      </c>
      <c r="D145" s="6" t="inlineStr">
        <is>
          <t>D16</t>
        </is>
      </c>
      <c r="E145" s="7" t="inlineStr">
        <is>
          <t>La omisión de pronunciamiento sobre los supuestos de procedencia del retracto encuadra en incongruencia omisiva (D16), no en insuficiencia de motivación.</t>
        </is>
      </c>
    </row>
    <row r="146" ht="15" customHeight="1">
      <c r="A146" s="21" t="inlineStr">
        <is>
          <t>03271-2016</t>
        </is>
      </c>
      <c r="B146" s="6" t="inlineStr">
        <is>
          <t>Recodificación</t>
        </is>
      </c>
      <c r="C146" s="6" t="inlineStr">
        <is>
          <t>D12 (fórmula genérica)</t>
        </is>
      </c>
      <c r="D146" s="6" t="inlineStr">
        <is>
          <t>D23</t>
        </is>
      </c>
      <c r="E146" s="7" t="inlineStr">
        <is>
          <t>La fórmula «sin valorar adecuadamente los antecedentes fácticos» no especifica supuesto nuevo; se distingue del defecto concreto ya contado en D16.</t>
        </is>
      </c>
    </row>
    <row r="147" ht="15" customHeight="1">
      <c r="A147" s="21" t="inlineStr">
        <is>
          <t>03379-2013</t>
        </is>
      </c>
      <c r="B147" s="6" t="inlineStr">
        <is>
          <t>Estatus</t>
        </is>
      </c>
      <c r="C147" s="6" t="inlineStr">
        <is>
          <t>—</t>
        </is>
      </c>
      <c r="D147" s="6" t="inlineStr">
        <is>
          <t>D03 (derivado)</t>
        </is>
      </c>
      <c r="E147" s="7" t="inlineStr">
        <is>
          <t>Consecuencia del mismo hecho ya contado en otra causal declarada de la misma fila; no se computa como defecto autónomo.</t>
        </is>
      </c>
    </row>
    <row r="148" ht="15" customHeight="1">
      <c r="A148" s="21" t="inlineStr">
        <is>
          <t>03656-2016</t>
        </is>
      </c>
      <c r="B148" s="6" t="inlineStr">
        <is>
          <t>Corrección de cita</t>
        </is>
      </c>
      <c r="C148" s="6" t="inlineStr">
        <is>
          <t>cita de la parte resolutiva (remedio)</t>
        </is>
      </c>
      <c r="D148" s="6" t="inlineStr">
        <is>
          <t>cita del considerando (vicio)</t>
        </is>
      </c>
      <c r="E148" s="7" t="inlineStr">
        <is>
          <t>La regla de deslinde de D01 excluye citar la orden de notificar contenida en el fallo; se sustituyó por el pasaje que describe el vicio.</t>
        </is>
      </c>
    </row>
    <row r="149" ht="15" customHeight="1">
      <c r="A149" s="21" t="inlineStr">
        <is>
          <t>08011-2014</t>
        </is>
      </c>
      <c r="B149" s="6" t="inlineStr">
        <is>
          <t>Recodificación</t>
        </is>
      </c>
      <c r="C149" s="6" t="inlineStr">
        <is>
          <t>D21 (razonamiento propio de la Sala)</t>
        </is>
      </c>
      <c r="D149" s="6" t="inlineStr">
        <is>
          <t>D23</t>
        </is>
      </c>
      <c r="E149" s="7" t="inlineStr">
        <is>
          <t>Se sustituyó por la cita «cada uno de estos fundamentos adolecen de una motivación defectuosa», que sí atribuye el vicio al A quo con fórmula genérica.</t>
        </is>
      </c>
    </row>
    <row r="150" ht="21.75" customHeight="1">
      <c r="A150" s="21" t="inlineStr">
        <is>
          <t>01302-2015</t>
        </is>
      </c>
      <c r="B150" s="6" t="inlineStr">
        <is>
          <t>Baja</t>
        </is>
      </c>
      <c r="C150" s="6" t="inlineStr">
        <is>
          <t>D21/D20 (razonamiento propio de la Sala, sin crítica al A quo)</t>
        </is>
      </c>
      <c r="D150" s="6" t="inlineStr">
        <is>
          <t>—</t>
        </is>
      </c>
      <c r="E150" s="7" t="inlineStr">
        <is>
          <t>Revocatoria fundada en reinterpretación jurídica de fondo propia de la Sala; no constituye un vicio confrontado en la premisa del A quo. Se traslada a Observaciones.</t>
        </is>
      </c>
    </row>
    <row r="151" ht="21.75" customHeight="1">
      <c r="A151" s="21" t="inlineStr">
        <is>
          <t>02676-2017</t>
        </is>
      </c>
      <c r="B151" s="6" t="inlineStr">
        <is>
          <t>Baja</t>
        </is>
      </c>
      <c r="C151" s="6" t="inlineStr">
        <is>
          <t>D21/D20 (razonamiento propio de la Sala, sin crítica al A quo)</t>
        </is>
      </c>
      <c r="D151" s="6" t="inlineStr">
        <is>
          <t>—</t>
        </is>
      </c>
      <c r="E151" s="7" t="inlineStr">
        <is>
          <t>Revocatoria fundada en reinterpretación jurídica de fondo propia de la Sala; no constituye un vicio confrontado en la premisa del A quo. Se traslada a Observaciones.</t>
        </is>
      </c>
    </row>
    <row r="152" ht="21.75" customHeight="1">
      <c r="A152" s="21" t="inlineStr">
        <is>
          <t>03697-2014</t>
        </is>
      </c>
      <c r="B152" s="6" t="inlineStr">
        <is>
          <t>Baja</t>
        </is>
      </c>
      <c r="C152" s="6" t="inlineStr">
        <is>
          <t>D21/D20 (razonamiento propio de la Sala, sin crítica al A quo)</t>
        </is>
      </c>
      <c r="D152" s="6" t="inlineStr">
        <is>
          <t>—</t>
        </is>
      </c>
      <c r="E152" s="7" t="inlineStr">
        <is>
          <t>Revocatoria fundada en reinterpretación jurídica de fondo propia de la Sala; no constituye un vicio confrontado en la premisa del A quo. Se traslada a Observaciones.</t>
        </is>
      </c>
    </row>
    <row r="153" ht="21.75" customHeight="1">
      <c r="A153" s="21" t="inlineStr">
        <is>
          <t>07218-2014</t>
        </is>
      </c>
      <c r="B153" s="6" t="inlineStr">
        <is>
          <t>Baja</t>
        </is>
      </c>
      <c r="C153" s="6" t="inlineStr">
        <is>
          <t>D21/D20 (razonamiento propio de la Sala, sin crítica al A quo)</t>
        </is>
      </c>
      <c r="D153" s="6" t="inlineStr">
        <is>
          <t>—</t>
        </is>
      </c>
      <c r="E153" s="7" t="inlineStr">
        <is>
          <t>Revocatoria fundada en reinterpretación jurídica de fondo propia de la Sala; no constituye un vicio confrontado en la premisa del A quo. Se traslada a Observaciones.</t>
        </is>
      </c>
    </row>
    <row r="154" ht="21.75" customHeight="1">
      <c r="A154" s="21" t="inlineStr">
        <is>
          <t>00925-2017</t>
        </is>
      </c>
      <c r="B154" s="6" t="inlineStr">
        <is>
          <t>Baja</t>
        </is>
      </c>
      <c r="C154" s="6" t="inlineStr">
        <is>
          <t>D21/D20 (razonamiento propio de la Sala, sin crítica al A quo)</t>
        </is>
      </c>
      <c r="D154" s="6" t="inlineStr">
        <is>
          <t>—</t>
        </is>
      </c>
      <c r="E154" s="7" t="inlineStr">
        <is>
          <t>Revocatoria fundada en reinterpretación jurídica de fondo propia de la Sala; no constituye un vicio confrontado en la premisa del A quo. Se traslada a Observaciones.</t>
        </is>
      </c>
    </row>
    <row r="155" ht="15" customHeight="1">
      <c r="A155" s="21" t="inlineStr">
        <is>
          <t>04246-2011</t>
        </is>
      </c>
      <c r="B155" s="6" t="inlineStr">
        <is>
          <t>Baja</t>
        </is>
      </c>
      <c r="C155" s="6" t="inlineStr">
        <is>
          <t>D21 (razonamiento propio de la Sala)</t>
        </is>
      </c>
      <c r="D155" s="6" t="inlineStr">
        <is>
          <t>—</t>
        </is>
      </c>
      <c r="E155" s="7" t="inlineStr">
        <is>
          <t>Se mantiene D12; la referencia a la teoría de los hechos cumplidos es fundamento de fondo redundante con el defecto probatorio ya contado.</t>
        </is>
      </c>
    </row>
    <row r="156" ht="21.75" customHeight="1">
      <c r="A156" s="21" t="inlineStr">
        <is>
          <t>00925-2016</t>
        </is>
      </c>
      <c r="B156" s="6" t="inlineStr">
        <is>
          <t>Baja</t>
        </is>
      </c>
      <c r="C156" s="6" t="inlineStr">
        <is>
          <t>D21 (razonamiento propio de la Sala sobre plazo del art. 534 CPC)</t>
        </is>
      </c>
      <c r="D156" s="6" t="inlineStr">
        <is>
          <t>—</t>
        </is>
      </c>
      <c r="E156" s="7" t="inlineStr">
        <is>
          <t>El vicio declarado y computado es D03 (litisconsorte necesario omitido); la referencia al art. 534 CPC corrige un argumento del A quo pero no es, en sí, una causal autónoma.</t>
        </is>
      </c>
    </row>
  </sheetData>
  <autoFilter ref="A3:E14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4" customWidth="1" min="2" max="2"/>
    <col width="66" customWidth="1" min="3" max="3"/>
    <col width="52" customWidth="1" min="4" max="4"/>
    <col width="78" customWidth="1" min="5" max="5"/>
  </cols>
  <sheetData>
    <row r="1" ht="15" customHeight="1">
      <c r="A1" s="30" t="inlineStr">
        <is>
          <t>DICCIONARIO DE CAUSALES: definición operacional, subclasificación y regla de deslinde</t>
        </is>
      </c>
    </row>
    <row r="2" ht="15" customHeight="1">
      <c r="A2" s="14" t="inlineStr">
        <is>
          <t>Las reglas de deslinde recogen los errores detectados en la auditoría de citas. Aplíquense antes de marcar cualquier causal.</t>
        </is>
      </c>
    </row>
    <row r="4" ht="33.75" customHeight="1">
      <c r="A4" s="5" t="inlineStr">
        <is>
          <t>Cód.</t>
        </is>
      </c>
      <c r="B4" s="5" t="inlineStr">
        <is>
          <t>Causal</t>
        </is>
      </c>
      <c r="C4" s="5" t="inlineStr">
        <is>
          <t>Definición operacional</t>
        </is>
      </c>
      <c r="D4" s="5" t="inlineStr">
        <is>
          <t>Subclasificación</t>
        </is>
      </c>
      <c r="E4" s="5" t="inlineStr">
        <is>
          <t>Regla de deslinde / qué NO marcar</t>
        </is>
      </c>
    </row>
    <row r="5" ht="21.75" customHeight="1">
      <c r="A5" s="31" t="inlineStr">
        <is>
          <t>D01</t>
        </is>
      </c>
      <c r="B5" s="32" t="inlineStr">
        <is>
          <t>Notificación o emplazamiento defectuoso</t>
        </is>
      </c>
      <c r="C5" s="32" t="inlineStr">
        <is>
          <t>Acto de comunicación inexistente o practicado incumpliendo requisitos relevantes, que impide o compromete el conocimiento oportuno necesario para ejercer una facultad procesal.</t>
        </is>
      </c>
      <c r="D5" s="32" t="inlineStr">
        <is>
          <t>Defecto de destinatario, de contenido, de medio, temporal, de constancia, u omisión absoluta.</t>
        </is>
      </c>
      <c r="E5" s="32" t="inlineStr">
        <is>
          <t>NO marcar cuando el sujeto no fue emplazado por no haber sido integrado a la relación procesal: eso es D03. NO marcar la orden de notificar contenida en la parte resolutiva: es el remedio, no el vicio.</t>
        </is>
      </c>
    </row>
    <row r="6" ht="32.25" customHeight="1">
      <c r="A6" s="31" t="inlineStr">
        <is>
          <t>D02</t>
        </is>
      </c>
      <c r="B6" s="32" t="inlineStr">
        <is>
          <t>Vulneración del derecho de defensa</t>
        </is>
      </c>
      <c r="C6" s="32" t="inlineStr">
        <is>
          <t>Privación material de una oportunidad relevante de conocer, alegar, contradecir, probar o impugnar.</t>
        </is>
      </c>
      <c r="D6" s="32" t="inlineStr">
        <is>
          <t>Defensa informativa, alegatoria, probatoria, impugnatoria y técnica.</t>
        </is>
      </c>
      <c r="E6" s="32" t="inlineStr">
        <is>
          <t>Marcar como DECLARADO solo si es un defecto autónomo (por ejemplo, resolver sobre una causal no alegada sin traslado, o un apercibimiento que impide considerar la defensa). Si la indefensión es consecuencia de D01, D03, D04, D08 o D19 ya marcados en la misma fila, usar estatus DERIVADO.</t>
        </is>
      </c>
    </row>
    <row r="7" ht="32.25" customHeight="1">
      <c r="A7" s="31" t="inlineStr">
        <is>
          <t>D03</t>
        </is>
      </c>
      <c r="B7" s="32" t="inlineStr">
        <is>
          <t>Litisconsorte necesario omitido</t>
        </is>
      </c>
      <c r="C7" s="32" t="inlineStr">
        <is>
          <t>Falta de incorporación o emplazamiento de un sujeto cuya participación es indispensable para que la decisión afecte válida y uniformemente la relación jurídica debatida (arts. 93, 95 y 96 CPC).</t>
        </is>
      </c>
      <c r="D7" s="32" t="inlineStr">
        <is>
          <t>Necesario activo, pasivo o mixto; omisión antes o después del saneamiento; integración sin oportunidad efectiva de defensa.</t>
        </is>
      </c>
      <c r="E7" s="32" t="inlineStr">
        <is>
          <t>NO marcar cuando el sujeto omitido es litisconsorte facultativo o tercero con interés.</t>
        </is>
      </c>
    </row>
    <row r="8" ht="21.75" customHeight="1">
      <c r="A8" s="31" t="inlineStr">
        <is>
          <t>D04</t>
        </is>
      </c>
      <c r="B8" s="32" t="inlineStr">
        <is>
          <t>Declaración indebida de rebeldía</t>
        </is>
      </c>
      <c r="C8" s="32" t="inlineStr">
        <is>
          <t>Declaración de rebeldía sin estar satisfechos sus presupuestos (art. 458 CPC) o atribución de efectos que exceden los legalmente previstos (art. 461 CPC).</t>
        </is>
      </c>
      <c r="D8" s="32" t="inlineStr">
        <is>
          <t>Rebeldía sobre emplazamiento inválido; prematura; pese a contestación oportuna; efectos excesivos.</t>
        </is>
      </c>
      <c r="E8" s="32" t="inlineStr">
        <is>
          <t>Exige un pasaje en que la Sala censure la declaración o sus efectos. La mera narración de que se declaró la rebeldía no acredita la causal.</t>
        </is>
      </c>
    </row>
    <row r="9" ht="21.75" customHeight="1">
      <c r="A9" s="31" t="inlineStr">
        <is>
          <t>D05</t>
        </is>
      </c>
      <c r="B9" s="32" t="inlineStr">
        <is>
          <t>Omisión o irregularidad de audiencia</t>
        </is>
      </c>
      <c r="C9" s="32" t="inlineStr">
        <is>
          <t>Omisión de audiencia jurídicamente necesaria, o realización sin garantías esenciales de convocatoria, inmediación, participación o contradicción.</t>
        </is>
      </c>
      <c r="D9" s="32" t="inlineStr">
        <is>
          <t>Omisión total; sin notificación válida; sin el juez competente; restricción de la intervención oral; cierre anticipado.</t>
        </is>
      </c>
      <c r="E9" s="32" t="inlineStr">
        <is>
          <t>El indicador es «audiencia jurídicamente necesaria omitida», no «no hubo audiencia» (art. 468 CPC vigente). Si la audiencia se celebró y lo omitido fue actuar una prueba admitida, corresponde D07.</t>
        </is>
      </c>
    </row>
    <row r="10" ht="32.25" customHeight="1">
      <c r="A10" s="31" t="inlineStr">
        <is>
          <t>D06</t>
        </is>
      </c>
      <c r="B10" s="32" t="inlineStr">
        <is>
          <t>Deficiente fijación de puntos/hechos controvertidos</t>
        </is>
      </c>
      <c r="C10" s="32" t="inlineStr">
        <is>
          <t>Delimitación incompleta, excesiva, ambigua o inconexa de las cuestiones controvertidas, en el momento del saneamiento (art. 468 CPC).</t>
        </is>
      </c>
      <c r="D10" s="32" t="inlineStr">
        <is>
          <t>Omisión de un hecho esencial; inclusión de hechos admitidos; mera reproducción del petitorio; puntos genéricos; modificación tardía.</t>
        </is>
      </c>
      <c r="E10" s="32" t="inlineStr">
        <is>
          <t>REGLA DE DESLINDE CRÍTICA: el defecto debe estar en el AUTO DE FIJACIÓN. Si la sentencia resolvió fuera de los puntos correctamente fijados, u omitió pronunciarse sobre ellos, corresponde D16. La sola mención de la expresión «puntos controvertidos» en la cita no basta.</t>
        </is>
      </c>
    </row>
    <row r="11" ht="21.75" customHeight="1">
      <c r="A11" s="31" t="inlineStr">
        <is>
          <t>D07</t>
        </is>
      </c>
      <c r="B11" s="32" t="inlineStr">
        <is>
          <t>Prueba admitida y no actuada</t>
        </is>
      </c>
      <c r="C11" s="32" t="inlineStr">
        <is>
          <t>Medio previamente admitido que, requiriendo actuación, no fue practicado o lo fue incompletamente antes de la decisión.</t>
        </is>
      </c>
      <c r="D11" s="32" t="inlineStr">
        <is>
          <t>Falta total de actuación; actuación inconclusa; frustrada por responsabilidad del órgano; cierre de etapa antes de ejecutarla.</t>
        </is>
      </c>
      <c r="E11" s="32" t="inlineStr">
        <is>
          <t>Se distingue de D08 por el momento: allí el defecto está en la entrada al proceso; aquí, en la actuación de lo ya admitido.</t>
        </is>
      </c>
    </row>
    <row r="12" ht="21.75" customHeight="1">
      <c r="A12" s="31" t="inlineStr">
        <is>
          <t>D08</t>
        </is>
      </c>
      <c r="B12" s="32" t="inlineStr">
        <is>
          <t>Indebida admisión o exclusión de prueba</t>
        </is>
      </c>
      <c r="C12" s="32" t="inlineStr">
        <is>
          <t>Error en el juicio de admisibilidad: se incorpora un medio que no debía ingresar o se rechaza uno que sí satisfacía las condiciones.</t>
        </is>
      </c>
      <c r="D12" s="32" t="inlineStr">
        <is>
          <t>Exclusión indebida y admisión indebida (incluida la valoración de prueba nunca admitida).</t>
        </is>
      </c>
      <c r="E12" s="32" t="inlineStr">
        <is>
          <t>NO marcar cuando la Sala convalida la decisión de admisión. NO marcar cuando lo pendiente es la calificación del ofrecimiento: eso es D19.</t>
        </is>
      </c>
    </row>
    <row r="13" ht="21.75" customHeight="1">
      <c r="A13" s="31" t="inlineStr">
        <is>
          <t>D09</t>
        </is>
      </c>
      <c r="B13" s="32" t="inlineStr">
        <is>
          <t>Prueba de oficio irregular</t>
        </is>
      </c>
      <c r="C13" s="32" t="inlineStr">
        <is>
          <t>Prueba ordenada judicialmente fuera de los presupuestos del art. 194 CPC y del X Pleno Casatorio.</t>
        </is>
      </c>
      <c r="D13" s="32" t="inlineStr">
        <is>
          <t>Sin insuficiencia probatoria; fuente no citada por las partes; sustitución de la carga; sin contradicción; sin motivación; no excepcional.</t>
        </is>
      </c>
      <c r="E13" s="32" t="inlineStr">
        <is>
          <t>NO confundir con la nulidad manifiesta del acto jurídico declarada de oficio (art. V TP del Código Civil): son institutos distintos. Sugerir al A quo el uso de la prueba de oficio tampoco es una irregularidad.</t>
        </is>
      </c>
    </row>
    <row r="14" ht="21.75" customHeight="1">
      <c r="A14" s="31" t="inlineStr">
        <is>
          <t>D10</t>
        </is>
      </c>
      <c r="B14" s="32" t="inlineStr">
        <is>
          <t>Falta de contradictorio de la prueba</t>
        </is>
      </c>
      <c r="C14" s="32" t="inlineStr">
        <is>
          <t>Imposibilidad real de conocer, controlar u objetar un elemento PROBATORIO utilizado en la decisión.</t>
        </is>
      </c>
      <c r="D14" s="32" t="inlineStr">
        <is>
          <t>Falta de traslado; imposibilidad de tachar u observar; prueba incorporada sorpresivamente; prueba de oficio sin contradicción.</t>
        </is>
      </c>
      <c r="E14" s="32" t="inlineStr">
        <is>
          <t>El objeto del contradictorio omitido debe ser prueba. Si lo omitido es el traslado sobre una causal jurídica introducida de oficio, corresponde D02 y D16.</t>
        </is>
      </c>
    </row>
    <row r="15" ht="21.75" customHeight="1">
      <c r="A15" s="31" t="inlineStr">
        <is>
          <t>D11</t>
        </is>
      </c>
      <c r="B15" s="32" t="inlineStr">
        <is>
          <t>Omisión de valoración de prueba decisiva</t>
        </is>
      </c>
      <c r="C15" s="32" t="inlineStr">
        <is>
          <t>Silencio del razonamiento respecto de un medio incorporado y potencialmente determinante.</t>
        </is>
      </c>
      <c r="D15" s="32" t="inlineStr">
        <is>
          <t>Silencio absoluto; omisión de la prueba que contradice la conclusión; omisión de un conjunto convergente; mención sin análisis.</t>
        </is>
      </c>
      <c r="E15" s="32" t="inlineStr">
        <is>
          <t>REGLA DE DESLINDE CRÍTICA: «no valoró» es D11; «no valoró DEBIDAMENTE» y «no valoró EN CONJUNTO» son D12. La ausencia de prueba en autos no es omisión de valoración.</t>
        </is>
      </c>
    </row>
    <row r="16" ht="21.75" customHeight="1">
      <c r="A16" s="31" t="inlineStr">
        <is>
          <t>D12</t>
        </is>
      </c>
      <c r="B16" s="32" t="inlineStr">
        <is>
          <t>Valoración probatoria defectuosa</t>
        </is>
      </c>
      <c r="C16" s="32" t="inlineStr">
        <is>
          <t>La prueba fue considerada, pero evaluada con razonamiento fragmentario, contradictorio, ilógico o sin valoración conjunta suficiente (art. 197 CPC).</t>
        </is>
      </c>
      <c r="D16" s="32" t="inlineStr">
        <is>
          <t>Valoración fragmentaria; contradicción con el contenido del medio; inferencia ilógica; valoración conjunta nominal; selección arbitraria.</t>
        </is>
      </c>
      <c r="E16" s="32" t="inlineStr">
        <is>
          <t>Incluye los errores de distribución de la carga probatoria (art. 196 CPC), precisándolo en observaciones. No marcar cuando lo no valorado es la demanda o un acto postulatorio: eso no es prueba.</t>
        </is>
      </c>
    </row>
    <row r="17" ht="21.75" customHeight="1">
      <c r="A17" s="31" t="inlineStr">
        <is>
          <t>D13</t>
        </is>
      </c>
      <c r="B17" s="32" t="inlineStr">
        <is>
          <t>Motivación insuficiente</t>
        </is>
      </c>
      <c r="C17" s="32" t="inlineStr">
        <is>
          <t>Existen razones auténticas, pero inferiores al mínimo exigible para justificar un aspecto decisivo.</t>
        </is>
      </c>
      <c r="D17" s="32" t="inlineStr">
        <is>
          <t>Insuficiencia fáctica, jurídica, probatoria o frente a una cuestión determinante.</t>
        </is>
      </c>
      <c r="E17" s="32" t="inlineStr">
        <is>
          <t>No equivale a brevedad. La sola invocación del art. 139.5 de la Constitución, sin especificar, va a D23.</t>
        </is>
      </c>
    </row>
    <row r="18" ht="21.75" customHeight="1">
      <c r="A18" s="31" t="inlineStr">
        <is>
          <t>D14</t>
        </is>
      </c>
      <c r="B18" s="32" t="inlineStr">
        <is>
          <t>Motivación aparente</t>
        </is>
      </c>
      <c r="C18" s="32" t="inlineStr">
        <is>
          <t>La resolución parece motivada pero no ofrece razones mínimas, no responde a las alegaciones relevantes o emplea fórmulas sin respaldo.</t>
        </is>
      </c>
      <c r="D18" s="32" t="inlineStr">
        <is>
          <t>Fórmulas genéricas; reproducción normativa; copia de antecedentes o de otra sentencia; afirmaciones conclusivas; motivación circular.</t>
        </is>
      </c>
      <c r="E18" s="32" t="inlineStr">
        <is>
          <t>La copia y pega de considerandos de otro expediente es el supuesto paradigmático. Requiere que la Sala subsuma el caso, no solo que cite la definición del estándar.</t>
        </is>
      </c>
    </row>
    <row r="19" ht="32.25" customHeight="1">
      <c r="A19" s="31" t="inlineStr">
        <is>
          <t>D15</t>
        </is>
      </c>
      <c r="B19" s="32" t="inlineStr">
        <is>
          <t>Falta o defecto interno de motivación</t>
        </is>
      </c>
      <c r="C19" s="32" t="inlineStr">
        <is>
          <t>Inferencia inválida —la conclusión no se sigue de las premisas asumidas por el propio juez— o incoherencia narrativa.</t>
        </is>
      </c>
      <c r="D19" s="32" t="inlineStr">
        <is>
          <t>Inferencia inválida; contradicción entre fundamentos; contradicción entre fundamentación y parte resolutiva.</t>
        </is>
      </c>
      <c r="E19" s="32" t="inlineStr">
        <is>
          <t>CONCEPTO ESTRECHO. Exige que la cita describa la ruptura lógica o la contradicción. «No se encuentra debidamente motivada», «motivación defectuosa» o la cita de los arts. 122.3 CPC y 139.5 Const. NO acreditan la categoría: van a D23. La deficiencia en la justificación de las premisas va a D21.</t>
        </is>
      </c>
    </row>
    <row r="20" ht="32.25" customHeight="1">
      <c r="A20" s="31" t="inlineStr">
        <is>
          <t>D16</t>
        </is>
      </c>
      <c r="B20" s="32" t="inlineStr">
        <is>
          <t>Incongruencia procesal</t>
        </is>
      </c>
      <c r="C20" s="32" t="inlineStr">
        <is>
          <t>Falta de correspondencia entre el objeto delimitado por las partes y el objeto decidido.</t>
        </is>
      </c>
      <c r="D20" s="32" t="inlineStr">
        <is>
          <t>Ultra petita; extra petita; citra o infra petita (omisiva); incongruencia fáctica; incongruencia recursal; motivación sustancialmente incongruente.</t>
        </is>
      </c>
      <c r="E20" s="32" t="inlineStr">
        <is>
          <t>Absorbe la omisión de pronunciamiento sobre pretensiones, puntos controvertidos, agravios del A quo y hechos impeditivos. Registrar en observaciones qué objeto delimitador fue vulnerado: petitorio, hechos, puntos controvertidos o agravios.</t>
        </is>
      </c>
    </row>
    <row r="21" ht="32.25" customHeight="1">
      <c r="A21" s="31" t="inlineStr">
        <is>
          <t>D17</t>
        </is>
      </c>
      <c r="B21" s="32" t="inlineStr">
        <is>
          <t>Falta de respuesta a agravios</t>
        </is>
      </c>
      <c r="C21" s="32" t="inlineStr">
        <is>
          <t>Omisión del órgano de SEGUNDA INSTANCIA de pronunciarse sobre un agravio relevante y autónomo.</t>
        </is>
      </c>
      <c r="D21" s="32" t="inlineStr">
        <is>
          <t>Omisión total; respuesta parcial; respuesta genérica; tergiversación del agravio.</t>
        </is>
      </c>
      <c r="E21" s="32" t="inlineStr">
        <is>
          <t>Vicio propio del ad quem. En un corpus de sentencias de vista que revisan sentencias de primera instancia es estructuralmente inaplicable: si quien omitió fue el A quo, corresponde D16. Su valor cero debe documentarse en la metodología.</t>
        </is>
      </c>
    </row>
    <row r="22" ht="21.75" customHeight="1">
      <c r="A22" s="31" t="inlineStr">
        <is>
          <t>D18</t>
        </is>
      </c>
      <c r="B22" s="32" t="inlineStr">
        <is>
          <t>Violación de preclusión procesal</t>
        </is>
      </c>
      <c r="C22" s="32" t="inlineStr">
        <is>
          <t>Admisión, reiteración o modificación de una actuación después de extinguida o consumada la oportunidad procesal correspondiente.</t>
        </is>
      </c>
      <c r="D22" s="32" t="inlineStr">
        <is>
          <t>Preclusión temporal, por incompatibilidad y por consumación.</t>
        </is>
      </c>
      <c r="E22" s="32" t="inlineStr">
        <is>
          <t>Sentenciar pese a una suspensión ordenada no es preclusión: es D22 (y, según el caso, D19). Valor cero empírico en este corpus.</t>
        </is>
      </c>
    </row>
    <row r="23" ht="21.75" customHeight="1">
      <c r="A23" s="31" t="inlineStr">
        <is>
          <t>D19</t>
        </is>
      </c>
      <c r="B23" s="32" t="inlineStr">
        <is>
          <t>Omisión de resolver incidencia previa</t>
        </is>
      </c>
      <c r="C23" s="32" t="inlineStr">
        <is>
          <t>Continuación o decisión del proceso sin resolver una cuestión previa cuya determinación era necesaria para definir la validez o la forma de prosecución.</t>
        </is>
      </c>
      <c r="D23" s="32" t="inlineStr">
        <is>
          <t>Omisión total; resolución implícita; diferimiento sin base normativa; decisión del fondo antes de la incidencia condicionante.</t>
        </is>
      </c>
      <c r="E23" s="32" t="inlineStr">
        <is>
          <t>Comprende: sentenciar con una tacha, una contestación, una excepción o un ofrecimiento probatorio pendientes de resolver; y la causa no expedita para sentenciar (art. 380 CPC).</t>
        </is>
      </c>
    </row>
    <row r="24" ht="42.75" customHeight="1">
      <c r="A24" s="31" t="inlineStr">
        <is>
          <t>D20</t>
        </is>
      </c>
      <c r="B24" s="32" t="inlineStr">
        <is>
          <t>Otro defecto insubsanable del procedimiento</t>
        </is>
      </c>
      <c r="C24" s="32" t="inlineStr">
        <is>
          <t>Categoría RESIDUAL y de cierre: defecto estructural no comprendido por ninguna categoría específica, no susceptible de convalidación, con trascendencia suficiente.</t>
        </is>
      </c>
      <c r="D24" s="32" t="inlineStr">
        <is>
          <t>Invalidez insubsanable de la relación procesal; nulidad de un segmento procedimental esencial; defecto estructural atípico.</t>
        </is>
      </c>
      <c r="E24" s="32" t="inlineStr">
        <is>
          <t>REGLA CRÍTICA: antes de marcarla hay que descartar TODAS las específicas. «Insubsanable» NO es sinónimo de «grave» ni es un defecto: esa declaración se registra en la columna «Insubsanabilidad declarada». En este corpus solo dos supuestos la satisfacen: la omisión del dictamen fiscal previo a sentencia y el apercibimiento efectivizado sin plazo previamente fijado.</t>
        </is>
      </c>
    </row>
    <row r="25" ht="32.25" customHeight="1">
      <c r="A25" s="33" t="inlineStr">
        <is>
          <t>D21</t>
        </is>
      </c>
      <c r="B25" s="34" t="inlineStr">
        <is>
          <t>Deficiencia de motivación externa (justificación de las premisas)</t>
        </is>
      </c>
      <c r="C25" s="34" t="inlineStr">
        <is>
          <t>Deficiencia en la justificación EXTERNA de las premisas: la premisa fáctica o normativa de la que parte el juez no ha sido confrontada ni analizada respecto de su validez (supuesto c de la STC 00728-2008-PHC/TC).</t>
        </is>
      </c>
      <c r="D25" s="34" t="inlineStr">
        <is>
          <t>Premisa normativa no justificada; premisa fáctica falsa o no confrontada; uso de precedentes sobre supuestos fácticos distintos.</t>
        </is>
      </c>
      <c r="E25" s="34" t="inlineStr">
        <is>
          <t>CÓDIGO NUEVO. Cubre el hueco del catálogo original, que recogía tres de los seis supuestos de Llamoja y dejaba fuera precisamente aquel que varias Salas de Arequipa etiquetan de forma expresa.</t>
        </is>
      </c>
    </row>
    <row r="26" ht="21.75" customHeight="1">
      <c r="A26" s="33" t="inlineStr">
        <is>
          <t>D22</t>
        </is>
      </c>
      <c r="B26" s="34" t="inlineStr">
        <is>
          <t>Nulidad refleja, concatenada o por hecho sobreviniente</t>
        </is>
      </c>
      <c r="C26" s="34" t="inlineStr">
        <is>
          <t>El defecto no es propio de la sentencia revisada: deriva de la anulación o suspensión de una resolución anterior, o de un hecho sobreviniente.</t>
        </is>
      </c>
      <c r="D26" s="34" t="inlineStr">
        <is>
          <t>Nulidad concatenada por anulación de una resolución previa; sentencia dictada pese a suspensión ordenada; nulidad por hecho sobreviniente.</t>
        </is>
      </c>
      <c r="E26" s="34" t="inlineStr">
        <is>
          <t>CÓDIGO NUEVO. Es metodológicamente decisivo: estas nulidades no miden calidad del razonamiento del A quo y no deberían agregarse con los defectos que sí la miden.</t>
        </is>
      </c>
    </row>
    <row r="27" ht="32.25" customHeight="1">
      <c r="A27" s="33" t="inlineStr">
        <is>
          <t>D23</t>
        </is>
      </c>
      <c r="B27" s="34" t="inlineStr">
        <is>
          <t>Motivación defectuosa sin especificación del supuesto</t>
        </is>
      </c>
      <c r="C27" s="34" t="inlineStr">
        <is>
          <t>La Sala declara un defecto de motivación pero no especifica el supuesto: emplea fórmulas genéricas o la sola invocación normativa.</t>
        </is>
      </c>
      <c r="D27" s="34" t="inlineStr">
        <is>
          <t>«No se encuentra debidamente motivada»; «motivación defectuosa»; «error en la motivación»; invocación aislada de los arts. 122.3 CPC, 50.6 CPC o 139.5 Const.</t>
        </is>
      </c>
      <c r="E27" s="34" t="inlineStr">
        <is>
          <t>CÓDIGO NUEVO. Es la categoría residual de la FAMILIA DE MOTIVACIÓN. Evita que las fórmulas genéricas se imputen a D15 y lo conviertan artificialmente en la causal más frecuente. Su frecuencia es, además, un hallazgo en sí: mide cuánto de la motivación se censura sin diagnóstico.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74" customWidth="1" min="2" max="2"/>
    <col width="58" customWidth="1" min="3" max="3"/>
  </cols>
  <sheetData>
    <row r="1" ht="15" customHeight="1">
      <c r="A1" s="30" t="inlineStr">
        <is>
          <t>ESTATUS DE CADA REGISTRO DE CAUSAL</t>
        </is>
      </c>
    </row>
    <row r="2" ht="15" customHeight="1">
      <c r="A2" s="14" t="inlineStr">
        <is>
          <t>El prefijo de cada celda de causal en «Corpus_corregido» indica el valor probatorio del registro. Solo los DECLARADOS deben computarse como frecuencia de defectos.</t>
        </is>
      </c>
    </row>
    <row r="4" ht="33.75" customHeight="1">
      <c r="A4" s="5" t="inlineStr">
        <is>
          <t>Estatus</t>
        </is>
      </c>
      <c r="B4" s="5" t="inlineStr">
        <is>
          <t>Significado</t>
        </is>
      </c>
      <c r="C4" s="5" t="inlineStr">
        <is>
          <t>Uso en el conteo</t>
        </is>
      </c>
    </row>
    <row r="5" ht="15" customHeight="1">
      <c r="A5" s="24" t="inlineStr">
        <is>
          <t>DECLARADO</t>
        </is>
      </c>
      <c r="B5" s="32" t="inlineStr">
        <is>
          <t>Declarado por la Sala</t>
        </is>
      </c>
      <c r="C5" s="32" t="inlineStr">
        <is>
          <t>SÍ se computa. Es la base de «Marcas_declaradas».</t>
        </is>
      </c>
    </row>
    <row r="6" ht="21.75" customHeight="1">
      <c r="A6" s="35" t="inlineStr">
        <is>
          <t>DERIVADO</t>
        </is>
      </c>
      <c r="B6" s="32" t="inlineStr">
        <is>
          <t>Consecuencia derivada</t>
        </is>
      </c>
      <c r="C6" s="32" t="inlineStr">
        <is>
          <t>NO se computa como defecto autónomo: duplicaría el fenómeno ya contado en la causal de origen. Útil para describir el derecho afectado.</t>
        </is>
      </c>
    </row>
    <row r="7" ht="21.75" customHeight="1">
      <c r="A7" s="36" t="inlineStr">
        <is>
          <t>ALEGADO</t>
        </is>
      </c>
      <c r="B7" s="32" t="inlineStr">
        <is>
          <t>Alegado, no acogido</t>
        </is>
      </c>
      <c r="C7" s="32" t="inlineStr">
        <is>
          <t>NO se computa: es la tesis del apelante, no el juicio del Colegiado. Sirve para estudiar la brecha entre lo alegado y lo declarado.</t>
        </is>
      </c>
    </row>
    <row r="8" ht="21.75" customHeight="1">
      <c r="A8" s="37" t="inlineStr">
        <is>
          <t>VOTO MINORÍA</t>
        </is>
      </c>
      <c r="B8" s="32" t="inlineStr">
        <is>
          <t>Voto en minoría / discordia / singular</t>
        </is>
      </c>
      <c r="C8" s="32" t="inlineStr">
        <is>
          <t>NO se computa en la frecuencia principal: no es la ratio de la sentencia. Analizable por separado como disidencia sobre el control de nulidad.</t>
        </is>
      </c>
    </row>
    <row r="9" ht="21.75" customHeight="1">
      <c r="A9" s="35" t="inlineStr">
        <is>
          <t>ADVERTIDO</t>
        </is>
      </c>
      <c r="B9" s="32" t="inlineStr">
        <is>
          <t>Advertido sin nulidad</t>
        </is>
      </c>
      <c r="C9" s="32" t="inlineStr">
        <is>
          <t>NO se computa entre las nulidades: la Sala detecta el vicio pero corrige en instancia. Es la base para medir el uso de la Circular de reenvío (RA 002-2014-CE-PJ).</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9"/>
  <sheetViews>
    <sheetView workbookViewId="0">
      <selection activeCell="A1" sqref="A1"/>
    </sheetView>
  </sheetViews>
  <sheetFormatPr baseColWidth="8" defaultRowHeight="15"/>
  <cols>
    <col width="30" customWidth="1" min="1" max="1"/>
  </cols>
  <sheetData>
    <row r="1" ht="23.25" customHeight="1">
      <c r="A1" s="38" t="inlineStr">
        <is>
          <t>Clave expediente</t>
        </is>
      </c>
      <c r="B1" s="38" t="inlineStr">
        <is>
          <t>Fuentes en conflicto</t>
        </is>
      </c>
      <c r="C1" s="38" t="inlineStr">
        <is>
          <t>Fuente que aporta la fila base</t>
        </is>
      </c>
      <c r="D1" s="38" t="inlineStr">
        <is>
          <t>Campos llenos de la fila base</t>
        </is>
      </c>
      <c r="E1" s="38" t="inlineStr">
        <is>
          <t>Campos llenos de las demás filas</t>
        </is>
      </c>
      <c r="F1" s="38" t="inlineStr">
        <is>
          <t>Campos completados desde otras fuentes</t>
        </is>
      </c>
    </row>
    <row r="2" ht="21.75" customHeight="1">
      <c r="A2" s="39" t="inlineStr">
        <is>
          <t>00132-2015</t>
        </is>
      </c>
      <c r="B2" s="39" t="inlineStr">
        <is>
          <t>Comparativa_defectos_2018_vs_2024 + Defectos_procesales_SV_CSJA</t>
        </is>
      </c>
      <c r="C2" s="39" t="inlineStr">
        <is>
          <t>Comparativa_defectos_2018_vs_2024</t>
        </is>
      </c>
      <c r="D2" s="39" t="n">
        <v>8</v>
      </c>
      <c r="E2" s="39" t="inlineStr">
        <is>
          <t>8</t>
        </is>
      </c>
      <c r="F2" s="39" t="n">
        <v>0</v>
      </c>
    </row>
    <row r="3" ht="21.75" customHeight="1">
      <c r="A3" s="39" t="inlineStr">
        <is>
          <t>00192-2021</t>
        </is>
      </c>
      <c r="B3" s="39" t="inlineStr">
        <is>
          <t>Comparativa_defectos_2018_vs_2024 + Defectos_procesales_SV_CSJA</t>
        </is>
      </c>
      <c r="C3" s="39" t="inlineStr">
        <is>
          <t>Comparativa_defectos_2018_vs_2024</t>
        </is>
      </c>
      <c r="D3" s="39" t="n">
        <v>7</v>
      </c>
      <c r="E3" s="39" t="inlineStr">
        <is>
          <t>7</t>
        </is>
      </c>
      <c r="F3" s="39" t="n">
        <v>0</v>
      </c>
    </row>
    <row r="4" ht="21.75" customHeight="1">
      <c r="A4" s="39" t="inlineStr">
        <is>
          <t>00320-2023</t>
        </is>
      </c>
      <c r="B4" s="39" t="inlineStr">
        <is>
          <t>Comparativa_defectos_2018_vs_2024 + Defectos_procesales_SV_CSJA</t>
        </is>
      </c>
      <c r="C4" s="39" t="inlineStr">
        <is>
          <t>Comparativa_defectos_2018_vs_2024</t>
        </is>
      </c>
      <c r="D4" s="39" t="n">
        <v>9</v>
      </c>
      <c r="E4" s="39" t="inlineStr">
        <is>
          <t>8</t>
        </is>
      </c>
      <c r="F4" s="39" t="n">
        <v>0</v>
      </c>
    </row>
    <row r="5" ht="21.75" customHeight="1">
      <c r="A5" s="39" t="inlineStr">
        <is>
          <t>00340-2002</t>
        </is>
      </c>
      <c r="B5" s="39" t="inlineStr">
        <is>
          <t>Comparativa_defectos_2018_vs_2024 + Defectos_procesales_SV_CSJA</t>
        </is>
      </c>
      <c r="C5" s="39" t="inlineStr">
        <is>
          <t>Comparativa_defectos_2018_vs_2024</t>
        </is>
      </c>
      <c r="D5" s="39" t="n">
        <v>12</v>
      </c>
      <c r="E5" s="39" t="inlineStr">
        <is>
          <t>10</t>
        </is>
      </c>
      <c r="F5" s="39" t="n">
        <v>0</v>
      </c>
    </row>
    <row r="6" ht="21.75" customHeight="1">
      <c r="A6" s="39" t="inlineStr">
        <is>
          <t>00598-2022</t>
        </is>
      </c>
      <c r="B6" s="39" t="inlineStr">
        <is>
          <t>Comparativa_defectos_2018_vs_2024 + Defectos_procesales_SV_CSJA</t>
        </is>
      </c>
      <c r="C6" s="39" t="inlineStr">
        <is>
          <t>Comparativa_defectos_2018_vs_2024</t>
        </is>
      </c>
      <c r="D6" s="39" t="n">
        <v>10</v>
      </c>
      <c r="E6" s="39" t="inlineStr">
        <is>
          <t>8</t>
        </is>
      </c>
      <c r="F6" s="39" t="n">
        <v>0</v>
      </c>
    </row>
    <row r="7" ht="21.75" customHeight="1">
      <c r="A7" s="39" t="inlineStr">
        <is>
          <t>00742-2022</t>
        </is>
      </c>
      <c r="B7" s="39" t="inlineStr">
        <is>
          <t>Comparativa_defectos_2018_vs_2024 + Defectos_procesales_SV_CSJA</t>
        </is>
      </c>
      <c r="C7" s="39" t="inlineStr">
        <is>
          <t>Comparativa_defectos_2018_vs_2024</t>
        </is>
      </c>
      <c r="D7" s="39" t="n">
        <v>12</v>
      </c>
      <c r="E7" s="39" t="inlineStr">
        <is>
          <t>11</t>
        </is>
      </c>
      <c r="F7" s="39" t="n">
        <v>0</v>
      </c>
    </row>
    <row r="8" ht="21.75" customHeight="1">
      <c r="A8" s="39" t="inlineStr">
        <is>
          <t>00748-2013</t>
        </is>
      </c>
      <c r="B8" s="39" t="inlineStr">
        <is>
          <t>Comparativa_defectos_2018_vs_2024 + Defectos_procesales_SV_CSJA</t>
        </is>
      </c>
      <c r="C8" s="39" t="inlineStr">
        <is>
          <t>Comparativa_defectos_2018_vs_2024</t>
        </is>
      </c>
      <c r="D8" s="39" t="n">
        <v>9</v>
      </c>
      <c r="E8" s="39" t="inlineStr">
        <is>
          <t>8</t>
        </is>
      </c>
      <c r="F8" s="39" t="n">
        <v>0</v>
      </c>
    </row>
    <row r="9" ht="21.75" customHeight="1">
      <c r="A9" s="39" t="inlineStr">
        <is>
          <t>00788-2013</t>
        </is>
      </c>
      <c r="B9" s="39" t="inlineStr">
        <is>
          <t>Comparativa_defectos_2018_vs_2024 + Defectos_procesales_SV_CSJA</t>
        </is>
      </c>
      <c r="C9" s="39" t="inlineStr">
        <is>
          <t>Comparativa_defectos_2018_vs_2024</t>
        </is>
      </c>
      <c r="D9" s="39" t="n">
        <v>10</v>
      </c>
      <c r="E9" s="39" t="inlineStr">
        <is>
          <t>8</t>
        </is>
      </c>
      <c r="F9" s="39" t="n">
        <v>0</v>
      </c>
    </row>
    <row r="10" ht="21.75" customHeight="1">
      <c r="A10" s="39" t="inlineStr">
        <is>
          <t>00856-2017</t>
        </is>
      </c>
      <c r="B10" s="39" t="inlineStr">
        <is>
          <t>Comparativa_defectos_2018_vs_2024 + Defectos_procesales_SV_CSJA</t>
        </is>
      </c>
      <c r="C10" s="39" t="inlineStr">
        <is>
          <t>Comparativa_defectos_2018_vs_2024</t>
        </is>
      </c>
      <c r="D10" s="39" t="n">
        <v>9</v>
      </c>
      <c r="E10" s="39" t="inlineStr">
        <is>
          <t>8</t>
        </is>
      </c>
      <c r="F10" s="39" t="n">
        <v>0</v>
      </c>
    </row>
    <row r="11" ht="21.75" customHeight="1">
      <c r="A11" s="39" t="inlineStr">
        <is>
          <t>00898-2013</t>
        </is>
      </c>
      <c r="B11" s="39" t="inlineStr">
        <is>
          <t>Comparativa_defectos_2018_vs_2024 + Defectos_procesales_SV_CSJA</t>
        </is>
      </c>
      <c r="C11" s="39" t="inlineStr">
        <is>
          <t>Comparativa_defectos_2018_vs_2024</t>
        </is>
      </c>
      <c r="D11" s="39" t="n">
        <v>9</v>
      </c>
      <c r="E11" s="39" t="inlineStr">
        <is>
          <t>8</t>
        </is>
      </c>
      <c r="F11" s="39" t="n">
        <v>0</v>
      </c>
    </row>
    <row r="12" ht="21.75" customHeight="1">
      <c r="A12" s="39" t="inlineStr">
        <is>
          <t>00965-2015</t>
        </is>
      </c>
      <c r="B12" s="39" t="inlineStr">
        <is>
          <t>Comparativa_defectos_2018_vs_2024 + Defectos_procesales_SV_CSJA</t>
        </is>
      </c>
      <c r="C12" s="39" t="inlineStr">
        <is>
          <t>Comparativa_defectos_2018_vs_2024</t>
        </is>
      </c>
      <c r="D12" s="39" t="n">
        <v>10</v>
      </c>
      <c r="E12" s="39" t="inlineStr">
        <is>
          <t>9</t>
        </is>
      </c>
      <c r="F12" s="39" t="n">
        <v>0</v>
      </c>
    </row>
    <row r="13" ht="21.75" customHeight="1">
      <c r="A13" s="39" t="inlineStr">
        <is>
          <t>00992-2016</t>
        </is>
      </c>
      <c r="B13" s="39" t="inlineStr">
        <is>
          <t>Comparativa_defectos_2018_vs_2024 + Defectos_procesales_SV_CSJA</t>
        </is>
      </c>
      <c r="C13" s="39" t="inlineStr">
        <is>
          <t>Comparativa_defectos_2018_vs_2024</t>
        </is>
      </c>
      <c r="D13" s="39" t="n">
        <v>10</v>
      </c>
      <c r="E13" s="39" t="inlineStr">
        <is>
          <t>8</t>
        </is>
      </c>
      <c r="F13" s="39" t="n">
        <v>0</v>
      </c>
    </row>
    <row r="14" ht="21.75" customHeight="1">
      <c r="A14" s="39" t="inlineStr">
        <is>
          <t>01101-2022</t>
        </is>
      </c>
      <c r="B14" s="39" t="inlineStr">
        <is>
          <t>Comparativa_defectos_2018_vs_2024 + Defectos_procesales_SV_CSJA</t>
        </is>
      </c>
      <c r="C14" s="39" t="inlineStr">
        <is>
          <t>Comparativa_defectos_2018_vs_2024</t>
        </is>
      </c>
      <c r="D14" s="39" t="n">
        <v>9</v>
      </c>
      <c r="E14" s="39" t="inlineStr">
        <is>
          <t>8</t>
        </is>
      </c>
      <c r="F14" s="39" t="n">
        <v>0</v>
      </c>
    </row>
    <row r="15" ht="21.75" customHeight="1">
      <c r="A15" s="39" t="inlineStr">
        <is>
          <t>01286-2022</t>
        </is>
      </c>
      <c r="B15" s="39" t="inlineStr">
        <is>
          <t>Comparativa_defectos_2018_vs_2024 + Defectos_procesales_SV_CSJA</t>
        </is>
      </c>
      <c r="C15" s="39" t="inlineStr">
        <is>
          <t>Comparativa_defectos_2018_vs_2024</t>
        </is>
      </c>
      <c r="D15" s="39" t="n">
        <v>13</v>
      </c>
      <c r="E15" s="39" t="inlineStr">
        <is>
          <t>12</t>
        </is>
      </c>
      <c r="F15" s="39" t="n">
        <v>0</v>
      </c>
    </row>
    <row r="16" ht="21.75" customHeight="1">
      <c r="A16" s="39" t="inlineStr">
        <is>
          <t>01328-2023</t>
        </is>
      </c>
      <c r="B16" s="39" t="inlineStr">
        <is>
          <t>Comparativa_defectos_2018_vs_2024 + Defectos_procesales_SV_CSJA</t>
        </is>
      </c>
      <c r="C16" s="39" t="inlineStr">
        <is>
          <t>Comparativa_defectos_2018_vs_2024</t>
        </is>
      </c>
      <c r="D16" s="39" t="n">
        <v>8</v>
      </c>
      <c r="E16" s="39" t="inlineStr">
        <is>
          <t>8</t>
        </is>
      </c>
      <c r="F16" s="39" t="n">
        <v>0</v>
      </c>
    </row>
    <row r="17" ht="21.75" customHeight="1">
      <c r="A17" s="39" t="inlineStr">
        <is>
          <t>01376-2023</t>
        </is>
      </c>
      <c r="B17" s="39" t="inlineStr">
        <is>
          <t>Comparativa_defectos_2018_vs_2024 + Defectos_procesales_SV_CSJA</t>
        </is>
      </c>
      <c r="C17" s="39" t="inlineStr">
        <is>
          <t>Comparativa_defectos_2018_vs_2024</t>
        </is>
      </c>
      <c r="D17" s="39" t="n">
        <v>11</v>
      </c>
      <c r="E17" s="39" t="inlineStr">
        <is>
          <t>10</t>
        </is>
      </c>
      <c r="F17" s="39" t="n">
        <v>0</v>
      </c>
    </row>
    <row r="18" ht="21.75" customHeight="1">
      <c r="A18" s="39" t="inlineStr">
        <is>
          <t>01417-2017</t>
        </is>
      </c>
      <c r="B18" s="39" t="inlineStr">
        <is>
          <t>Comparativa_defectos_2018_vs_2024 + Defectos_procesales_SV_CSJA</t>
        </is>
      </c>
      <c r="C18" s="39" t="inlineStr">
        <is>
          <t>Comparativa_defectos_2018_vs_2024</t>
        </is>
      </c>
      <c r="D18" s="39" t="n">
        <v>9</v>
      </c>
      <c r="E18" s="39" t="inlineStr">
        <is>
          <t>8</t>
        </is>
      </c>
      <c r="F18" s="39" t="n">
        <v>0</v>
      </c>
    </row>
    <row r="19" ht="21.75" customHeight="1">
      <c r="A19" s="39" t="inlineStr">
        <is>
          <t>01535-2022</t>
        </is>
      </c>
      <c r="B19" s="39" t="inlineStr">
        <is>
          <t>Comparativa_defectos_2018_vs_2024 + Defectos_procesales_SV_CSJA</t>
        </is>
      </c>
      <c r="C19" s="39" t="inlineStr">
        <is>
          <t>Comparativa_defectos_2018_vs_2024</t>
        </is>
      </c>
      <c r="D19" s="39" t="n">
        <v>10</v>
      </c>
      <c r="E19" s="39" t="inlineStr">
        <is>
          <t>9</t>
        </is>
      </c>
      <c r="F19" s="39" t="n">
        <v>0</v>
      </c>
    </row>
    <row r="20" ht="21.75" customHeight="1">
      <c r="A20" s="39" t="inlineStr">
        <is>
          <t>01647-2019</t>
        </is>
      </c>
      <c r="B20" s="39" t="inlineStr">
        <is>
          <t>Comparativa_defectos_2018_vs_2024 + Defectos_procesales_SV_CSJA</t>
        </is>
      </c>
      <c r="C20" s="39" t="inlineStr">
        <is>
          <t>Comparativa_defectos_2018_vs_2024</t>
        </is>
      </c>
      <c r="D20" s="39" t="n">
        <v>10</v>
      </c>
      <c r="E20" s="39" t="inlineStr">
        <is>
          <t>9</t>
        </is>
      </c>
      <c r="F20" s="39" t="n">
        <v>0</v>
      </c>
    </row>
    <row r="21" ht="21.75" customHeight="1">
      <c r="A21" s="39" t="inlineStr">
        <is>
          <t>01650-2023</t>
        </is>
      </c>
      <c r="B21" s="39" t="inlineStr">
        <is>
          <t>Comparativa_defectos_2018_vs_2024 + Defectos_procesales_SV_CSJA</t>
        </is>
      </c>
      <c r="C21" s="39" t="inlineStr">
        <is>
          <t>Comparativa_defectos_2018_vs_2024</t>
        </is>
      </c>
      <c r="D21" s="39" t="n">
        <v>7</v>
      </c>
      <c r="E21" s="39" t="inlineStr">
        <is>
          <t>7</t>
        </is>
      </c>
      <c r="F21" s="39" t="n">
        <v>0</v>
      </c>
    </row>
    <row r="22" ht="21.75" customHeight="1">
      <c r="A22" s="39" t="inlineStr">
        <is>
          <t>01734-2017</t>
        </is>
      </c>
      <c r="B22" s="39" t="inlineStr">
        <is>
          <t>Comparativa_defectos_2018_vs_2024 + Defectos_procesales_SV_CSJA</t>
        </is>
      </c>
      <c r="C22" s="39" t="inlineStr">
        <is>
          <t>Comparativa_defectos_2018_vs_2024</t>
        </is>
      </c>
      <c r="D22" s="39" t="n">
        <v>10</v>
      </c>
      <c r="E22" s="39" t="inlineStr">
        <is>
          <t>8</t>
        </is>
      </c>
      <c r="F22" s="39" t="n">
        <v>0</v>
      </c>
    </row>
    <row r="23" ht="21.75" customHeight="1">
      <c r="A23" s="39" t="inlineStr">
        <is>
          <t>01835-2024</t>
        </is>
      </c>
      <c r="B23" s="39" t="inlineStr">
        <is>
          <t>Comparativa_defectos_2018_vs_2024 + Defectos_procesales_SV_CSJA</t>
        </is>
      </c>
      <c r="C23" s="39" t="inlineStr">
        <is>
          <t>Comparativa_defectos_2018_vs_2024</t>
        </is>
      </c>
      <c r="D23" s="39" t="n">
        <v>8</v>
      </c>
      <c r="E23" s="39" t="inlineStr">
        <is>
          <t>8</t>
        </is>
      </c>
      <c r="F23" s="39" t="n">
        <v>0</v>
      </c>
    </row>
    <row r="24" ht="21.75" customHeight="1">
      <c r="A24" s="39" t="inlineStr">
        <is>
          <t>01879-2022</t>
        </is>
      </c>
      <c r="B24" s="39" t="inlineStr">
        <is>
          <t>Comparativa_defectos_2018_vs_2024 + Defectos_procesales_SV_CSJA</t>
        </is>
      </c>
      <c r="C24" s="39" t="inlineStr">
        <is>
          <t>Comparativa_defectos_2018_vs_2024</t>
        </is>
      </c>
      <c r="D24" s="39" t="n">
        <v>10</v>
      </c>
      <c r="E24" s="39" t="inlineStr">
        <is>
          <t>8</t>
        </is>
      </c>
      <c r="F24" s="39" t="n">
        <v>0</v>
      </c>
    </row>
    <row r="25" ht="21.75" customHeight="1">
      <c r="A25" s="39" t="inlineStr">
        <is>
          <t>01888-2011</t>
        </is>
      </c>
      <c r="B25" s="39" t="inlineStr">
        <is>
          <t>Comparativa_defectos_2018_vs_2024 + Defectos_procesales_SV_CSJA</t>
        </is>
      </c>
      <c r="C25" s="39" t="inlineStr">
        <is>
          <t>Comparativa_defectos_2018_vs_2024</t>
        </is>
      </c>
      <c r="D25" s="39" t="n">
        <v>10</v>
      </c>
      <c r="E25" s="39" t="inlineStr">
        <is>
          <t>9</t>
        </is>
      </c>
      <c r="F25" s="39" t="n">
        <v>1</v>
      </c>
    </row>
    <row r="26" ht="21.75" customHeight="1">
      <c r="A26" s="39" t="inlineStr">
        <is>
          <t>01946-2016</t>
        </is>
      </c>
      <c r="B26" s="39" t="inlineStr">
        <is>
          <t>Comparativa_defectos_2018_vs_2024 + Defectos_procesales_SV_CSJA</t>
        </is>
      </c>
      <c r="C26" s="39" t="inlineStr">
        <is>
          <t>Comparativa_defectos_2018_vs_2024</t>
        </is>
      </c>
      <c r="D26" s="39" t="n">
        <v>8</v>
      </c>
      <c r="E26" s="39" t="inlineStr">
        <is>
          <t>8</t>
        </is>
      </c>
      <c r="F26" s="39" t="n">
        <v>0</v>
      </c>
    </row>
    <row r="27" ht="21.75" customHeight="1">
      <c r="A27" s="39" t="inlineStr">
        <is>
          <t>02371-2021</t>
        </is>
      </c>
      <c r="B27" s="39" t="inlineStr">
        <is>
          <t>Comparativa_defectos_2018_vs_2024 + Defectos_procesales_SV_CSJA</t>
        </is>
      </c>
      <c r="C27" s="39" t="inlineStr">
        <is>
          <t>Comparativa_defectos_2018_vs_2024</t>
        </is>
      </c>
      <c r="D27" s="39" t="n">
        <v>7</v>
      </c>
      <c r="E27" s="39" t="inlineStr">
        <is>
          <t>7</t>
        </is>
      </c>
      <c r="F27" s="39" t="n">
        <v>0</v>
      </c>
    </row>
    <row r="28" ht="21.75" customHeight="1">
      <c r="A28" s="39" t="inlineStr">
        <is>
          <t>02505-2009</t>
        </is>
      </c>
      <c r="B28" s="39" t="inlineStr">
        <is>
          <t>Comparativa_defectos_2018_vs_2024 + Defectos_procesales_SV_CSJA</t>
        </is>
      </c>
      <c r="C28" s="39" t="inlineStr">
        <is>
          <t>Comparativa_defectos_2018_vs_2024</t>
        </is>
      </c>
      <c r="D28" s="39" t="n">
        <v>12</v>
      </c>
      <c r="E28" s="39" t="inlineStr">
        <is>
          <t>11</t>
        </is>
      </c>
      <c r="F28" s="39" t="n">
        <v>0</v>
      </c>
    </row>
    <row r="29" ht="21.75" customHeight="1">
      <c r="A29" s="39" t="inlineStr">
        <is>
          <t>02635-2019</t>
        </is>
      </c>
      <c r="B29" s="39" t="inlineStr">
        <is>
          <t>Comparativa_defectos_2018_vs_2024 + Defectos_procesales_SV_CSJA</t>
        </is>
      </c>
      <c r="C29" s="39" t="inlineStr">
        <is>
          <t>Comparativa_defectos_2018_vs_2024</t>
        </is>
      </c>
      <c r="D29" s="39" t="n">
        <v>10</v>
      </c>
      <c r="E29" s="39" t="inlineStr">
        <is>
          <t>8</t>
        </is>
      </c>
      <c r="F29" s="39" t="n">
        <v>0</v>
      </c>
    </row>
    <row r="30" ht="21.75" customHeight="1">
      <c r="A30" s="39" t="inlineStr">
        <is>
          <t>02641-2010</t>
        </is>
      </c>
      <c r="B30" s="39" t="inlineStr">
        <is>
          <t>Comparativa_defectos_2018_vs_2024 + Defectos_procesales_SV_CSJA</t>
        </is>
      </c>
      <c r="C30" s="39" t="inlineStr">
        <is>
          <t>Comparativa_defectos_2018_vs_2024</t>
        </is>
      </c>
      <c r="D30" s="39" t="n">
        <v>10</v>
      </c>
      <c r="E30" s="39" t="inlineStr">
        <is>
          <t>10</t>
        </is>
      </c>
      <c r="F30" s="39" t="n">
        <v>0</v>
      </c>
    </row>
    <row r="31" ht="21.75" customHeight="1">
      <c r="A31" s="39" t="inlineStr">
        <is>
          <t>02706-2015</t>
        </is>
      </c>
      <c r="B31" s="39" t="inlineStr">
        <is>
          <t>Comparativa_defectos_2018_vs_2024 + Defectos_procesales_SV_CSJA</t>
        </is>
      </c>
      <c r="C31" s="39" t="inlineStr">
        <is>
          <t>Comparativa_defectos_2018_vs_2024</t>
        </is>
      </c>
      <c r="D31" s="39" t="n">
        <v>10</v>
      </c>
      <c r="E31" s="39" t="inlineStr">
        <is>
          <t>10</t>
        </is>
      </c>
      <c r="F31" s="39" t="n">
        <v>0</v>
      </c>
    </row>
    <row r="32" ht="21.75" customHeight="1">
      <c r="A32" s="39" t="inlineStr">
        <is>
          <t>02814-2015</t>
        </is>
      </c>
      <c r="B32" s="39" t="inlineStr">
        <is>
          <t>Comparativa_defectos_2018_vs_2024 + Defectos_procesales_SV_CSJA</t>
        </is>
      </c>
      <c r="C32" s="39" t="inlineStr">
        <is>
          <t>Comparativa_defectos_2018_vs_2024</t>
        </is>
      </c>
      <c r="D32" s="39" t="n">
        <v>9</v>
      </c>
      <c r="E32" s="39" t="inlineStr">
        <is>
          <t>8</t>
        </is>
      </c>
      <c r="F32" s="39" t="n">
        <v>0</v>
      </c>
    </row>
    <row r="33" ht="21.75" customHeight="1">
      <c r="A33" s="39" t="inlineStr">
        <is>
          <t>02943-2016</t>
        </is>
      </c>
      <c r="B33" s="39" t="inlineStr">
        <is>
          <t>Comparativa_defectos_2018_vs_2024 + Defectos_procesales_SV_CSJA</t>
        </is>
      </c>
      <c r="C33" s="39" t="inlineStr">
        <is>
          <t>Comparativa_defectos_2018_vs_2024</t>
        </is>
      </c>
      <c r="D33" s="39" t="n">
        <v>10</v>
      </c>
      <c r="E33" s="39" t="inlineStr">
        <is>
          <t>9</t>
        </is>
      </c>
      <c r="F33" s="39" t="n">
        <v>0</v>
      </c>
    </row>
    <row r="34" ht="21.75" customHeight="1">
      <c r="A34" s="39" t="inlineStr">
        <is>
          <t>03228-2013</t>
        </is>
      </c>
      <c r="B34" s="39" t="inlineStr">
        <is>
          <t>Comparativa_defectos_2018_vs_2024 + Defectos_procesales_SV_CSJA</t>
        </is>
      </c>
      <c r="C34" s="39" t="inlineStr">
        <is>
          <t>Comparativa_defectos_2018_vs_2024</t>
        </is>
      </c>
      <c r="D34" s="39" t="n">
        <v>13</v>
      </c>
      <c r="E34" s="39" t="inlineStr">
        <is>
          <t>10</t>
        </is>
      </c>
      <c r="F34" s="39" t="n">
        <v>0</v>
      </c>
    </row>
    <row r="35" ht="21.75" customHeight="1">
      <c r="A35" s="39" t="inlineStr">
        <is>
          <t>03393-2017</t>
        </is>
      </c>
      <c r="B35" s="39" t="inlineStr">
        <is>
          <t>Comparativa_defectos_2018_vs_2024 + Defectos_procesales_SV_CSJA</t>
        </is>
      </c>
      <c r="C35" s="39" t="inlineStr">
        <is>
          <t>Comparativa_defectos_2018_vs_2024</t>
        </is>
      </c>
      <c r="D35" s="39" t="n">
        <v>10</v>
      </c>
      <c r="E35" s="39" t="inlineStr">
        <is>
          <t>10</t>
        </is>
      </c>
      <c r="F35" s="39" t="n">
        <v>0</v>
      </c>
    </row>
    <row r="36" ht="21.75" customHeight="1">
      <c r="A36" s="39" t="inlineStr">
        <is>
          <t>03566-2011</t>
        </is>
      </c>
      <c r="B36" s="39" t="inlineStr">
        <is>
          <t>Comparativa_defectos_2018_vs_2024 + Defectos_procesales_SV_CSJA</t>
        </is>
      </c>
      <c r="C36" s="39" t="inlineStr">
        <is>
          <t>Comparativa_defectos_2018_vs_2024</t>
        </is>
      </c>
      <c r="D36" s="39" t="n">
        <v>9</v>
      </c>
      <c r="E36" s="39" t="inlineStr">
        <is>
          <t>9</t>
        </is>
      </c>
      <c r="F36" s="39" t="n">
        <v>0</v>
      </c>
    </row>
    <row r="37" ht="21.75" customHeight="1">
      <c r="A37" s="39" t="inlineStr">
        <is>
          <t>03672-2013</t>
        </is>
      </c>
      <c r="B37" s="39" t="inlineStr">
        <is>
          <t>Comparativa_defectos_2018_vs_2024 + Defectos_procesales_SV_CSJA</t>
        </is>
      </c>
      <c r="C37" s="39" t="inlineStr">
        <is>
          <t>Comparativa_defectos_2018_vs_2024</t>
        </is>
      </c>
      <c r="D37" s="39" t="n">
        <v>9</v>
      </c>
      <c r="E37" s="39" t="inlineStr">
        <is>
          <t>8</t>
        </is>
      </c>
      <c r="F37" s="39" t="n">
        <v>0</v>
      </c>
    </row>
    <row r="38" ht="21.75" customHeight="1">
      <c r="A38" s="39" t="inlineStr">
        <is>
          <t>03701-2023</t>
        </is>
      </c>
      <c r="B38" s="39" t="inlineStr">
        <is>
          <t>Comparativa_defectos_2018_vs_2024 + Defectos_procesales_SV_CSJA</t>
        </is>
      </c>
      <c r="C38" s="39" t="inlineStr">
        <is>
          <t>Comparativa_defectos_2018_vs_2024</t>
        </is>
      </c>
      <c r="D38" s="39" t="n">
        <v>10</v>
      </c>
      <c r="E38" s="39" t="inlineStr">
        <is>
          <t>8</t>
        </is>
      </c>
      <c r="F38" s="39" t="n">
        <v>0</v>
      </c>
    </row>
    <row r="39" ht="21.75" customHeight="1">
      <c r="A39" s="39" t="inlineStr">
        <is>
          <t>04008-2010</t>
        </is>
      </c>
      <c r="B39" s="39" t="inlineStr">
        <is>
          <t>Comparativa_defectos_2018_vs_2024 + Defectos_procesales_SV_CSJA</t>
        </is>
      </c>
      <c r="C39" s="39" t="inlineStr">
        <is>
          <t>Comparativa_defectos_2018_vs_2024</t>
        </is>
      </c>
      <c r="D39" s="39" t="n">
        <v>10</v>
      </c>
      <c r="E39" s="39" t="inlineStr">
        <is>
          <t>10</t>
        </is>
      </c>
      <c r="F39" s="39" t="n">
        <v>0</v>
      </c>
    </row>
    <row r="40" ht="21.75" customHeight="1">
      <c r="A40" s="39" t="inlineStr">
        <is>
          <t>04040-2015</t>
        </is>
      </c>
      <c r="B40" s="39" t="inlineStr">
        <is>
          <t>Comparativa_defectos_2018_vs_2024 + Defectos_procesales_SV_CSJA</t>
        </is>
      </c>
      <c r="C40" s="39" t="inlineStr">
        <is>
          <t>Comparativa_defectos_2018_vs_2024</t>
        </is>
      </c>
      <c r="D40" s="39" t="n">
        <v>10</v>
      </c>
      <c r="E40" s="39" t="inlineStr">
        <is>
          <t>9</t>
        </is>
      </c>
      <c r="F40" s="39" t="n">
        <v>0</v>
      </c>
    </row>
    <row r="41" ht="21.75" customHeight="1">
      <c r="A41" s="39" t="inlineStr">
        <is>
          <t>04126-2021</t>
        </is>
      </c>
      <c r="B41" s="39" t="inlineStr">
        <is>
          <t>Comparativa_defectos_2018_vs_2024 + Defectos_procesales_SV_CSJA</t>
        </is>
      </c>
      <c r="C41" s="39" t="inlineStr">
        <is>
          <t>Comparativa_defectos_2018_vs_2024</t>
        </is>
      </c>
      <c r="D41" s="39" t="n">
        <v>10</v>
      </c>
      <c r="E41" s="39" t="inlineStr">
        <is>
          <t>9</t>
        </is>
      </c>
      <c r="F41" s="39" t="n">
        <v>0</v>
      </c>
    </row>
    <row r="42" ht="21.75" customHeight="1">
      <c r="A42" s="39" t="inlineStr">
        <is>
          <t>04275-2015</t>
        </is>
      </c>
      <c r="B42" s="39" t="inlineStr">
        <is>
          <t>Comparativa_defectos_2018_vs_2024 + Defectos_procesales_SV_CSJA</t>
        </is>
      </c>
      <c r="C42" s="39" t="inlineStr">
        <is>
          <t>Comparativa_defectos_2018_vs_2024</t>
        </is>
      </c>
      <c r="D42" s="39" t="n">
        <v>11</v>
      </c>
      <c r="E42" s="39" t="inlineStr">
        <is>
          <t>9</t>
        </is>
      </c>
      <c r="F42" s="39" t="n">
        <v>0</v>
      </c>
    </row>
    <row r="43" ht="21.75" customHeight="1">
      <c r="A43" s="39" t="inlineStr">
        <is>
          <t>04280-2017</t>
        </is>
      </c>
      <c r="B43" s="39" t="inlineStr">
        <is>
          <t>Comparativa_defectos_2018_vs_2024 + Defectos_procesales_SV_CSJA</t>
        </is>
      </c>
      <c r="C43" s="39" t="inlineStr">
        <is>
          <t>Comparativa_defectos_2018_vs_2024</t>
        </is>
      </c>
      <c r="D43" s="39" t="n">
        <v>10</v>
      </c>
      <c r="E43" s="39" t="inlineStr">
        <is>
          <t>9</t>
        </is>
      </c>
      <c r="F43" s="39" t="n">
        <v>0</v>
      </c>
    </row>
    <row r="44" ht="21.75" customHeight="1">
      <c r="A44" s="39" t="inlineStr">
        <is>
          <t>04352-2014</t>
        </is>
      </c>
      <c r="B44" s="39" t="inlineStr">
        <is>
          <t>Comparativa_defectos_2018_vs_2024 + Defectos_procesales_SV_CSJA</t>
        </is>
      </c>
      <c r="C44" s="39" t="inlineStr">
        <is>
          <t>Comparativa_defectos_2018_vs_2024</t>
        </is>
      </c>
      <c r="D44" s="39" t="n">
        <v>8</v>
      </c>
      <c r="E44" s="39" t="inlineStr">
        <is>
          <t>8</t>
        </is>
      </c>
      <c r="F44" s="39" t="n">
        <v>0</v>
      </c>
    </row>
    <row r="45" ht="21.75" customHeight="1">
      <c r="A45" s="39" t="inlineStr">
        <is>
          <t>04420-2015</t>
        </is>
      </c>
      <c r="B45" s="39" t="inlineStr">
        <is>
          <t>Comparativa_defectos_2018_vs_2024 + Defectos_procesales_SV_CSJA</t>
        </is>
      </c>
      <c r="C45" s="39" t="inlineStr">
        <is>
          <t>Comparativa_defectos_2018_vs_2024</t>
        </is>
      </c>
      <c r="D45" s="39" t="n">
        <v>9</v>
      </c>
      <c r="E45" s="39" t="inlineStr">
        <is>
          <t>8</t>
        </is>
      </c>
      <c r="F45" s="39" t="n">
        <v>0</v>
      </c>
    </row>
    <row r="46" ht="21.75" customHeight="1">
      <c r="A46" s="39" t="inlineStr">
        <is>
          <t>04528-2010</t>
        </is>
      </c>
      <c r="B46" s="39" t="inlineStr">
        <is>
          <t>Comparativa_defectos_2018_vs_2024 + Defectos_procesales_SV_CSJA</t>
        </is>
      </c>
      <c r="C46" s="39" t="inlineStr">
        <is>
          <t>Comparativa_defectos_2018_vs_2024</t>
        </is>
      </c>
      <c r="D46" s="39" t="n">
        <v>8</v>
      </c>
      <c r="E46" s="39" t="inlineStr">
        <is>
          <t>8</t>
        </is>
      </c>
      <c r="F46" s="39" t="n">
        <v>0</v>
      </c>
    </row>
    <row r="47" ht="21.75" customHeight="1">
      <c r="A47" s="39" t="inlineStr">
        <is>
          <t>04605-2022</t>
        </is>
      </c>
      <c r="B47" s="39" t="inlineStr">
        <is>
          <t>Comparativa_defectos_2018_vs_2024 + Defectos_procesales_SV_CSJA</t>
        </is>
      </c>
      <c r="C47" s="39" t="inlineStr">
        <is>
          <t>Comparativa_defectos_2018_vs_2024</t>
        </is>
      </c>
      <c r="D47" s="39" t="n">
        <v>9</v>
      </c>
      <c r="E47" s="39" t="inlineStr">
        <is>
          <t>9</t>
        </is>
      </c>
      <c r="F47" s="39" t="n">
        <v>0</v>
      </c>
    </row>
    <row r="48" ht="21.75" customHeight="1">
      <c r="A48" s="39" t="inlineStr">
        <is>
          <t>04711-2010</t>
        </is>
      </c>
      <c r="B48" s="39" t="inlineStr">
        <is>
          <t>Comparativa_defectos_2018_vs_2024 + Defectos_procesales_SV_CSJA</t>
        </is>
      </c>
      <c r="C48" s="39" t="inlineStr">
        <is>
          <t>Comparativa_defectos_2018_vs_2024</t>
        </is>
      </c>
      <c r="D48" s="39" t="n">
        <v>10</v>
      </c>
      <c r="E48" s="39" t="inlineStr">
        <is>
          <t>8</t>
        </is>
      </c>
      <c r="F48" s="39" t="n">
        <v>0</v>
      </c>
    </row>
    <row r="49" ht="21.75" customHeight="1">
      <c r="A49" s="39" t="inlineStr">
        <is>
          <t>05012-2008</t>
        </is>
      </c>
      <c r="B49" s="39" t="inlineStr">
        <is>
          <t>Comparativa_defectos_2018_vs_2024 + Defectos_procesales_SV_CSJA</t>
        </is>
      </c>
      <c r="C49" s="39" t="inlineStr">
        <is>
          <t>Comparativa_defectos_2018_vs_2024</t>
        </is>
      </c>
      <c r="D49" s="39" t="n">
        <v>10</v>
      </c>
      <c r="E49" s="39" t="inlineStr">
        <is>
          <t>8</t>
        </is>
      </c>
      <c r="F49" s="39" t="n">
        <v>0</v>
      </c>
    </row>
    <row r="50" ht="21.75" customHeight="1">
      <c r="A50" s="39" t="inlineStr">
        <is>
          <t>05381-2009</t>
        </is>
      </c>
      <c r="B50" s="39" t="inlineStr">
        <is>
          <t>Comparativa_defectos_2018_vs_2024 + Defectos_procesales_SV_CSJA</t>
        </is>
      </c>
      <c r="C50" s="39" t="inlineStr">
        <is>
          <t>Comparativa_defectos_2018_vs_2024</t>
        </is>
      </c>
      <c r="D50" s="39" t="n">
        <v>10</v>
      </c>
      <c r="E50" s="39" t="inlineStr">
        <is>
          <t>9</t>
        </is>
      </c>
      <c r="F50" s="39" t="n">
        <v>0</v>
      </c>
    </row>
    <row r="51" ht="21.75" customHeight="1">
      <c r="A51" s="39" t="inlineStr">
        <is>
          <t>05487-2013</t>
        </is>
      </c>
      <c r="B51" s="39" t="inlineStr">
        <is>
          <t>Comparativa_defectos_2018_vs_2024 + Defectos_procesales_SV_CSJA</t>
        </is>
      </c>
      <c r="C51" s="39" t="inlineStr">
        <is>
          <t>Comparativa_defectos_2018_vs_2024</t>
        </is>
      </c>
      <c r="D51" s="39" t="n">
        <v>11</v>
      </c>
      <c r="E51" s="39" t="inlineStr">
        <is>
          <t>9</t>
        </is>
      </c>
      <c r="F51" s="39" t="n">
        <v>0</v>
      </c>
    </row>
    <row r="52" ht="21.75" customHeight="1">
      <c r="A52" s="39" t="inlineStr">
        <is>
          <t>05576-2021</t>
        </is>
      </c>
      <c r="B52" s="39" t="inlineStr">
        <is>
          <t>Comparativa_defectos_2018_vs_2024 + Defectos_procesales_SV_CSJA</t>
        </is>
      </c>
      <c r="C52" s="39" t="inlineStr">
        <is>
          <t>Comparativa_defectos_2018_vs_2024</t>
        </is>
      </c>
      <c r="D52" s="39" t="n">
        <v>8</v>
      </c>
      <c r="E52" s="39" t="inlineStr">
        <is>
          <t>8</t>
        </is>
      </c>
      <c r="F52" s="39" t="n">
        <v>0</v>
      </c>
    </row>
    <row r="53" ht="21.75" customHeight="1">
      <c r="A53" s="39" t="inlineStr">
        <is>
          <t>06071-2006</t>
        </is>
      </c>
      <c r="B53" s="39" t="inlineStr">
        <is>
          <t>Comparativa_defectos_2018_vs_2024 + Defectos_procesales_SV_CSJA</t>
        </is>
      </c>
      <c r="C53" s="39" t="inlineStr">
        <is>
          <t>Comparativa_defectos_2018_vs_2024</t>
        </is>
      </c>
      <c r="D53" s="39" t="n">
        <v>10</v>
      </c>
      <c r="E53" s="39" t="inlineStr">
        <is>
          <t>8</t>
        </is>
      </c>
      <c r="F53" s="39" t="n">
        <v>0</v>
      </c>
    </row>
    <row r="54" ht="21.75" customHeight="1">
      <c r="A54" s="39" t="inlineStr">
        <is>
          <t>06175-2022</t>
        </is>
      </c>
      <c r="B54" s="39" t="inlineStr">
        <is>
          <t>Comparativa_defectos_2018_vs_2024 + Defectos_procesales_SV_CSJA</t>
        </is>
      </c>
      <c r="C54" s="39" t="inlineStr">
        <is>
          <t>Comparativa_defectos_2018_vs_2024</t>
        </is>
      </c>
      <c r="D54" s="39" t="n">
        <v>8</v>
      </c>
      <c r="E54" s="39" t="inlineStr">
        <is>
          <t>8</t>
        </is>
      </c>
      <c r="F54" s="39" t="n">
        <v>0</v>
      </c>
    </row>
    <row r="55" ht="21.75" customHeight="1">
      <c r="A55" s="39" t="inlineStr">
        <is>
          <t>06374-2019</t>
        </is>
      </c>
      <c r="B55" s="39" t="inlineStr">
        <is>
          <t>Comparativa_defectos_2018_vs_2024 + Defectos_procesales_SV_CSJA</t>
        </is>
      </c>
      <c r="C55" s="39" t="inlineStr">
        <is>
          <t>Comparativa_defectos_2018_vs_2024</t>
        </is>
      </c>
      <c r="D55" s="39" t="n">
        <v>10</v>
      </c>
      <c r="E55" s="39" t="inlineStr">
        <is>
          <t>9</t>
        </is>
      </c>
      <c r="F55" s="39" t="n">
        <v>0</v>
      </c>
    </row>
    <row r="56" ht="21.75" customHeight="1">
      <c r="A56" s="39" t="inlineStr">
        <is>
          <t>06402-2022</t>
        </is>
      </c>
      <c r="B56" s="39" t="inlineStr">
        <is>
          <t>Comparativa_defectos_2018_vs_2024 + Defectos_procesales_SV_CSJA</t>
        </is>
      </c>
      <c r="C56" s="39" t="inlineStr">
        <is>
          <t>Comparativa_defectos_2018_vs_2024</t>
        </is>
      </c>
      <c r="D56" s="39" t="n">
        <v>11</v>
      </c>
      <c r="E56" s="39" t="inlineStr">
        <is>
          <t>10</t>
        </is>
      </c>
      <c r="F56" s="39" t="n">
        <v>0</v>
      </c>
    </row>
    <row r="57" ht="21.75" customHeight="1">
      <c r="A57" s="39" t="inlineStr">
        <is>
          <t>06607-2021</t>
        </is>
      </c>
      <c r="B57" s="39" t="inlineStr">
        <is>
          <t>Comparativa_defectos_2018_vs_2024 + Defectos_procesales_SV_CSJA</t>
        </is>
      </c>
      <c r="C57" s="39" t="inlineStr">
        <is>
          <t>Comparativa_defectos_2018_vs_2024</t>
        </is>
      </c>
      <c r="D57" s="39" t="n">
        <v>11</v>
      </c>
      <c r="E57" s="39" t="inlineStr">
        <is>
          <t>10</t>
        </is>
      </c>
      <c r="F57" s="39" t="n">
        <v>0</v>
      </c>
    </row>
    <row r="58" ht="21.75" customHeight="1">
      <c r="A58" s="39" t="inlineStr">
        <is>
          <t>06842-2014</t>
        </is>
      </c>
      <c r="B58" s="39" t="inlineStr">
        <is>
          <t>Comparativa_defectos_2018_vs_2024 + Defectos_procesales_SV_CSJA</t>
        </is>
      </c>
      <c r="C58" s="39" t="inlineStr">
        <is>
          <t>Comparativa_defectos_2018_vs_2024</t>
        </is>
      </c>
      <c r="D58" s="39" t="n">
        <v>8</v>
      </c>
      <c r="E58" s="39" t="inlineStr">
        <is>
          <t>8</t>
        </is>
      </c>
      <c r="F58" s="39" t="n">
        <v>0</v>
      </c>
    </row>
    <row r="59" ht="21.75" customHeight="1">
      <c r="A59" s="39" t="inlineStr">
        <is>
          <t>07480-2014</t>
        </is>
      </c>
      <c r="B59" s="39" t="inlineStr">
        <is>
          <t>Comparativa_defectos_2018_vs_2024 + Defectos_procesales_SV_CSJA</t>
        </is>
      </c>
      <c r="C59" s="39" t="inlineStr">
        <is>
          <t>Comparativa_defectos_2018_vs_2024</t>
        </is>
      </c>
      <c r="D59" s="39" t="n">
        <v>11</v>
      </c>
      <c r="E59" s="39" t="inlineStr">
        <is>
          <t>10</t>
        </is>
      </c>
      <c r="F59" s="39" t="n">
        <v>0</v>
      </c>
    </row>
    <row r="60" ht="21.75" customHeight="1">
      <c r="A60" s="39" t="inlineStr">
        <is>
          <t>08092-2014</t>
        </is>
      </c>
      <c r="B60" s="39" t="inlineStr">
        <is>
          <t>Comparativa_defectos_2018_vs_2024 + Defectos_procesales_SV_CSJA</t>
        </is>
      </c>
      <c r="C60" s="39" t="inlineStr">
        <is>
          <t>Comparativa_defectos_2018_vs_2024</t>
        </is>
      </c>
      <c r="D60" s="39" t="n">
        <v>11</v>
      </c>
      <c r="E60" s="39" t="inlineStr">
        <is>
          <t>9</t>
        </is>
      </c>
      <c r="F60" s="39" t="n">
        <v>0</v>
      </c>
    </row>
    <row r="61" ht="15" customHeight="1">
      <c r="A61" s="39" t="inlineStr">
        <is>
          <t>01302-2015</t>
        </is>
      </c>
      <c r="B61" s="39" t="inlineStr">
        <is>
          <t>documento_unificadoABR18_SV</t>
        </is>
      </c>
      <c r="C61" s="39" t="inlineStr">
        <is>
          <t>documento_unificadoABR18_SV</t>
        </is>
      </c>
      <c r="D61" s="39" t="n">
        <v>8</v>
      </c>
      <c r="E61" s="39" t="inlineStr">
        <is>
          <t>único</t>
        </is>
      </c>
      <c r="F61" s="39" t="n">
        <v>0</v>
      </c>
    </row>
    <row r="62" ht="15" customHeight="1">
      <c r="A62" s="39" t="inlineStr">
        <is>
          <t>01530-2015</t>
        </is>
      </c>
      <c r="B62" s="39" t="inlineStr">
        <is>
          <t>documento_unificadoABR18_SV</t>
        </is>
      </c>
      <c r="C62" s="39" t="inlineStr">
        <is>
          <t>documento_unificadoABR18_SV</t>
        </is>
      </c>
      <c r="D62" s="39" t="n">
        <v>8</v>
      </c>
      <c r="E62" s="39" t="inlineStr">
        <is>
          <t>único</t>
        </is>
      </c>
      <c r="F62" s="39" t="n">
        <v>0</v>
      </c>
    </row>
    <row r="63" ht="15" customHeight="1">
      <c r="A63" s="39" t="inlineStr">
        <is>
          <t>01612-2015</t>
        </is>
      </c>
      <c r="B63" s="39" t="inlineStr">
        <is>
          <t>documento_unificadoABR18_SV</t>
        </is>
      </c>
      <c r="C63" s="39" t="inlineStr">
        <is>
          <t>documento_unificadoABR18_SV</t>
        </is>
      </c>
      <c r="D63" s="39" t="n">
        <v>8</v>
      </c>
      <c r="E63" s="39" t="inlineStr">
        <is>
          <t>único</t>
        </is>
      </c>
      <c r="F63" s="39" t="n">
        <v>0</v>
      </c>
    </row>
    <row r="64" ht="15" customHeight="1">
      <c r="A64" s="39" t="inlineStr">
        <is>
          <t>01763-2012</t>
        </is>
      </c>
      <c r="B64" s="39" t="inlineStr">
        <is>
          <t>documento_unificadoABR18_SV</t>
        </is>
      </c>
      <c r="C64" s="39" t="inlineStr">
        <is>
          <t>documento_unificadoABR18_SV</t>
        </is>
      </c>
      <c r="D64" s="39" t="n">
        <v>8</v>
      </c>
      <c r="E64" s="39" t="inlineStr">
        <is>
          <t>único</t>
        </is>
      </c>
      <c r="F64" s="39" t="n">
        <v>0</v>
      </c>
    </row>
    <row r="65" ht="15" customHeight="1">
      <c r="A65" s="39" t="inlineStr">
        <is>
          <t>01852-2016</t>
        </is>
      </c>
      <c r="B65" s="39" t="inlineStr">
        <is>
          <t>documento_unificadoABR18_SV</t>
        </is>
      </c>
      <c r="C65" s="39" t="inlineStr">
        <is>
          <t>documento_unificadoABR18_SV</t>
        </is>
      </c>
      <c r="D65" s="39" t="n">
        <v>8</v>
      </c>
      <c r="E65" s="39" t="inlineStr">
        <is>
          <t>único</t>
        </is>
      </c>
      <c r="F65" s="39" t="n">
        <v>0</v>
      </c>
    </row>
    <row r="66" ht="15" customHeight="1">
      <c r="A66" s="39" t="inlineStr">
        <is>
          <t>01922-2014</t>
        </is>
      </c>
      <c r="B66" s="39" t="inlineStr">
        <is>
          <t>documento_unificadoABR18_SV</t>
        </is>
      </c>
      <c r="C66" s="39" t="inlineStr">
        <is>
          <t>documento_unificadoABR18_SV</t>
        </is>
      </c>
      <c r="D66" s="39" t="n">
        <v>8</v>
      </c>
      <c r="E66" s="39" t="inlineStr">
        <is>
          <t>único</t>
        </is>
      </c>
      <c r="F66" s="39" t="n">
        <v>0</v>
      </c>
    </row>
    <row r="67" ht="15" customHeight="1">
      <c r="A67" s="39" t="inlineStr">
        <is>
          <t>02126-2011</t>
        </is>
      </c>
      <c r="B67" s="39" t="inlineStr">
        <is>
          <t>documento_unificadoABR18_SV</t>
        </is>
      </c>
      <c r="C67" s="39" t="inlineStr">
        <is>
          <t>documento_unificadoABR18_SV</t>
        </is>
      </c>
      <c r="D67" s="39" t="n">
        <v>8</v>
      </c>
      <c r="E67" s="39" t="inlineStr">
        <is>
          <t>único</t>
        </is>
      </c>
      <c r="F67" s="39" t="n">
        <v>0</v>
      </c>
    </row>
    <row r="68" ht="15" customHeight="1">
      <c r="A68" s="39" t="inlineStr">
        <is>
          <t>02412-2011</t>
        </is>
      </c>
      <c r="B68" s="39" t="inlineStr">
        <is>
          <t>documento_unificadoABR18_SV</t>
        </is>
      </c>
      <c r="C68" s="39" t="inlineStr">
        <is>
          <t>documento_unificadoABR18_SV</t>
        </is>
      </c>
      <c r="D68" s="39" t="n">
        <v>8</v>
      </c>
      <c r="E68" s="39" t="inlineStr">
        <is>
          <t>único</t>
        </is>
      </c>
      <c r="F68" s="39" t="n">
        <v>0</v>
      </c>
    </row>
    <row r="69" ht="15" customHeight="1">
      <c r="A69" s="39" t="inlineStr">
        <is>
          <t>02476-2012</t>
        </is>
      </c>
      <c r="B69" s="39" t="inlineStr">
        <is>
          <t>documento_unificadoABR18_SV</t>
        </is>
      </c>
      <c r="C69" s="39" t="inlineStr">
        <is>
          <t>documento_unificadoABR18_SV</t>
        </is>
      </c>
      <c r="D69" s="39" t="n">
        <v>8</v>
      </c>
      <c r="E69" s="39" t="inlineStr">
        <is>
          <t>único</t>
        </is>
      </c>
      <c r="F69" s="39" t="n">
        <v>0</v>
      </c>
    </row>
    <row r="70" ht="15" customHeight="1">
      <c r="A70" s="39" t="inlineStr">
        <is>
          <t>00025-2017</t>
        </is>
      </c>
      <c r="B70" s="39" t="inlineStr">
        <is>
          <t>documento_unificadoABR18_SV</t>
        </is>
      </c>
      <c r="C70" s="39" t="inlineStr">
        <is>
          <t>documento_unificadoABR18_SV</t>
        </is>
      </c>
      <c r="D70" s="39" t="n">
        <v>8</v>
      </c>
      <c r="E70" s="39" t="inlineStr">
        <is>
          <t>único</t>
        </is>
      </c>
      <c r="F70" s="39" t="n">
        <v>0</v>
      </c>
    </row>
    <row r="71" ht="15" customHeight="1">
      <c r="A71" s="39" t="inlineStr">
        <is>
          <t>02592-2010</t>
        </is>
      </c>
      <c r="B71" s="39" t="inlineStr">
        <is>
          <t>documento_unificadoABR18_SV</t>
        </is>
      </c>
      <c r="C71" s="39" t="inlineStr">
        <is>
          <t>documento_unificadoABR18_SV</t>
        </is>
      </c>
      <c r="D71" s="39" t="n">
        <v>8</v>
      </c>
      <c r="E71" s="39" t="inlineStr">
        <is>
          <t>único</t>
        </is>
      </c>
      <c r="F71" s="39" t="n">
        <v>0</v>
      </c>
    </row>
    <row r="72" ht="15" customHeight="1">
      <c r="A72" s="39" t="inlineStr">
        <is>
          <t>02676-2017</t>
        </is>
      </c>
      <c r="B72" s="39" t="inlineStr">
        <is>
          <t>documento_unificadoABR18_SV</t>
        </is>
      </c>
      <c r="C72" s="39" t="inlineStr">
        <is>
          <t>documento_unificadoABR18_SV</t>
        </is>
      </c>
      <c r="D72" s="39" t="n">
        <v>8</v>
      </c>
      <c r="E72" s="39" t="inlineStr">
        <is>
          <t>único</t>
        </is>
      </c>
      <c r="F72" s="39" t="n">
        <v>0</v>
      </c>
    </row>
    <row r="73" ht="15" customHeight="1">
      <c r="A73" s="39" t="inlineStr">
        <is>
          <t>03271-2016</t>
        </is>
      </c>
      <c r="B73" s="39" t="inlineStr">
        <is>
          <t>documento_unificadoABR18_SV</t>
        </is>
      </c>
      <c r="C73" s="39" t="inlineStr">
        <is>
          <t>documento_unificadoABR18_SV</t>
        </is>
      </c>
      <c r="D73" s="39" t="n">
        <v>8</v>
      </c>
      <c r="E73" s="39" t="inlineStr">
        <is>
          <t>único</t>
        </is>
      </c>
      <c r="F73" s="39" t="n">
        <v>0</v>
      </c>
    </row>
    <row r="74" ht="15" customHeight="1">
      <c r="A74" s="39" t="inlineStr">
        <is>
          <t>03379-2013</t>
        </is>
      </c>
      <c r="B74" s="39" t="inlineStr">
        <is>
          <t>documento_unificadoABR18_SV</t>
        </is>
      </c>
      <c r="C74" s="39" t="inlineStr">
        <is>
          <t>documento_unificadoABR18_SV</t>
        </is>
      </c>
      <c r="D74" s="39" t="n">
        <v>8</v>
      </c>
      <c r="E74" s="39" t="inlineStr">
        <is>
          <t>único</t>
        </is>
      </c>
      <c r="F74" s="39" t="n">
        <v>0</v>
      </c>
    </row>
    <row r="75" ht="15" customHeight="1">
      <c r="A75" s="39" t="inlineStr">
        <is>
          <t>03601-2017</t>
        </is>
      </c>
      <c r="B75" s="39" t="inlineStr">
        <is>
          <t>documento_unificadoABR18_SV</t>
        </is>
      </c>
      <c r="C75" s="39" t="inlineStr">
        <is>
          <t>documento_unificadoABR18_SV</t>
        </is>
      </c>
      <c r="D75" s="39" t="n">
        <v>8</v>
      </c>
      <c r="E75" s="39" t="inlineStr">
        <is>
          <t>único</t>
        </is>
      </c>
      <c r="F75" s="39" t="n">
        <v>0</v>
      </c>
    </row>
    <row r="76" ht="15" customHeight="1">
      <c r="A76" s="39" t="inlineStr">
        <is>
          <t>03656-2016</t>
        </is>
      </c>
      <c r="B76" s="39" t="inlineStr">
        <is>
          <t>documento_unificadoABR18_SV</t>
        </is>
      </c>
      <c r="C76" s="39" t="inlineStr">
        <is>
          <t>documento_unificadoABR18_SV</t>
        </is>
      </c>
      <c r="D76" s="39" t="n">
        <v>8</v>
      </c>
      <c r="E76" s="39" t="inlineStr">
        <is>
          <t>único</t>
        </is>
      </c>
      <c r="F76" s="39" t="n">
        <v>0</v>
      </c>
    </row>
    <row r="77" ht="15" customHeight="1">
      <c r="A77" s="39" t="inlineStr">
        <is>
          <t>03697-2014</t>
        </is>
      </c>
      <c r="B77" s="39" t="inlineStr">
        <is>
          <t>documento_unificadoABR18_SV</t>
        </is>
      </c>
      <c r="C77" s="39" t="inlineStr">
        <is>
          <t>documento_unificadoABR18_SV</t>
        </is>
      </c>
      <c r="D77" s="39" t="n">
        <v>8</v>
      </c>
      <c r="E77" s="39" t="inlineStr">
        <is>
          <t>único</t>
        </is>
      </c>
      <c r="F77" s="39" t="n">
        <v>0</v>
      </c>
    </row>
    <row r="78" ht="15" customHeight="1">
      <c r="A78" s="39" t="inlineStr">
        <is>
          <t>04246-2011</t>
        </is>
      </c>
      <c r="B78" s="39" t="inlineStr">
        <is>
          <t>documento_unificadoABR18_SV</t>
        </is>
      </c>
      <c r="C78" s="39" t="inlineStr">
        <is>
          <t>documento_unificadoABR18_SV</t>
        </is>
      </c>
      <c r="D78" s="39" t="n">
        <v>8</v>
      </c>
      <c r="E78" s="39" t="inlineStr">
        <is>
          <t>único</t>
        </is>
      </c>
      <c r="F78" s="39" t="n">
        <v>0</v>
      </c>
    </row>
    <row r="79" ht="15" customHeight="1">
      <c r="A79" s="39" t="inlineStr">
        <is>
          <t>00442-2016</t>
        </is>
      </c>
      <c r="B79" s="39" t="inlineStr">
        <is>
          <t>documento_unificadoABR18_SV</t>
        </is>
      </c>
      <c r="C79" s="39" t="inlineStr">
        <is>
          <t>documento_unificadoABR18_SV</t>
        </is>
      </c>
      <c r="D79" s="39" t="n">
        <v>8</v>
      </c>
      <c r="E79" s="39" t="inlineStr">
        <is>
          <t>único</t>
        </is>
      </c>
      <c r="F79" s="39" t="n">
        <v>0</v>
      </c>
    </row>
    <row r="80" ht="15" customHeight="1">
      <c r="A80" s="39" t="inlineStr">
        <is>
          <t>04422-2011</t>
        </is>
      </c>
      <c r="B80" s="39" t="inlineStr">
        <is>
          <t>documento_unificadoABR18_SV</t>
        </is>
      </c>
      <c r="C80" s="39" t="inlineStr">
        <is>
          <t>documento_unificadoABR18_SV</t>
        </is>
      </c>
      <c r="D80" s="39" t="n">
        <v>8</v>
      </c>
      <c r="E80" s="39" t="inlineStr">
        <is>
          <t>único</t>
        </is>
      </c>
      <c r="F80" s="39" t="n">
        <v>0</v>
      </c>
    </row>
    <row r="81" ht="15" customHeight="1">
      <c r="A81" s="39" t="inlineStr">
        <is>
          <t>04649-2010</t>
        </is>
      </c>
      <c r="B81" s="39" t="inlineStr">
        <is>
          <t>documento_unificadoABR18_SV</t>
        </is>
      </c>
      <c r="C81" s="39" t="inlineStr">
        <is>
          <t>documento_unificadoABR18_SV</t>
        </is>
      </c>
      <c r="D81" s="39" t="n">
        <v>8</v>
      </c>
      <c r="E81" s="39" t="inlineStr">
        <is>
          <t>único</t>
        </is>
      </c>
      <c r="F81" s="39" t="n">
        <v>0</v>
      </c>
    </row>
    <row r="82" ht="15" customHeight="1">
      <c r="A82" s="39" t="inlineStr">
        <is>
          <t>00051-2017</t>
        </is>
      </c>
      <c r="B82" s="39" t="inlineStr">
        <is>
          <t>documento_unificadoABR18_SV</t>
        </is>
      </c>
      <c r="C82" s="39" t="inlineStr">
        <is>
          <t>documento_unificadoABR18_SV</t>
        </is>
      </c>
      <c r="D82" s="39" t="n">
        <v>8</v>
      </c>
      <c r="E82" s="39" t="inlineStr">
        <is>
          <t>único</t>
        </is>
      </c>
      <c r="F82" s="39" t="n">
        <v>0</v>
      </c>
    </row>
    <row r="83" ht="15" customHeight="1">
      <c r="A83" s="39" t="inlineStr">
        <is>
          <t>05208-2014</t>
        </is>
      </c>
      <c r="B83" s="39" t="inlineStr">
        <is>
          <t>documento_unificadoABR18_SV</t>
        </is>
      </c>
      <c r="C83" s="39" t="inlineStr">
        <is>
          <t>documento_unificadoABR18_SV</t>
        </is>
      </c>
      <c r="D83" s="39" t="n">
        <v>8</v>
      </c>
      <c r="E83" s="39" t="inlineStr">
        <is>
          <t>único</t>
        </is>
      </c>
      <c r="F83" s="39" t="n">
        <v>0</v>
      </c>
    </row>
    <row r="84" ht="15" customHeight="1">
      <c r="A84" s="39" t="inlineStr">
        <is>
          <t>06617-2013</t>
        </is>
      </c>
      <c r="B84" s="39" t="inlineStr">
        <is>
          <t>documento_unificadoABR18_SV</t>
        </is>
      </c>
      <c r="C84" s="39" t="inlineStr">
        <is>
          <t>documento_unificadoABR18_SV</t>
        </is>
      </c>
      <c r="D84" s="39" t="n">
        <v>8</v>
      </c>
      <c r="E84" s="39" t="inlineStr">
        <is>
          <t>único</t>
        </is>
      </c>
      <c r="F84" s="39" t="n">
        <v>0</v>
      </c>
    </row>
    <row r="85" ht="15" customHeight="1">
      <c r="A85" s="39" t="inlineStr">
        <is>
          <t>07218-2014</t>
        </is>
      </c>
      <c r="B85" s="39" t="inlineStr">
        <is>
          <t>documento_unificadoABR18_SV</t>
        </is>
      </c>
      <c r="C85" s="39" t="inlineStr">
        <is>
          <t>documento_unificadoABR18_SV</t>
        </is>
      </c>
      <c r="D85" s="39" t="n">
        <v>8</v>
      </c>
      <c r="E85" s="39" t="inlineStr">
        <is>
          <t>único</t>
        </is>
      </c>
      <c r="F85" s="39" t="n">
        <v>0</v>
      </c>
    </row>
    <row r="86" ht="15" customHeight="1">
      <c r="A86" s="39" t="inlineStr">
        <is>
          <t>07394-2000</t>
        </is>
      </c>
      <c r="B86" s="39" t="inlineStr">
        <is>
          <t>documento_unificadoABR18_SV</t>
        </is>
      </c>
      <c r="C86" s="39" t="inlineStr">
        <is>
          <t>documento_unificadoABR18_SV</t>
        </is>
      </c>
      <c r="D86" s="39" t="n">
        <v>8</v>
      </c>
      <c r="E86" s="39" t="inlineStr">
        <is>
          <t>único</t>
        </is>
      </c>
      <c r="F86" s="39" t="n">
        <v>0</v>
      </c>
    </row>
    <row r="87" ht="15" customHeight="1">
      <c r="A87" s="39" t="inlineStr">
        <is>
          <t>08011-2014</t>
        </is>
      </c>
      <c r="B87" s="39" t="inlineStr">
        <is>
          <t>documento_unificadoABR18_SV</t>
        </is>
      </c>
      <c r="C87" s="39" t="inlineStr">
        <is>
          <t>documento_unificadoABR18_SV</t>
        </is>
      </c>
      <c r="D87" s="39" t="n">
        <v>8</v>
      </c>
      <c r="E87" s="39" t="inlineStr">
        <is>
          <t>único</t>
        </is>
      </c>
      <c r="F87" s="39" t="n">
        <v>0</v>
      </c>
    </row>
    <row r="88" ht="15" customHeight="1">
      <c r="A88" s="39" t="inlineStr">
        <is>
          <t>00925-2016</t>
        </is>
      </c>
      <c r="B88" s="39" t="inlineStr">
        <is>
          <t>documento_unificadoABR18_SV</t>
        </is>
      </c>
      <c r="C88" s="39" t="inlineStr">
        <is>
          <t>documento_unificadoABR18_SV</t>
        </is>
      </c>
      <c r="D88" s="39" t="n">
        <v>8</v>
      </c>
      <c r="E88" s="39" t="inlineStr">
        <is>
          <t>único</t>
        </is>
      </c>
      <c r="F88" s="39" t="n">
        <v>0</v>
      </c>
    </row>
    <row r="89" ht="15" customHeight="1">
      <c r="A89" s="39" t="inlineStr">
        <is>
          <t>00925-2017</t>
        </is>
      </c>
      <c r="B89" s="39" t="inlineStr">
        <is>
          <t>documento_unificadoABR18_SV</t>
        </is>
      </c>
      <c r="C89" s="39" t="inlineStr">
        <is>
          <t>documento_unificadoABR18_SV</t>
        </is>
      </c>
      <c r="D89" s="39" t="n">
        <v>8</v>
      </c>
      <c r="E89" s="39" t="inlineStr">
        <is>
          <t>único</t>
        </is>
      </c>
      <c r="F89" s="39"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20" customWidth="1" min="1" max="1"/>
  </cols>
  <sheetData>
    <row r="1" ht="15" customHeight="1">
      <c r="A1" s="38" t="inlineStr">
        <is>
          <t>CRITERIOS DE UNIFICACIÓN DE LOS ARCHIVOS</t>
        </is>
      </c>
    </row>
    <row r="2" ht="15" customHeight="1">
      <c r="A2" s="39" t="n"/>
    </row>
    <row r="3" ht="15" customHeight="1">
      <c r="A3" s="39" t="inlineStr">
        <is>
          <t>1. Archivos de origen</t>
        </is>
      </c>
    </row>
    <row r="4" ht="15" customHeight="1">
      <c r="A4" s="39" t="inlineStr">
        <is>
          <t>Clasificacion_SV_ABR24_Llamoja_defectos (_2_ y _3_): archivos idénticos (mismo MD5); se usó una sola copia.</t>
        </is>
      </c>
    </row>
    <row r="5" ht="15" customHeight="1">
      <c r="A5" s="39" t="inlineStr">
        <is>
          <t>Matriz_defectos_procesales_1ra_SV (_4_ y _5_): archivos idénticos (mismo MD5); se usó una sola copia.</t>
        </is>
      </c>
    </row>
    <row r="6" ht="15" customHeight="1">
      <c r="A6" s="39" t="inlineStr">
        <is>
          <t>Comparativa_defectos_2018_vs_2024 (_3_): hojas «Corpus 2018 (pre-2019)» (36 exp.) y «Corpus 2024» (23 exp.).</t>
        </is>
      </c>
    </row>
    <row r="7" ht="15" customHeight="1">
      <c r="A7" s="39" t="inlineStr">
        <is>
          <t>Defectos_procesales_SV_CSJA (_3_): hoja «Defectos procesales» (59 exp.); mismos expedientes que el archivo anterior, con D1–D11 solamente.</t>
        </is>
      </c>
    </row>
    <row r="8" ht="15" customHeight="1">
      <c r="A8" s="39" t="n"/>
    </row>
    <row r="9" ht="15" customHeight="1">
      <c r="A9" s="39" t="inlineStr">
        <is>
          <t>2. Clave de unificación</t>
        </is>
      </c>
    </row>
    <row r="10" ht="21.75" customHeight="1">
      <c r="A10" s="39" t="inlineStr">
        <is>
          <t>Se normalizó el expediente a «NNNNN-AAAA» (número con cinco dígitos y año), porque unas fuentes usan el código corto (00132-2015) y otras el completo (00879-2022-0-0401-JR-CI-02).</t>
        </is>
      </c>
    </row>
    <row r="11" ht="15" customHeight="1">
      <c r="A11" s="39" t="inlineStr">
        <is>
          <t>En la columna «Expediente (código de origen)» se conserva el código tal como aparece en la fuente que aportó la fila base.</t>
        </is>
      </c>
    </row>
    <row r="12" ht="15" customHeight="1">
      <c r="A12" s="39" t="n"/>
    </row>
    <row r="13" ht="15" customHeight="1">
      <c r="A13" s="39" t="inlineStr">
        <is>
          <t>3. Regla de fusión: se conserva la fila con más información</t>
        </is>
      </c>
    </row>
    <row r="14" ht="15" customHeight="1">
      <c r="A14" s="39" t="inlineStr">
        <is>
          <t>Cuando un mismo expediente aparecía en más de un archivo, se eligió como fila base la que tenía más campos llenos (desempate: mayor extensión total del texto).</t>
        </is>
      </c>
    </row>
    <row r="15" ht="15" customHeight="1">
      <c r="A15" s="39" t="inlineStr">
        <is>
          <t>Sobre esa fila base se completaron los campos vacíos con el dato de las demás fuentes.</t>
        </is>
      </c>
    </row>
    <row r="16" ht="15" customHeight="1">
      <c r="A16" s="39" t="inlineStr">
        <is>
          <t>Si otra fuente traía el mismo campo con un texto sustancialmente más extenso (más de 20 % adicional), se prefirió ese texto, por ser la versión con mayor evidencia citada.</t>
        </is>
      </c>
    </row>
    <row r="17" ht="21.75" customHeight="1">
      <c r="A17" s="39" t="inlineStr">
        <is>
          <t>Ningún dato de origen se descartó en silencio: la hoja Trazabilidad_fusion registra, para cada expediente duplicado, qué fuente aportó la fila base y cuántos campos se completaron desde las otras.</t>
        </is>
      </c>
    </row>
    <row r="18" ht="15" customHeight="1">
      <c r="A18" s="39" t="n"/>
    </row>
    <row r="19" ht="15" customHeight="1">
      <c r="A19" s="39" t="inlineStr">
        <is>
          <t>4. Resultado</t>
        </is>
      </c>
    </row>
    <row r="20" ht="15" customHeight="1">
      <c r="A20" s="39" t="inlineStr">
        <is>
          <t>193 filas de origen → 134 expedientes únicos. 59 expedientes provenían de dos archivos (Comparativa… y Defectos_procesales_SV_CSJA, que son el mismo corpus).</t>
        </is>
      </c>
    </row>
    <row r="21" ht="15" customHeight="1">
      <c r="A21" s="39" t="inlineStr">
        <is>
          <t>Los cuatro corpus no comparten expedientes entre sí: 36 (pre-2019) + 23 (2024) + 37 (Llamoja) + 20 + 18 (matriz de sumarísimos) = 134.</t>
        </is>
      </c>
    </row>
    <row r="22" ht="15" customHeight="1">
      <c r="A22" s="39" t="n"/>
    </row>
    <row r="23" ht="15" customHeight="1">
      <c r="A23" s="39" t="inlineStr">
        <is>
          <t>5. Homogeneización de columnas</t>
        </is>
      </c>
    </row>
    <row r="24" ht="15" customHeight="1">
      <c r="A24" s="39" t="inlineStr">
        <is>
          <t>Catálogo único de 20 defectos (D01–D20), idéntico en las cuatro fuentes; las columnas «01.»/«D1» de cada archivo se mapearon a esa numeración.</t>
        </is>
      </c>
    </row>
    <row r="25" ht="15" customHeight="1">
      <c r="A25" s="39" t="inlineStr">
        <is>
          <t>Celdas «—», «-», «(no consignada)» y vacías se dejaron en blanco, para que el conteo de defectos sea homogéneo.</t>
        </is>
      </c>
    </row>
    <row r="26" ht="21.75" customHeight="1">
      <c r="A26" s="39" t="inlineStr">
        <is>
          <t>En los expedientes de la ficha Llamoja el defecto se registró como «SÍ (principal)» / «SÍ (secundario)», que es el nivel de detalle de esa fuente; la cita textual correspondiente está en las columnas «Cita textual 1–3».</t>
        </is>
      </c>
    </row>
    <row r="27" ht="15" customHeight="1">
      <c r="A27" s="39" t="inlineStr">
        <is>
          <t>«Sala» se normalizó a 1SC/2SC/3SC a partir del dato de sala o del número de sentencia de vista; queda en blanco si no era deducible.</t>
        </is>
      </c>
    </row>
    <row r="28" ht="15" customHeight="1">
      <c r="A28" s="39" t="inlineStr">
        <is>
          <t>«Año SV» se derivó de la fecha (dd/mm/aaaa), del año del número de SV o de la fecha en letras; es un campo calculado, no de origen.</t>
        </is>
      </c>
    </row>
    <row r="29" ht="15" customHeight="1">
      <c r="A29" s="39" t="n"/>
    </row>
    <row r="30" ht="15" customHeight="1">
      <c r="A30" s="39" t="inlineStr">
        <is>
          <t>6. Campos calculados del libro</t>
        </is>
      </c>
    </row>
    <row r="31" ht="21.75" customHeight="1">
      <c r="A31" s="39" t="inlineStr">
        <is>
          <t>«N° de defectos (calculado)» = COUNTA del rango D01:D20 de cada fila. No se copió el «N° defectos» de los archivos de origen porque discrepaba entre ellos (p. ej. 00748-2013: 1 en Comparativa y 0 en Defectos_procesales).</t>
        </is>
      </c>
    </row>
    <row r="32" ht="15" customHeight="1">
      <c r="A32" s="39" t="inlineStr">
        <is>
          <t>Marcas_binarias convierte cada celda D01–D20 en 0/1 mediante fórmula; Resumen_defectos suma sobre esa hoja. Todo se recalcula solo al editar el corpus.</t>
        </is>
      </c>
    </row>
    <row r="33" ht="15" customHeight="1">
      <c r="A33" s="39" t="n"/>
    </row>
    <row r="34" ht="15" customHeight="1">
      <c r="A34" s="39" t="inlineStr">
        <is>
          <t>7. Verificación pendiente del analista</t>
        </is>
      </c>
    </row>
    <row r="35" ht="15" customHeight="1">
      <c r="A35" s="39" t="inlineStr">
        <is>
          <t>Revisar los expedientes con sala en blanco y los del grupo «2024» sin número de sala en el archivo de origen (figuraban como «—»).</t>
        </is>
      </c>
    </row>
    <row r="36" ht="15" customHeight="1">
      <c r="A36" s="39" t="inlineStr">
        <is>
          <t>Confirmar si los expedientes de la ficha Llamoja deben integrarse al conteo comparativo pre/post MCCLO o mantenerse como corpus separado de control.</t>
        </is>
      </c>
    </row>
    <row r="37" ht="15" customHeight="1">
      <c r="A37" s="39" t="n"/>
    </row>
    <row r="38" ht="15" customHeight="1">
      <c r="A38" s="39" t="inlineStr">
        <is>
          <t>8. Fusión adicional (proceso Abreviado, expedientes anteriores a 2019)</t>
        </is>
      </c>
    </row>
    <row r="39" ht="42.75" customHeight="1">
      <c r="A39" s="39" t="inlineStr">
        <is>
          <t>Se incorporaron 29 expedientes del grupo «Abreviado — anteriores a 2019 (ABR18_SV)», extraídos de documento_unificadoABR18_SV (hoja de trabajo Defectos_SV_ABR18_pre2019), previa recodificación contra el Diccionario de causales v3 (reglas de deslinde) de este corpus. Se corrigieron 5 codificaciones (D12→D11, D13→D16, D21→D12, D12→D23) y se dieron de baja 7 marcas que resultaron ser razonamiento propio de la Sala sobre el fondo del asunto, sin crítica confrontable a la premisa del A quo (trasladadas a Observaciones). Ninguno de estos 29 expedientes coincidía con los 134 ya existentes en el corpus.</t>
        </is>
      </c>
    </row>
    <row r="40" ht="32.25" customHeight="1">
      <c r="A40" s="39" t="inlineStr">
        <is>
          <t>Se evaluó también el archivo defectos_primera_sv_antes_2019_con18.xlsx: sus 36 expedientes coinciden exactamente (mismas claves) con el grupo «Pre-2019» ya presente en este corpus, con codificación más completa (estatus DECLARADO/DERIVADO y citas). Por tratarse de una versión preliminar ya superada, no se volvió a incorporar para evitar duplicados.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2"/>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6" customWidth="1" min="3" max="3"/>
    <col width="6" customWidth="1" min="4" max="4"/>
    <col width="16" customWidth="1" min="5" max="5"/>
    <col width="20" customWidth="1" min="6" max="6"/>
    <col width="45" customWidth="1" min="7" max="7"/>
    <col width="30" customWidth="1" min="8" max="8"/>
    <col width="30" customWidth="1" min="9" max="9"/>
    <col width="40" customWidth="1" min="10" max="10"/>
  </cols>
  <sheetData>
    <row r="1" ht="30" customHeight="1">
      <c r="A1" s="40" t="inlineStr">
        <is>
          <t>N</t>
        </is>
      </c>
      <c r="B1" s="40" t="inlineStr">
        <is>
          <t>Clave</t>
        </is>
      </c>
      <c r="C1" s="40" t="inlineStr">
        <is>
          <t>Grupo</t>
        </is>
      </c>
      <c r="D1" s="40" t="inlineStr">
        <is>
          <t>Sala</t>
        </is>
      </c>
      <c r="E1" s="40" t="inlineStr">
        <is>
          <t>SV</t>
        </is>
      </c>
      <c r="F1" s="40" t="inlineStr">
        <is>
          <t>Fallo</t>
        </is>
      </c>
      <c r="G1" s="40" t="inlineStr">
        <is>
          <t>Causales_motivacion_declaradas</t>
        </is>
      </c>
      <c r="H1" s="40" t="inlineStr">
        <is>
          <t>Tipo_actual_en_corpus</t>
        </is>
      </c>
      <c r="I1" s="40" t="inlineStr">
        <is>
          <t>Categoria_Llamoja</t>
        </is>
      </c>
      <c r="J1" s="40" t="inlineStr">
        <is>
          <t>Estado</t>
        </is>
      </c>
    </row>
    <row r="2">
      <c r="A2" s="41" t="n">
        <v>1</v>
      </c>
      <c r="B2" s="41" t="inlineStr">
        <is>
          <t>00001-2018</t>
        </is>
      </c>
      <c r="C2" s="41" t="inlineStr">
        <is>
          <t>Matriz sumarísimos — anteriores a 2019</t>
        </is>
      </c>
      <c r="D2" s="41" t="inlineStr">
        <is>
          <t>2SC</t>
        </is>
      </c>
      <c r="E2" s="41" t="inlineStr">
        <is>
          <t>SV 343-2019-2SC</t>
        </is>
      </c>
      <c r="F2" s="41" t="inlineStr">
        <is>
          <t>NULA (reenvío)</t>
        </is>
      </c>
      <c r="G2" s="41" t="inlineStr">
        <is>
          <t>D15 (DECLARADO — «la resolución apelada contiene una motivación i...)</t>
        </is>
      </c>
      <c r="H2" s="41" t="inlineStr">
        <is>
          <t>(vacío)</t>
        </is>
      </c>
      <c r="I2" s="41" t="inlineStr">
        <is>
          <t>b) Falta de motivación interna</t>
        </is>
      </c>
      <c r="J2" s="41" t="inlineStr">
        <is>
          <t>Pendiente de clasificar — mapeo directo posible</t>
        </is>
      </c>
    </row>
    <row r="3">
      <c r="A3" s="41" t="n">
        <v>2</v>
      </c>
      <c r="B3" s="41" t="inlineStr">
        <is>
          <t>00072-2023</t>
        </is>
      </c>
      <c r="C3" s="41" t="inlineStr">
        <is>
          <t>Matriz sumarísimos — grupo 2024</t>
        </is>
      </c>
      <c r="D3" s="41" t="inlineStr">
        <is>
          <t>2SC</t>
        </is>
      </c>
      <c r="E3" s="41" t="inlineStr">
        <is>
          <t>SV 429-2025-2SC</t>
        </is>
      </c>
      <c r="F3" s="41" t="inlineStr">
        <is>
          <t>NULA DE OFICIO (reenvío)</t>
        </is>
      </c>
      <c r="G3" s="41" t="inlineStr">
        <is>
          <t>D15 (DECLARADO — «la sentencia impugnada adolece de vicios de mot...), D16 (DECLARADO — «se omitió pronunciamiento en relación a la buen...), D21 (DECLARADO — «la sentencia impugnada adolece de vicios de mot...)</t>
        </is>
      </c>
      <c r="H3" s="41" t="inlineStr">
        <is>
          <t>(vacío)</t>
        </is>
      </c>
      <c r="I3" s="41" t="inlineStr">
        <is>
          <t>(combinación: D15/D16/D21)</t>
        </is>
      </c>
      <c r="J3" s="41" t="inlineStr">
        <is>
          <t>Pendiente de clasificar — combinación múltiple, requiere lectura</t>
        </is>
      </c>
    </row>
    <row r="4">
      <c r="A4" s="42" t="n">
        <v>3</v>
      </c>
      <c r="B4" s="42" t="inlineStr">
        <is>
          <t>00115-2012</t>
        </is>
      </c>
      <c r="C4" s="42" t="inlineStr">
        <is>
          <t>Matriz sumarísimos — anteriores a 2019</t>
        </is>
      </c>
      <c r="D4" s="42" t="inlineStr">
        <is>
          <t>2SC</t>
        </is>
      </c>
      <c r="E4" s="42" t="inlineStr">
        <is>
          <t>SV 660-2018-2SC</t>
        </is>
      </c>
      <c r="F4" s="42" t="inlineStr">
        <is>
          <t>NULA (reenvío)</t>
        </is>
      </c>
      <c r="G4" s="42" t="inlineStr">
        <is>
          <t>—</t>
        </is>
      </c>
      <c r="H4" s="42" t="inlineStr">
        <is>
          <t>(vacío)</t>
        </is>
      </c>
      <c r="I4" s="42" t="inlineStr">
        <is>
          <t>—</t>
        </is>
      </c>
      <c r="J4" s="42" t="inlineStr">
        <is>
          <t>Sin vicio de motivación (sin marca explícita)</t>
        </is>
      </c>
    </row>
    <row r="5">
      <c r="A5" s="42" t="n">
        <v>4</v>
      </c>
      <c r="B5" s="42" t="inlineStr">
        <is>
          <t>00129-2022</t>
        </is>
      </c>
      <c r="C5" s="42" t="inlineStr">
        <is>
          <t>Matriz sumarísimos — grupo 2024</t>
        </is>
      </c>
      <c r="D5" s="42" t="inlineStr">
        <is>
          <t>2SC</t>
        </is>
      </c>
      <c r="E5" s="42" t="inlineStr">
        <is>
          <t>SV 563-2024-2SC</t>
        </is>
      </c>
      <c r="F5" s="42" t="inlineStr">
        <is>
          <t>REVOCADA → IMPROCEDENTE</t>
        </is>
      </c>
      <c r="G5" s="42" t="inlineStr">
        <is>
          <t>—</t>
        </is>
      </c>
      <c r="H5" s="42" t="inlineStr">
        <is>
          <t>(vacío)</t>
        </is>
      </c>
      <c r="I5" s="42" t="inlineStr">
        <is>
          <t>—</t>
        </is>
      </c>
      <c r="J5" s="42" t="inlineStr">
        <is>
          <t>Sin vicio de motivación (sin marca explícita)</t>
        </is>
      </c>
    </row>
    <row r="6">
      <c r="A6" s="42" t="n">
        <v>5</v>
      </c>
      <c r="B6" s="42" t="inlineStr">
        <is>
          <t>00132-2015</t>
        </is>
      </c>
      <c r="C6" s="42" t="inlineStr">
        <is>
          <t>Pre-2019</t>
        </is>
      </c>
      <c r="D6" s="42" t="inlineStr">
        <is>
          <t>2SC</t>
        </is>
      </c>
      <c r="E6" s="42" t="inlineStr">
        <is>
          <t>SV N° 667-2018-2SC</t>
        </is>
      </c>
      <c r="F6" s="42" t="inlineStr">
        <is>
          <t>Revocada</t>
        </is>
      </c>
      <c r="G6" s="42" t="inlineStr">
        <is>
          <t>—</t>
        </is>
      </c>
      <c r="H6" s="42" t="inlineStr">
        <is>
          <t>(vacío)</t>
        </is>
      </c>
      <c r="I6" s="42" t="inlineStr">
        <is>
          <t>—</t>
        </is>
      </c>
      <c r="J6" s="42" t="inlineStr">
        <is>
          <t>Sin vicio de motivación (sin marca explícita)</t>
        </is>
      </c>
    </row>
    <row r="7">
      <c r="A7" s="42" t="n">
        <v>6</v>
      </c>
      <c r="B7" s="42" t="inlineStr">
        <is>
          <t>00153-2022</t>
        </is>
      </c>
      <c r="C7" s="42" t="inlineStr">
        <is>
          <t>Matriz sumarísimos — grupo 2024</t>
        </is>
      </c>
      <c r="D7" s="42" t="inlineStr">
        <is>
          <t>3SC</t>
        </is>
      </c>
      <c r="E7" s="42" t="inlineStr">
        <is>
          <t>SV 51-2025-3SC</t>
        </is>
      </c>
      <c r="F7" s="42" t="inlineStr">
        <is>
          <t>REVOCADA → INFUNDADA</t>
        </is>
      </c>
      <c r="G7" s="42" t="inlineStr">
        <is>
          <t>—</t>
        </is>
      </c>
      <c r="H7" s="42" t="inlineStr">
        <is>
          <t>(vacío)</t>
        </is>
      </c>
      <c r="I7" s="42" t="inlineStr">
        <is>
          <t>—</t>
        </is>
      </c>
      <c r="J7" s="42" t="inlineStr">
        <is>
          <t>Sin vicio de motivación (sin marca explícita)</t>
        </is>
      </c>
    </row>
    <row r="8">
      <c r="A8" s="42" t="n">
        <v>7</v>
      </c>
      <c r="B8" s="42" t="inlineStr">
        <is>
          <t>00192-2021</t>
        </is>
      </c>
      <c r="C8" s="42" t="inlineStr">
        <is>
          <t>2024</t>
        </is>
      </c>
      <c r="D8" s="42" t="n"/>
      <c r="E8" s="42" t="inlineStr">
        <is>
          <t>SV N° 285-2026</t>
        </is>
      </c>
      <c r="F8" s="42" t="inlineStr">
        <is>
          <t>Revocada</t>
        </is>
      </c>
      <c r="G8" s="42" t="inlineStr">
        <is>
          <t>—</t>
        </is>
      </c>
      <c r="H8" s="42" t="inlineStr">
        <is>
          <t>(vacío)</t>
        </is>
      </c>
      <c r="I8" s="42" t="inlineStr">
        <is>
          <t>—</t>
        </is>
      </c>
      <c r="J8" s="42" t="inlineStr">
        <is>
          <t>Sin vicio de motivación (sin marca explícita)</t>
        </is>
      </c>
    </row>
    <row r="9">
      <c r="A9" s="42" t="n">
        <v>8</v>
      </c>
      <c r="B9" s="42" t="inlineStr">
        <is>
          <t>00234-2018</t>
        </is>
      </c>
      <c r="C9" s="42" t="inlineStr">
        <is>
          <t>Matriz sumarísimos — anteriores a 2019</t>
        </is>
      </c>
      <c r="D9" s="42" t="inlineStr">
        <is>
          <t>3SC</t>
        </is>
      </c>
      <c r="E9" s="42" t="inlineStr">
        <is>
          <t>SV 638-2019-3SC</t>
        </is>
      </c>
      <c r="F9" s="42" t="inlineStr">
        <is>
          <t>REVOCADA → INFUNDADA</t>
        </is>
      </c>
      <c r="G9" s="42" t="inlineStr">
        <is>
          <t>—</t>
        </is>
      </c>
      <c r="H9" s="42" t="inlineStr">
        <is>
          <t>(vacío)</t>
        </is>
      </c>
      <c r="I9" s="42" t="inlineStr">
        <is>
          <t>—</t>
        </is>
      </c>
      <c r="J9" s="42" t="inlineStr">
        <is>
          <t>Sin vicio de motivación (sin marca explícita)</t>
        </is>
      </c>
    </row>
    <row r="10">
      <c r="A10" s="41" t="n">
        <v>9</v>
      </c>
      <c r="B10" s="41" t="inlineStr">
        <is>
          <t>00320-2023</t>
        </is>
      </c>
      <c r="C10" s="41" t="inlineStr">
        <is>
          <t>2024</t>
        </is>
      </c>
      <c r="D10" s="41" t="inlineStr">
        <is>
          <t>2SC</t>
        </is>
      </c>
      <c r="E10" s="41" t="inlineStr">
        <is>
          <t>SV N° 398-2025-2SC</t>
        </is>
      </c>
      <c r="F10" s="41" t="inlineStr">
        <is>
          <t>Nula</t>
        </is>
      </c>
      <c r="G10" s="41" t="inlineStr">
        <is>
          <t>D13 (DECLARADO — “…contractual. En ese sentido, la sentencia mate...)</t>
        </is>
      </c>
      <c r="H10" s="41" t="inlineStr">
        <is>
          <t>(vacío)</t>
        </is>
      </c>
      <c r="I10" s="41" t="inlineStr">
        <is>
          <t>d) Motivación insuficiente</t>
        </is>
      </c>
      <c r="J10" s="41" t="inlineStr">
        <is>
          <t>Pendiente de clasificar — mapeo directo posible</t>
        </is>
      </c>
    </row>
    <row r="11">
      <c r="A11" s="41" t="n">
        <v>10</v>
      </c>
      <c r="B11" s="41" t="inlineStr">
        <is>
          <t>00340-2002</t>
        </is>
      </c>
      <c r="C11" s="41" t="inlineStr">
        <is>
          <t>Pre-2019</t>
        </is>
      </c>
      <c r="D11" s="41" t="inlineStr">
        <is>
          <t>2SC</t>
        </is>
      </c>
      <c r="E11" s="41" t="inlineStr">
        <is>
          <t>SV N° 0008-2018-2SC</t>
        </is>
      </c>
      <c r="F11" s="41" t="inlineStr">
        <is>
          <t>Nula</t>
        </is>
      </c>
      <c r="G11" s="41" t="inlineStr">
        <is>
          <t>D16 (DECLARADO — “…Se ha sentenciado sobre una causal no determin...)</t>
        </is>
      </c>
      <c r="H11" s="41" t="inlineStr">
        <is>
          <t>(vacío)</t>
        </is>
      </c>
      <c r="I11" s="41" t="inlineStr">
        <is>
          <t>(ambiguo: D16)</t>
        </is>
      </c>
      <c r="J11" s="41" t="inlineStr">
        <is>
          <t>Pendiente de clasificar — requiere lectura (D16/D23)</t>
        </is>
      </c>
    </row>
    <row r="12">
      <c r="A12" s="42" t="n">
        <v>11</v>
      </c>
      <c r="B12" s="42" t="inlineStr">
        <is>
          <t>00367-2024</t>
        </is>
      </c>
      <c r="C12" s="42" t="inlineStr">
        <is>
          <t>Matriz sumarísimos — grupo 2024</t>
        </is>
      </c>
      <c r="D12" s="42" t="inlineStr">
        <is>
          <t>1SC</t>
        </is>
      </c>
      <c r="E12" s="42" t="inlineStr">
        <is>
          <t>SV 338-2024-1SC</t>
        </is>
      </c>
      <c r="F12" s="42" t="inlineStr">
        <is>
          <t>REVOCADA → INFUNDADA</t>
        </is>
      </c>
      <c r="G12" s="42" t="inlineStr">
        <is>
          <t>—</t>
        </is>
      </c>
      <c r="H12" s="42" t="inlineStr">
        <is>
          <t>(vacío)</t>
        </is>
      </c>
      <c r="I12" s="42" t="inlineStr">
        <is>
          <t>—</t>
        </is>
      </c>
      <c r="J12" s="42" t="inlineStr">
        <is>
          <t>Sin vicio de motivación (sin marca explícita)</t>
        </is>
      </c>
    </row>
    <row r="13">
      <c r="A13" s="43" t="n">
        <v>12</v>
      </c>
      <c r="B13" s="43" t="inlineStr">
        <is>
          <t>00414-2023</t>
        </is>
      </c>
      <c r="C13" s="43" t="inlineStr">
        <is>
          <t>Llamoja — SV de control (2021-2023)</t>
        </is>
      </c>
      <c r="D13" s="43" t="inlineStr">
        <is>
          <t>3SC</t>
        </is>
      </c>
      <c r="E13" s="43" t="inlineStr">
        <is>
          <t>178-2025-3SC</t>
        </is>
      </c>
      <c r="F13" s="43" t="inlineStr">
        <is>
          <t>NULA</t>
        </is>
      </c>
      <c r="G13" s="43" t="inlineStr">
        <is>
          <t>D13 (DECLARADO — (evidencia en las columnas «Cita textual 1–3» de...), D16 (DECLARADO — (evidencia en las columnas «Cita textual 1–3» de...)</t>
        </is>
      </c>
      <c r="H13" s="43" t="inlineStr">
        <is>
          <t>d) Motivación insuficiente</t>
        </is>
      </c>
      <c r="I13" s="43" t="inlineStr">
        <is>
          <t>d) Motivación insuficiente</t>
        </is>
      </c>
      <c r="J13" s="43" t="inlineStr">
        <is>
          <t>Clasificado (a-f) en el corpus</t>
        </is>
      </c>
    </row>
    <row r="14">
      <c r="A14" s="42" t="n">
        <v>13</v>
      </c>
      <c r="B14" s="42" t="inlineStr">
        <is>
          <t>00428-2017</t>
        </is>
      </c>
      <c r="C14" s="42" t="inlineStr">
        <is>
          <t>Matriz sumarísimos — anteriores a 2019</t>
        </is>
      </c>
      <c r="D14" s="42" t="inlineStr">
        <is>
          <t>2SC</t>
        </is>
      </c>
      <c r="E14" s="42" t="inlineStr">
        <is>
          <t>SV 033-2020-2SC</t>
        </is>
      </c>
      <c r="F14" s="42" t="inlineStr">
        <is>
          <t>REVOCADA → FUNDADA</t>
        </is>
      </c>
      <c r="G14" s="42" t="inlineStr">
        <is>
          <t>—</t>
        </is>
      </c>
      <c r="H14" s="42" t="inlineStr">
        <is>
          <t>(vacío)</t>
        </is>
      </c>
      <c r="I14" s="42" t="inlineStr">
        <is>
          <t>—</t>
        </is>
      </c>
      <c r="J14" s="42" t="inlineStr">
        <is>
          <t>Sin vicio de motivación (sin marca explícita)</t>
        </is>
      </c>
    </row>
    <row r="15">
      <c r="A15" s="41" t="n">
        <v>14</v>
      </c>
      <c r="B15" s="41" t="inlineStr">
        <is>
          <t>00598-2022</t>
        </is>
      </c>
      <c r="C15" s="41" t="inlineStr">
        <is>
          <t>2024</t>
        </is>
      </c>
      <c r="D15" s="41" t="inlineStr">
        <is>
          <t>3SC</t>
        </is>
      </c>
      <c r="E15" s="41" t="inlineStr">
        <is>
          <t>SV N° 256-2025-3SC</t>
        </is>
      </c>
      <c r="F15" s="41" t="inlineStr">
        <is>
          <t>Nula</t>
        </is>
      </c>
      <c r="G15" s="41" t="inlineStr">
        <is>
          <t>D13 (DECLARADO — “…vierte que el Juez de primera instancia no ha ...)</t>
        </is>
      </c>
      <c r="H15" s="41" t="inlineStr">
        <is>
          <t>(vacío)</t>
        </is>
      </c>
      <c r="I15" s="41" t="inlineStr">
        <is>
          <t>d) Motivación insuficiente</t>
        </is>
      </c>
      <c r="J15" s="41" t="inlineStr">
        <is>
          <t>Pendiente de clasificar — mapeo directo posible</t>
        </is>
      </c>
    </row>
    <row r="16">
      <c r="A16" s="41" t="n">
        <v>15</v>
      </c>
      <c r="B16" s="41" t="inlineStr">
        <is>
          <t>00646-2024</t>
        </is>
      </c>
      <c r="C16" s="41" t="inlineStr">
        <is>
          <t>Matriz sumarísimos — grupo 2024</t>
        </is>
      </c>
      <c r="D16" s="41" t="inlineStr">
        <is>
          <t>2SC</t>
        </is>
      </c>
      <c r="E16" s="41" t="inlineStr">
        <is>
          <t>SV 240-2025-2SC</t>
        </is>
      </c>
      <c r="F16" s="41" t="inlineStr">
        <is>
          <t>NULA (reenvío)</t>
        </is>
      </c>
      <c r="G16" s="41" t="inlineStr">
        <is>
          <t>D16 (DECLARADO — «si bien el A quo se ha pronunciado sobre la cod...), D23 (DECLARADO — «se tiene que se ha vulnerado el inciso 5º del a...)</t>
        </is>
      </c>
      <c r="H16" s="41" t="inlineStr">
        <is>
          <t>(vacío)</t>
        </is>
      </c>
      <c r="I16" s="41" t="inlineStr">
        <is>
          <t>(ambiguo: D16/D23)</t>
        </is>
      </c>
      <c r="J16" s="41" t="inlineStr">
        <is>
          <t>Pendiente de clasificar — requiere lectura (D16/D23)</t>
        </is>
      </c>
    </row>
    <row r="17">
      <c r="A17" s="41" t="n">
        <v>16</v>
      </c>
      <c r="B17" s="41" t="inlineStr">
        <is>
          <t>00661-2023</t>
        </is>
      </c>
      <c r="C17" s="41" t="inlineStr">
        <is>
          <t>Matriz sumarísimos — grupo 2024</t>
        </is>
      </c>
      <c r="D17" s="41" t="inlineStr">
        <is>
          <t>2SC</t>
        </is>
      </c>
      <c r="E17" s="41" t="inlineStr">
        <is>
          <t>SV 302-2025-2SC</t>
        </is>
      </c>
      <c r="F17" s="41" t="inlineStr">
        <is>
          <t>NULA (reenvío)</t>
        </is>
      </c>
      <c r="G17" s="41" t="inlineStr">
        <is>
          <t>D13 (DECLARADO — «incurriéndose en vicio procesal por motivación ...)</t>
        </is>
      </c>
      <c r="H17" s="41" t="inlineStr">
        <is>
          <t>(vacío)</t>
        </is>
      </c>
      <c r="I17" s="41" t="inlineStr">
        <is>
          <t>d) Motivación insuficiente</t>
        </is>
      </c>
      <c r="J17" s="41" t="inlineStr">
        <is>
          <t>Pendiente de clasificar — mapeo directo posible</t>
        </is>
      </c>
    </row>
    <row r="18">
      <c r="A18" s="41" t="n">
        <v>17</v>
      </c>
      <c r="B18" s="41" t="inlineStr">
        <is>
          <t>00742-2022</t>
        </is>
      </c>
      <c r="C18" s="41" t="inlineStr">
        <is>
          <t>2024</t>
        </is>
      </c>
      <c r="D18" s="41" t="n"/>
      <c r="E18" s="41" t="inlineStr">
        <is>
          <t>SV N° 196-2025</t>
        </is>
      </c>
      <c r="F18" s="41" t="inlineStr">
        <is>
          <t>Otro</t>
        </is>
      </c>
      <c r="G18" s="41" t="inlineStr">
        <is>
          <t>D16 (DECLARADO — “…urídico no invocada. Una forma de verificar qu...)</t>
        </is>
      </c>
      <c r="H18" s="41" t="inlineStr">
        <is>
          <t>(vacío)</t>
        </is>
      </c>
      <c r="I18" s="41" t="inlineStr">
        <is>
          <t>(ambiguo: D16)</t>
        </is>
      </c>
      <c r="J18" s="41" t="inlineStr">
        <is>
          <t>Pendiente de clasificar — requiere lectura (D16/D23)</t>
        </is>
      </c>
    </row>
    <row r="19">
      <c r="A19" s="41" t="n">
        <v>18</v>
      </c>
      <c r="B19" s="41" t="inlineStr">
        <is>
          <t>00748-2013</t>
        </is>
      </c>
      <c r="C19" s="41" t="inlineStr">
        <is>
          <t>Pre-2019</t>
        </is>
      </c>
      <c r="D19" s="41" t="inlineStr">
        <is>
          <t>2SC</t>
        </is>
      </c>
      <c r="E19" s="41" t="inlineStr">
        <is>
          <t>SV N° 674-2018-2SC</t>
        </is>
      </c>
      <c r="F19" s="41" t="inlineStr">
        <is>
          <t>Nula</t>
        </is>
      </c>
      <c r="G19" s="41" t="inlineStr">
        <is>
          <t>D15 (DECLARADO — “…azonamiento conforme al Tribunal Constituciona...)</t>
        </is>
      </c>
      <c r="H19" s="41" t="inlineStr">
        <is>
          <t>(vacío)</t>
        </is>
      </c>
      <c r="I19" s="41" t="inlineStr">
        <is>
          <t>b) Falta de motivación interna</t>
        </is>
      </c>
      <c r="J19" s="41" t="inlineStr">
        <is>
          <t>Pendiente de clasificar — mapeo directo posible</t>
        </is>
      </c>
    </row>
    <row r="20">
      <c r="A20" s="42" t="n">
        <v>19</v>
      </c>
      <c r="B20" s="42" t="inlineStr">
        <is>
          <t>00760-2021</t>
        </is>
      </c>
      <c r="C20" s="42" t="inlineStr">
        <is>
          <t>Llamoja — SV de control (2021-2023)</t>
        </is>
      </c>
      <c r="D20" s="42" t="inlineStr">
        <is>
          <t>3SC</t>
        </is>
      </c>
      <c r="E20" s="42" t="inlineStr">
        <is>
          <t>34-2025-3SC</t>
        </is>
      </c>
      <c r="F20" s="42" t="inlineStr">
        <is>
          <t>NULA</t>
        </is>
      </c>
      <c r="G20" s="42" t="inlineStr">
        <is>
          <t>—</t>
        </is>
      </c>
      <c r="H20" s="42" t="inlineStr">
        <is>
          <t>— Sin vicio de motivación como causal</t>
        </is>
      </c>
      <c r="I20" s="42" t="inlineStr">
        <is>
          <t>—</t>
        </is>
      </c>
      <c r="J20" s="42" t="inlineStr">
        <is>
          <t>Sin vicio de motivación (marcado explícito)</t>
        </is>
      </c>
    </row>
    <row r="21">
      <c r="A21" s="43" t="n">
        <v>20</v>
      </c>
      <c r="B21" s="43" t="inlineStr">
        <is>
          <t>00774-2021</t>
        </is>
      </c>
      <c r="C21" s="43" t="inlineStr">
        <is>
          <t>Llamoja — SV de control (2021-2023)</t>
        </is>
      </c>
      <c r="D21" s="43" t="inlineStr">
        <is>
          <t>2SC</t>
        </is>
      </c>
      <c r="E21" s="43" t="inlineStr">
        <is>
          <t>161-2025-2SC</t>
        </is>
      </c>
      <c r="F21" s="43" t="inlineStr">
        <is>
          <t>NULA</t>
        </is>
      </c>
      <c r="G21" s="43" t="inlineStr">
        <is>
          <t>D16 (DECLARADO — (evidencia en las columnas «Cita textual 1–3» de...), D21 (DECLARADO — (evidencia en las columnas «Cita textual 1–3» de...)</t>
        </is>
      </c>
      <c r="H21" s="43" t="inlineStr">
        <is>
          <t>c) Deficiencia de motivación externa</t>
        </is>
      </c>
      <c r="I21" s="43" t="inlineStr">
        <is>
          <t>c) Deficiencia de motivación externa</t>
        </is>
      </c>
      <c r="J21" s="43" t="inlineStr">
        <is>
          <t>Clasificado (a-f) en el corpus</t>
        </is>
      </c>
    </row>
    <row r="22">
      <c r="A22" s="41" t="n">
        <v>21</v>
      </c>
      <c r="B22" s="41" t="inlineStr">
        <is>
          <t>00788-2013</t>
        </is>
      </c>
      <c r="C22" s="41" t="inlineStr">
        <is>
          <t>Pre-2019</t>
        </is>
      </c>
      <c r="D22" s="41" t="inlineStr">
        <is>
          <t>2SC</t>
        </is>
      </c>
      <c r="E22" s="41" t="inlineStr">
        <is>
          <t>SV N° 191-2021-2SC</t>
        </is>
      </c>
      <c r="F22" s="41" t="inlineStr">
        <is>
          <t>Nula</t>
        </is>
      </c>
      <c r="G22" s="41" t="inlineStr">
        <is>
          <t>D16 (DECLARADO — “…es decir, emitió un pronunciamiento distinto a...)</t>
        </is>
      </c>
      <c r="H22" s="41" t="inlineStr">
        <is>
          <t>(vacío)</t>
        </is>
      </c>
      <c r="I22" s="41" t="inlineStr">
        <is>
          <t>(ambiguo: D16)</t>
        </is>
      </c>
      <c r="J22" s="41" t="inlineStr">
        <is>
          <t>Pendiente de clasificar — requiere lectura (D16/D23)</t>
        </is>
      </c>
    </row>
    <row r="23">
      <c r="A23" s="42" t="n">
        <v>22</v>
      </c>
      <c r="B23" s="42" t="inlineStr">
        <is>
          <t>00848-2011</t>
        </is>
      </c>
      <c r="C23" s="42" t="inlineStr">
        <is>
          <t>Matriz sumarísimos — anteriores a 2019</t>
        </is>
      </c>
      <c r="D23" s="42" t="inlineStr">
        <is>
          <t>3SC</t>
        </is>
      </c>
      <c r="E23" s="42" t="inlineStr">
        <is>
          <t>SV 309-2019-3SC</t>
        </is>
      </c>
      <c r="F23" s="42" t="inlineStr">
        <is>
          <t>REVOCADA → FUNDADA EN PARTE</t>
        </is>
      </c>
      <c r="G23" s="42" t="inlineStr">
        <is>
          <t>—</t>
        </is>
      </c>
      <c r="H23" s="42" t="inlineStr">
        <is>
          <t>(vacío)</t>
        </is>
      </c>
      <c r="I23" s="42" t="inlineStr">
        <is>
          <t>—</t>
        </is>
      </c>
      <c r="J23" s="42" t="inlineStr">
        <is>
          <t>Sin vicio de motivación (sin marca explícita)</t>
        </is>
      </c>
    </row>
    <row r="24">
      <c r="A24" s="41" t="n">
        <v>23</v>
      </c>
      <c r="B24" s="41" t="inlineStr">
        <is>
          <t>00856-2017</t>
        </is>
      </c>
      <c r="C24" s="41" t="inlineStr">
        <is>
          <t>Pre-2019</t>
        </is>
      </c>
      <c r="D24" s="41" t="inlineStr">
        <is>
          <t>1SC</t>
        </is>
      </c>
      <c r="E24" s="41" t="inlineStr">
        <is>
          <t>SV N° 525-2019-1SC</t>
        </is>
      </c>
      <c r="F24" s="41" t="inlineStr">
        <is>
          <t>Nula e insubsistente</t>
        </is>
      </c>
      <c r="G24" s="41" t="inlineStr">
        <is>
          <t>D16 (DECLARADO — “…se ha incurrido en causal de nulidad por falta...)</t>
        </is>
      </c>
      <c r="H24" s="41" t="inlineStr">
        <is>
          <t>(vacío)</t>
        </is>
      </c>
      <c r="I24" s="41" t="inlineStr">
        <is>
          <t>(ambiguo: D16)</t>
        </is>
      </c>
      <c r="J24" s="41" t="inlineStr">
        <is>
          <t>Pendiente de clasificar — requiere lectura (D16/D23)</t>
        </is>
      </c>
    </row>
    <row r="25">
      <c r="A25" s="43" t="n">
        <v>24</v>
      </c>
      <c r="B25" s="43" t="inlineStr">
        <is>
          <t>00879-2022</t>
        </is>
      </c>
      <c r="C25" s="43" t="inlineStr">
        <is>
          <t>Llamoja — SV de control (2021-2023)</t>
        </is>
      </c>
      <c r="D25" s="43" t="inlineStr">
        <is>
          <t>1SC</t>
        </is>
      </c>
      <c r="E25" s="43" t="n"/>
      <c r="F25" s="43" t="inlineStr">
        <is>
          <t>NULA</t>
        </is>
      </c>
      <c r="G25" s="43" t="inlineStr">
        <is>
          <t>D15 (DECLARADO — (evidencia en las columnas «Cita textual 1–3» de...), D16 (DECLARADO — (evidencia en las columnas «Cita textual 1–3» de...)</t>
        </is>
      </c>
      <c r="H25" s="43" t="inlineStr">
        <is>
          <t>e) Motivación sustancialmente incongruente</t>
        </is>
      </c>
      <c r="I25" s="43" t="inlineStr">
        <is>
          <t>e) Motivación sustancialmente incongruente</t>
        </is>
      </c>
      <c r="J25" s="43" t="inlineStr">
        <is>
          <t>Clasificado (a-f) en el corpus</t>
        </is>
      </c>
    </row>
    <row r="26">
      <c r="A26" s="42" t="n">
        <v>25</v>
      </c>
      <c r="B26" s="42" t="inlineStr">
        <is>
          <t>00898-2013</t>
        </is>
      </c>
      <c r="C26" s="42" t="inlineStr">
        <is>
          <t>Pre-2019</t>
        </is>
      </c>
      <c r="D26" s="42" t="inlineStr">
        <is>
          <t>3SC</t>
        </is>
      </c>
      <c r="E26" s="42" t="inlineStr">
        <is>
          <t>SV N° 550-2018-3SC</t>
        </is>
      </c>
      <c r="F26" s="42" t="inlineStr">
        <is>
          <t>Revocada</t>
        </is>
      </c>
      <c r="G26" s="42" t="inlineStr">
        <is>
          <t>—</t>
        </is>
      </c>
      <c r="H26" s="42" t="inlineStr">
        <is>
          <t>(vacío)</t>
        </is>
      </c>
      <c r="I26" s="42" t="inlineStr">
        <is>
          <t>—</t>
        </is>
      </c>
      <c r="J26" s="42" t="inlineStr">
        <is>
          <t>Sin vicio de motivación (sin marca explícita)</t>
        </is>
      </c>
    </row>
    <row r="27">
      <c r="A27" s="43" t="n">
        <v>26</v>
      </c>
      <c r="B27" s="43" t="inlineStr">
        <is>
          <t>00933-2022</t>
        </is>
      </c>
      <c r="C27" s="43" t="inlineStr">
        <is>
          <t>Llamoja — SV de control (2021-2023)</t>
        </is>
      </c>
      <c r="D27" s="43" t="inlineStr">
        <is>
          <t>3SC</t>
        </is>
      </c>
      <c r="E27" s="43" t="inlineStr">
        <is>
          <t>72-2024-3SC</t>
        </is>
      </c>
      <c r="F27" s="43" t="inlineStr">
        <is>
          <t>NULA</t>
        </is>
      </c>
      <c r="G27" s="43" t="inlineStr">
        <is>
          <t>D14 (DECLARADO — (evidencia en las columnas «Cita textual 1–3» de...), D16 (DECLARADO — (evidencia en las columnas «Cita textual 1–3» de...)</t>
        </is>
      </c>
      <c r="H27" s="43" t="inlineStr">
        <is>
          <t>a) Inexistencia / motivación aparente</t>
        </is>
      </c>
      <c r="I27" s="43" t="inlineStr">
        <is>
          <t>a) Inexistencia / motivación aparente</t>
        </is>
      </c>
      <c r="J27" s="43" t="inlineStr">
        <is>
          <t>Clasificado (a-f) en el corpus</t>
        </is>
      </c>
    </row>
    <row r="28">
      <c r="A28" s="41" t="n">
        <v>27</v>
      </c>
      <c r="B28" s="41" t="inlineStr">
        <is>
          <t>00965-2015</t>
        </is>
      </c>
      <c r="C28" s="41" t="inlineStr">
        <is>
          <t>Pre-2019</t>
        </is>
      </c>
      <c r="D28" s="41" t="inlineStr">
        <is>
          <t>3SC</t>
        </is>
      </c>
      <c r="E28" s="41" t="inlineStr">
        <is>
          <t>SV N° 498-2019-3SC</t>
        </is>
      </c>
      <c r="F28" s="41" t="inlineStr">
        <is>
          <t>Nula</t>
        </is>
      </c>
      <c r="G28" s="41" t="inlineStr">
        <is>
          <t>D23 (DECLARADO — “…requisitos que deben contener las Resoluciones...)</t>
        </is>
      </c>
      <c r="H28" s="41" t="inlineStr">
        <is>
          <t>(vacío)</t>
        </is>
      </c>
      <c r="I28" s="41" t="inlineStr">
        <is>
          <t>(ambiguo: D23)</t>
        </is>
      </c>
      <c r="J28" s="41" t="inlineStr">
        <is>
          <t>Pendiente de clasificar — requiere lectura (D16/D23)</t>
        </is>
      </c>
    </row>
    <row r="29">
      <c r="A29" s="42" t="n">
        <v>28</v>
      </c>
      <c r="B29" s="42" t="inlineStr">
        <is>
          <t>00979-2024</t>
        </is>
      </c>
      <c r="C29" s="42" t="inlineStr">
        <is>
          <t>Matriz sumarísimos — grupo 2024</t>
        </is>
      </c>
      <c r="D29" s="42" t="inlineStr">
        <is>
          <t>1SC</t>
        </is>
      </c>
      <c r="E29" s="42" t="inlineStr">
        <is>
          <t>Auto de Vista 960-2025-1SC</t>
        </is>
      </c>
      <c r="F29" s="42" t="inlineStr">
        <is>
          <t>CONFIRMADA</t>
        </is>
      </c>
      <c r="G29" s="42" t="inlineStr">
        <is>
          <t>—</t>
        </is>
      </c>
      <c r="H29" s="42" t="inlineStr">
        <is>
          <t>(vacío)</t>
        </is>
      </c>
      <c r="I29" s="42" t="inlineStr">
        <is>
          <t>—</t>
        </is>
      </c>
      <c r="J29" s="42" t="inlineStr">
        <is>
          <t>Sin vicio de motivación (sin marca explícita)</t>
        </is>
      </c>
    </row>
    <row r="30">
      <c r="A30" s="41" t="n">
        <v>29</v>
      </c>
      <c r="B30" s="41" t="inlineStr">
        <is>
          <t>00992-2016</t>
        </is>
      </c>
      <c r="C30" s="41" t="inlineStr">
        <is>
          <t>Pre-2019</t>
        </is>
      </c>
      <c r="D30" s="41" t="inlineStr">
        <is>
          <t>3SC</t>
        </is>
      </c>
      <c r="E30" s="41" t="inlineStr">
        <is>
          <t>SV N° 76-2019-3SC</t>
        </is>
      </c>
      <c r="F30" s="41" t="inlineStr">
        <is>
          <t>Otro</t>
        </is>
      </c>
      <c r="G30" s="41" t="inlineStr">
        <is>
          <t>D16 (DECLARADO — “…o 04003327. Que, la sentencia recurrida ha omi...), D23 (DECLARADO — “…la sentencia apelada incurre en causal de nuli...)</t>
        </is>
      </c>
      <c r="H30" s="41" t="inlineStr">
        <is>
          <t>(vacío)</t>
        </is>
      </c>
      <c r="I30" s="41" t="inlineStr">
        <is>
          <t>(ambiguo: D16/D23)</t>
        </is>
      </c>
      <c r="J30" s="41" t="inlineStr">
        <is>
          <t>Pendiente de clasificar — requiere lectura (D16/D23)</t>
        </is>
      </c>
    </row>
    <row r="31">
      <c r="A31" s="43" t="n">
        <v>30</v>
      </c>
      <c r="B31" s="43" t="inlineStr">
        <is>
          <t>01033-2023</t>
        </is>
      </c>
      <c r="C31" s="43" t="inlineStr">
        <is>
          <t>Llamoja — SV de control (2021-2023)</t>
        </is>
      </c>
      <c r="D31" s="43" t="inlineStr">
        <is>
          <t>2SC</t>
        </is>
      </c>
      <c r="E31" s="43" t="inlineStr">
        <is>
          <t>470-2025-2SC</t>
        </is>
      </c>
      <c r="F31" s="43" t="inlineStr">
        <is>
          <t>NULA DE OFICIO</t>
        </is>
      </c>
      <c r="G31" s="43" t="inlineStr">
        <is>
          <t>D16 (DECLARADO — (evidencia en las columnas «Cita textual 1–3» de...)</t>
        </is>
      </c>
      <c r="H31" s="43" t="inlineStr">
        <is>
          <t>e) Motivación sustancialmente incongruente</t>
        </is>
      </c>
      <c r="I31" s="43" t="inlineStr">
        <is>
          <t>e) Motivación sustancialmente incongruente</t>
        </is>
      </c>
      <c r="J31" s="43" t="inlineStr">
        <is>
          <t>Clasificado (a-f) en el corpus</t>
        </is>
      </c>
    </row>
    <row r="32">
      <c r="A32" s="41" t="n">
        <v>31</v>
      </c>
      <c r="B32" s="41" t="inlineStr">
        <is>
          <t>01101-2022</t>
        </is>
      </c>
      <c r="C32" s="41" t="inlineStr">
        <is>
          <t>2024</t>
        </is>
      </c>
      <c r="D32" s="41" t="inlineStr">
        <is>
          <t>2SC</t>
        </is>
      </c>
      <c r="E32" s="41" t="inlineStr">
        <is>
          <t>SV N° 226-2025-2SC</t>
        </is>
      </c>
      <c r="F32" s="41" t="inlineStr">
        <is>
          <t>Nula</t>
        </is>
      </c>
      <c r="G32" s="41" t="inlineStr">
        <is>
          <t>D23 (DECLARADO — “…lo no es posible particularmente en este caso,...)</t>
        </is>
      </c>
      <c r="H32" s="41" t="inlineStr">
        <is>
          <t>(vacío)</t>
        </is>
      </c>
      <c r="I32" s="41" t="inlineStr">
        <is>
          <t>(ambiguo: D23)</t>
        </is>
      </c>
      <c r="J32" s="41" t="inlineStr">
        <is>
          <t>Pendiente de clasificar — requiere lectura (D16/D23)</t>
        </is>
      </c>
    </row>
    <row r="33">
      <c r="A33" s="42" t="n">
        <v>32</v>
      </c>
      <c r="B33" s="42" t="inlineStr">
        <is>
          <t>01286-2022</t>
        </is>
      </c>
      <c r="C33" s="42" t="inlineStr">
        <is>
          <t>2024</t>
        </is>
      </c>
      <c r="D33" s="42" t="inlineStr">
        <is>
          <t>2SC</t>
        </is>
      </c>
      <c r="E33" s="42" t="inlineStr">
        <is>
          <t>SV N° 341-2025-2SC</t>
        </is>
      </c>
      <c r="F33" s="42" t="inlineStr">
        <is>
          <t>Nula e insubsistente</t>
        </is>
      </c>
      <c r="G33" s="42" t="inlineStr">
        <is>
          <t>—</t>
        </is>
      </c>
      <c r="H33" s="42" t="inlineStr">
        <is>
          <t>(vacío)</t>
        </is>
      </c>
      <c r="I33" s="42" t="inlineStr">
        <is>
          <t>—</t>
        </is>
      </c>
      <c r="J33" s="42" t="inlineStr">
        <is>
          <t>Sin vicio de motivación (sin marca explícita)</t>
        </is>
      </c>
    </row>
    <row r="34">
      <c r="A34" s="42" t="n">
        <v>33</v>
      </c>
      <c r="B34" s="42" t="inlineStr">
        <is>
          <t>01328-2023</t>
        </is>
      </c>
      <c r="C34" s="42" t="inlineStr">
        <is>
          <t>2024</t>
        </is>
      </c>
      <c r="D34" s="42" t="inlineStr">
        <is>
          <t>2SC</t>
        </is>
      </c>
      <c r="E34" s="42" t="inlineStr">
        <is>
          <t>SV N° 155-2025-2SC</t>
        </is>
      </c>
      <c r="F34" s="42" t="inlineStr">
        <is>
          <t>Revocada</t>
        </is>
      </c>
      <c r="G34" s="42" t="inlineStr">
        <is>
          <t>—</t>
        </is>
      </c>
      <c r="H34" s="42" t="inlineStr">
        <is>
          <t>(vacío)</t>
        </is>
      </c>
      <c r="I34" s="42" t="inlineStr">
        <is>
          <t>—</t>
        </is>
      </c>
      <c r="J34" s="42" t="inlineStr">
        <is>
          <t>Sin vicio de motivación (sin marca explícita)</t>
        </is>
      </c>
    </row>
    <row r="35">
      <c r="A35" s="42" t="n">
        <v>34</v>
      </c>
      <c r="B35" s="42" t="inlineStr">
        <is>
          <t>01376-2023</t>
        </is>
      </c>
      <c r="C35" s="42" t="inlineStr">
        <is>
          <t>2024</t>
        </is>
      </c>
      <c r="D35" s="42" t="inlineStr">
        <is>
          <t>2SC</t>
        </is>
      </c>
      <c r="E35" s="42" t="inlineStr">
        <is>
          <t>SV N° 033-2026-2SC</t>
        </is>
      </c>
      <c r="F35" s="42" t="inlineStr">
        <is>
          <t>Revocada</t>
        </is>
      </c>
      <c r="G35" s="42" t="inlineStr">
        <is>
          <t>—</t>
        </is>
      </c>
      <c r="H35" s="42" t="inlineStr">
        <is>
          <t>(vacío)</t>
        </is>
      </c>
      <c r="I35" s="42" t="inlineStr">
        <is>
          <t>—</t>
        </is>
      </c>
      <c r="J35" s="42" t="inlineStr">
        <is>
          <t>Sin vicio de motivación (sin marca explícita)</t>
        </is>
      </c>
    </row>
    <row r="36">
      <c r="A36" s="41" t="n">
        <v>35</v>
      </c>
      <c r="B36" s="41" t="inlineStr">
        <is>
          <t>01417-2017</t>
        </is>
      </c>
      <c r="C36" s="41" t="inlineStr">
        <is>
          <t>Pre-2019</t>
        </is>
      </c>
      <c r="D36" s="41" t="inlineStr">
        <is>
          <t>2SC</t>
        </is>
      </c>
      <c r="E36" s="41" t="inlineStr">
        <is>
          <t>SV N° 004-2020-2SC</t>
        </is>
      </c>
      <c r="F36" s="41" t="inlineStr">
        <is>
          <t>Nula</t>
        </is>
      </c>
      <c r="G36" s="41" t="inlineStr">
        <is>
          <t>D23 (DECLARADO — “…en mérito a lo expuesto precedentemente se con...)</t>
        </is>
      </c>
      <c r="H36" s="41" t="inlineStr">
        <is>
          <t>(vacío)</t>
        </is>
      </c>
      <c r="I36" s="41" t="inlineStr">
        <is>
          <t>(ambiguo: D23)</t>
        </is>
      </c>
      <c r="J36" s="41" t="inlineStr">
        <is>
          <t>Pendiente de clasificar — requiere lectura (D16/D23)</t>
        </is>
      </c>
    </row>
    <row r="37">
      <c r="A37" s="41" t="n">
        <v>36</v>
      </c>
      <c r="B37" s="41" t="inlineStr">
        <is>
          <t>01535-2022</t>
        </is>
      </c>
      <c r="C37" s="41" t="inlineStr">
        <is>
          <t>2024</t>
        </is>
      </c>
      <c r="D37" s="41" t="inlineStr">
        <is>
          <t>2SC</t>
        </is>
      </c>
      <c r="E37" s="41" t="inlineStr">
        <is>
          <t>SV N° 572-2024-2SC</t>
        </is>
      </c>
      <c r="F37" s="41" t="inlineStr">
        <is>
          <t>Nula</t>
        </is>
      </c>
      <c r="G37" s="41" t="inlineStr">
        <is>
          <t>D14 (DECLARADO — “…a que a través de la resolución apelada no se ...)</t>
        </is>
      </c>
      <c r="H37" s="41" t="inlineStr">
        <is>
          <t>(vacío)</t>
        </is>
      </c>
      <c r="I37" s="41" t="inlineStr">
        <is>
          <t>a) Inexistencia / motivación aparente</t>
        </is>
      </c>
      <c r="J37" s="41" t="inlineStr">
        <is>
          <t>Pendiente de clasificar — mapeo directo posible</t>
        </is>
      </c>
    </row>
    <row r="38">
      <c r="A38" s="42" t="n">
        <v>37</v>
      </c>
      <c r="B38" s="42" t="inlineStr">
        <is>
          <t>01549-2017</t>
        </is>
      </c>
      <c r="C38" s="42" t="inlineStr">
        <is>
          <t>Matriz sumarísimos — anteriores a 2019</t>
        </is>
      </c>
      <c r="D38" s="42" t="inlineStr">
        <is>
          <t>2SC</t>
        </is>
      </c>
      <c r="E38" s="42" t="inlineStr">
        <is>
          <t>SV 173-2019-2SC</t>
        </is>
      </c>
      <c r="F38" s="42" t="inlineStr">
        <is>
          <t>REVOCADA → IMPROCEDENTE</t>
        </is>
      </c>
      <c r="G38" s="42" t="inlineStr">
        <is>
          <t>—</t>
        </is>
      </c>
      <c r="H38" s="42" t="inlineStr">
        <is>
          <t>(vacío)</t>
        </is>
      </c>
      <c r="I38" s="42" t="inlineStr">
        <is>
          <t>—</t>
        </is>
      </c>
      <c r="J38" s="42" t="inlineStr">
        <is>
          <t>Sin vicio de motivación (sin marca explícita)</t>
        </is>
      </c>
    </row>
    <row r="39">
      <c r="A39" s="41" t="n">
        <v>38</v>
      </c>
      <c r="B39" s="41" t="inlineStr">
        <is>
          <t>01647-2019</t>
        </is>
      </c>
      <c r="C39" s="41" t="inlineStr">
        <is>
          <t>2024</t>
        </is>
      </c>
      <c r="D39" s="41" t="inlineStr">
        <is>
          <t>2SC</t>
        </is>
      </c>
      <c r="E39" s="41" t="inlineStr">
        <is>
          <t>SV N° 082-2026-2SC</t>
        </is>
      </c>
      <c r="F39" s="41" t="inlineStr">
        <is>
          <t>Nula</t>
        </is>
      </c>
      <c r="G39" s="41" t="inlineStr">
        <is>
          <t>D14 (DECLARADO — “…al debido proceso y el de motivación estableci...)</t>
        </is>
      </c>
      <c r="H39" s="41" t="inlineStr">
        <is>
          <t>(vacío)</t>
        </is>
      </c>
      <c r="I39" s="41" t="inlineStr">
        <is>
          <t>a) Inexistencia / motivación aparente</t>
        </is>
      </c>
      <c r="J39" s="41" t="inlineStr">
        <is>
          <t>Pendiente de clasificar — mapeo directo posible</t>
        </is>
      </c>
    </row>
    <row r="40">
      <c r="A40" s="42" t="n">
        <v>39</v>
      </c>
      <c r="B40" s="42" t="inlineStr">
        <is>
          <t>01650-2023</t>
        </is>
      </c>
      <c r="C40" s="42" t="inlineStr">
        <is>
          <t>2024</t>
        </is>
      </c>
      <c r="D40" s="42" t="n"/>
      <c r="E40" s="42" t="inlineStr">
        <is>
          <t>SV N° 267-2025</t>
        </is>
      </c>
      <c r="F40" s="42" t="inlineStr">
        <is>
          <t>Revocada</t>
        </is>
      </c>
      <c r="G40" s="42" t="inlineStr">
        <is>
          <t>—</t>
        </is>
      </c>
      <c r="H40" s="42" t="inlineStr">
        <is>
          <t>(vacío)</t>
        </is>
      </c>
      <c r="I40" s="42" t="inlineStr">
        <is>
          <t>—</t>
        </is>
      </c>
      <c r="J40" s="42" t="inlineStr">
        <is>
          <t>Sin vicio de motivación (sin marca explícita)</t>
        </is>
      </c>
    </row>
    <row r="41">
      <c r="A41" s="43" t="n">
        <v>40</v>
      </c>
      <c r="B41" s="43" t="inlineStr">
        <is>
          <t>01681-2023</t>
        </is>
      </c>
      <c r="C41" s="43" t="inlineStr">
        <is>
          <t>Llamoja — SV de control (2021-2023)</t>
        </is>
      </c>
      <c r="D41" s="43" t="inlineStr">
        <is>
          <t>3SC</t>
        </is>
      </c>
      <c r="E41" s="43" t="inlineStr">
        <is>
          <t>219-2025-3SC</t>
        </is>
      </c>
      <c r="F41" s="43" t="inlineStr">
        <is>
          <t>NULA (reposición hasta puntos controvertidos)</t>
        </is>
      </c>
      <c r="G41" s="43" t="inlineStr">
        <is>
          <t>D15 (DECLARADO — (evidencia en las columnas «Cita textual 1–3» de...)</t>
        </is>
      </c>
      <c r="H41" s="43" t="inlineStr">
        <is>
          <t>b) Falta de motivación interna</t>
        </is>
      </c>
      <c r="I41" s="43" t="inlineStr">
        <is>
          <t>b) Falta de motivación interna</t>
        </is>
      </c>
      <c r="J41" s="43" t="inlineStr">
        <is>
          <t>Clasificado (a-f) en el corpus</t>
        </is>
      </c>
    </row>
    <row r="42">
      <c r="A42" s="42" t="n">
        <v>41</v>
      </c>
      <c r="B42" s="42" t="inlineStr">
        <is>
          <t>01723-2022</t>
        </is>
      </c>
      <c r="C42" s="42" t="inlineStr">
        <is>
          <t>Llamoja — SV de control (2021-2023)</t>
        </is>
      </c>
      <c r="D42" s="42" t="inlineStr">
        <is>
          <t>2SC</t>
        </is>
      </c>
      <c r="E42" s="42" t="inlineStr">
        <is>
          <t>063-2025-2SC</t>
        </is>
      </c>
      <c r="F42" s="42" t="inlineStr">
        <is>
          <t>REVOCA → IMPROCEDENTE</t>
        </is>
      </c>
      <c r="G42" s="42" t="inlineStr">
        <is>
          <t>—</t>
        </is>
      </c>
      <c r="H42" s="42" t="inlineStr">
        <is>
          <t>— Sin vicio de motivación como causal</t>
        </is>
      </c>
      <c r="I42" s="42" t="inlineStr">
        <is>
          <t>—</t>
        </is>
      </c>
      <c r="J42" s="42" t="inlineStr">
        <is>
          <t>Sin vicio de motivación (marcado explícito)</t>
        </is>
      </c>
    </row>
    <row r="43">
      <c r="A43" s="41" t="n">
        <v>42</v>
      </c>
      <c r="B43" s="41" t="inlineStr">
        <is>
          <t>01734-2017</t>
        </is>
      </c>
      <c r="C43" s="41" t="inlineStr">
        <is>
          <t>Pre-2019</t>
        </is>
      </c>
      <c r="D43" s="41" t="inlineStr">
        <is>
          <t>2SC</t>
        </is>
      </c>
      <c r="E43" s="41" t="inlineStr">
        <is>
          <t>SV N° 017-2019-2SC</t>
        </is>
      </c>
      <c r="F43" s="41" t="inlineStr">
        <is>
          <t>Nula</t>
        </is>
      </c>
      <c r="G43" s="41" t="inlineStr">
        <is>
          <t>D15 (DECLARADO — “…dose establecido que el fundamento expuesto en...)</t>
        </is>
      </c>
      <c r="H43" s="41" t="inlineStr">
        <is>
          <t>(vacío)</t>
        </is>
      </c>
      <c r="I43" s="41" t="inlineStr">
        <is>
          <t>b) Falta de motivación interna</t>
        </is>
      </c>
      <c r="J43" s="41" t="inlineStr">
        <is>
          <t>Pendiente de clasificar — mapeo directo posible</t>
        </is>
      </c>
    </row>
    <row r="44">
      <c r="A44" s="42" t="n">
        <v>43</v>
      </c>
      <c r="B44" s="42" t="inlineStr">
        <is>
          <t>01835-2024</t>
        </is>
      </c>
      <c r="C44" s="42" t="inlineStr">
        <is>
          <t>2024</t>
        </is>
      </c>
      <c r="D44" s="42" t="inlineStr">
        <is>
          <t>1SC</t>
        </is>
      </c>
      <c r="E44" s="42" t="inlineStr">
        <is>
          <t>SV N° 295-2025-1SC</t>
        </is>
      </c>
      <c r="F44" s="42" t="inlineStr">
        <is>
          <t>Revocada</t>
        </is>
      </c>
      <c r="G44" s="42" t="inlineStr">
        <is>
          <t>—</t>
        </is>
      </c>
      <c r="H44" s="42" t="inlineStr">
        <is>
          <t>(vacío)</t>
        </is>
      </c>
      <c r="I44" s="42" t="inlineStr">
        <is>
          <t>—</t>
        </is>
      </c>
      <c r="J44" s="42" t="inlineStr">
        <is>
          <t>Sin vicio de motivación (sin marca explícita)</t>
        </is>
      </c>
    </row>
    <row r="45">
      <c r="A45" s="43" t="n">
        <v>44</v>
      </c>
      <c r="B45" s="43" t="inlineStr">
        <is>
          <t>01869-2023</t>
        </is>
      </c>
      <c r="C45" s="43" t="inlineStr">
        <is>
          <t>Llamoja — SV de control (2021-2023)</t>
        </is>
      </c>
      <c r="D45" s="43" t="inlineStr">
        <is>
          <t>2SC</t>
        </is>
      </c>
      <c r="E45" s="43" t="inlineStr">
        <is>
          <t>032-2026-2SC</t>
        </is>
      </c>
      <c r="F45" s="43" t="inlineStr">
        <is>
          <t>NULA</t>
        </is>
      </c>
      <c r="G45" s="43" t="inlineStr">
        <is>
          <t>D13 (DECLARADO — (evidencia en las columnas «Cita textual 1–3» de...), D21 (DECLARADO — «el juzgado de primera instancia sustenta su con...)</t>
        </is>
      </c>
      <c r="H45" s="43" t="inlineStr">
        <is>
          <t>d) Motivación insuficiente</t>
        </is>
      </c>
      <c r="I45" s="43" t="inlineStr">
        <is>
          <t>d) Motivación insuficiente</t>
        </is>
      </c>
      <c r="J45" s="43" t="inlineStr">
        <is>
          <t>Clasificado (a-f) en el corpus</t>
        </is>
      </c>
    </row>
    <row r="46">
      <c r="A46" s="41" t="n">
        <v>45</v>
      </c>
      <c r="B46" s="41" t="inlineStr">
        <is>
          <t>01879-2022</t>
        </is>
      </c>
      <c r="C46" s="41" t="inlineStr">
        <is>
          <t>2024</t>
        </is>
      </c>
      <c r="D46" s="41" t="inlineStr">
        <is>
          <t>2SC</t>
        </is>
      </c>
      <c r="E46" s="41" t="inlineStr">
        <is>
          <t>SV N° 527-2025-2SC</t>
        </is>
      </c>
      <c r="F46" s="41" t="inlineStr">
        <is>
          <t>Nula</t>
        </is>
      </c>
      <c r="G46" s="41" t="inlineStr">
        <is>
          <t>D23 (DECLARADO — “…esta instancia superior no puede subsanar los ...)</t>
        </is>
      </c>
      <c r="H46" s="41" t="inlineStr">
        <is>
          <t>(vacío)</t>
        </is>
      </c>
      <c r="I46" s="41" t="inlineStr">
        <is>
          <t>(ambiguo: D23)</t>
        </is>
      </c>
      <c r="J46" s="41" t="inlineStr">
        <is>
          <t>Pendiente de clasificar — requiere lectura (D16/D23)</t>
        </is>
      </c>
    </row>
    <row r="47">
      <c r="A47" s="42" t="n">
        <v>46</v>
      </c>
      <c r="B47" s="42" t="inlineStr">
        <is>
          <t>01888-2011</t>
        </is>
      </c>
      <c r="C47" s="42" t="inlineStr">
        <is>
          <t>Pre-2019</t>
        </is>
      </c>
      <c r="D47" s="42" t="inlineStr">
        <is>
          <t>2SC</t>
        </is>
      </c>
      <c r="E47" s="42" t="inlineStr">
        <is>
          <t>SV N° 022-2020-2SC</t>
        </is>
      </c>
      <c r="F47" s="42" t="inlineStr">
        <is>
          <t>Nula</t>
        </is>
      </c>
      <c r="G47" s="42" t="inlineStr">
        <is>
          <t>—</t>
        </is>
      </c>
      <c r="H47" s="42" t="inlineStr">
        <is>
          <t>(vacío)</t>
        </is>
      </c>
      <c r="I47" s="42" t="inlineStr">
        <is>
          <t>—</t>
        </is>
      </c>
      <c r="J47" s="42" t="inlineStr">
        <is>
          <t>Sin vicio de motivación (sin marca explícita)</t>
        </is>
      </c>
    </row>
    <row r="48">
      <c r="A48" s="42" t="n">
        <v>47</v>
      </c>
      <c r="B48" s="42" t="inlineStr">
        <is>
          <t>01946-2016</t>
        </is>
      </c>
      <c r="C48" s="42" t="inlineStr">
        <is>
          <t>Pre-2019</t>
        </is>
      </c>
      <c r="D48" s="42" t="inlineStr">
        <is>
          <t>3SC</t>
        </is>
      </c>
      <c r="E48" s="42" t="inlineStr">
        <is>
          <t>SV N° 616-2019-3SC</t>
        </is>
      </c>
      <c r="F48" s="42" t="inlineStr">
        <is>
          <t>Revocada</t>
        </is>
      </c>
      <c r="G48" s="42" t="inlineStr">
        <is>
          <t>—</t>
        </is>
      </c>
      <c r="H48" s="42" t="inlineStr">
        <is>
          <t>(vacío)</t>
        </is>
      </c>
      <c r="I48" s="42" t="inlineStr">
        <is>
          <t>—</t>
        </is>
      </c>
      <c r="J48" s="42" t="inlineStr">
        <is>
          <t>Sin vicio de motivación (sin marca explícita)</t>
        </is>
      </c>
    </row>
    <row r="49">
      <c r="A49" s="42" t="n">
        <v>48</v>
      </c>
      <c r="B49" s="42" t="inlineStr">
        <is>
          <t>02167-2023</t>
        </is>
      </c>
      <c r="C49" s="42" t="inlineStr">
        <is>
          <t>Matriz sumarísimos — grupo 2024</t>
        </is>
      </c>
      <c r="D49" s="42" t="inlineStr">
        <is>
          <t>2SC</t>
        </is>
      </c>
      <c r="E49" s="42" t="inlineStr">
        <is>
          <t>SV 608-2025-2SC (por mayoría)</t>
        </is>
      </c>
      <c r="F49" s="42" t="inlineStr">
        <is>
          <t>REVOCADA → IMPROCEDENTE (por mayoría)</t>
        </is>
      </c>
      <c r="G49" s="42" t="inlineStr">
        <is>
          <t>—</t>
        </is>
      </c>
      <c r="H49" s="42" t="inlineStr">
        <is>
          <t>(vacío)</t>
        </is>
      </c>
      <c r="I49" s="42" t="inlineStr">
        <is>
          <t>—</t>
        </is>
      </c>
      <c r="J49" s="42" t="inlineStr">
        <is>
          <t>Sin vicio de motivación (sin marca explícita)</t>
        </is>
      </c>
    </row>
    <row r="50">
      <c r="A50" s="42" t="n">
        <v>49</v>
      </c>
      <c r="B50" s="42" t="inlineStr">
        <is>
          <t>02275-2023</t>
        </is>
      </c>
      <c r="C50" s="42" t="inlineStr">
        <is>
          <t>Llamoja — SV de control (2021-2023)</t>
        </is>
      </c>
      <c r="D50" s="42" t="inlineStr">
        <is>
          <t>3SC</t>
        </is>
      </c>
      <c r="E50" s="42" t="inlineStr">
        <is>
          <t>412-2025-3SC</t>
        </is>
      </c>
      <c r="F50" s="42" t="inlineStr">
        <is>
          <t>NULA + nulo lo actuado desde la notificación</t>
        </is>
      </c>
      <c r="G50" s="42" t="inlineStr">
        <is>
          <t>—</t>
        </is>
      </c>
      <c r="H50" s="42" t="inlineStr">
        <is>
          <t>— Sin vicio de motivación como causal</t>
        </is>
      </c>
      <c r="I50" s="42" t="inlineStr">
        <is>
          <t>—</t>
        </is>
      </c>
      <c r="J50" s="42" t="inlineStr">
        <is>
          <t>Sin vicio de motivación (marcado explícito)</t>
        </is>
      </c>
    </row>
    <row r="51">
      <c r="A51" s="42" t="n">
        <v>50</v>
      </c>
      <c r="B51" s="42" t="inlineStr">
        <is>
          <t>02371-2021</t>
        </is>
      </c>
      <c r="C51" s="42" t="inlineStr">
        <is>
          <t>2024</t>
        </is>
      </c>
      <c r="D51" s="42" t="n"/>
      <c r="E51" s="42" t="inlineStr">
        <is>
          <t>SV N° 443-2025</t>
        </is>
      </c>
      <c r="F51" s="42" t="inlineStr">
        <is>
          <t>Revocada</t>
        </is>
      </c>
      <c r="G51" s="42" t="inlineStr">
        <is>
          <t>—</t>
        </is>
      </c>
      <c r="H51" s="42" t="inlineStr">
        <is>
          <t>(vacío)</t>
        </is>
      </c>
      <c r="I51" s="42" t="inlineStr">
        <is>
          <t>—</t>
        </is>
      </c>
      <c r="J51" s="42" t="inlineStr">
        <is>
          <t>Sin vicio de motivación (sin marca explícita)</t>
        </is>
      </c>
    </row>
    <row r="52">
      <c r="A52" s="42" t="n">
        <v>51</v>
      </c>
      <c r="B52" s="42" t="inlineStr">
        <is>
          <t>02483-2021</t>
        </is>
      </c>
      <c r="C52" s="42" t="inlineStr">
        <is>
          <t>Llamoja — SV de control (2021-2023)</t>
        </is>
      </c>
      <c r="D52" s="42" t="inlineStr">
        <is>
          <t>2SC</t>
        </is>
      </c>
      <c r="E52" s="42" t="inlineStr">
        <is>
          <t>139-2023</t>
        </is>
      </c>
      <c r="F52" s="42" t="inlineStr">
        <is>
          <t>NULA</t>
        </is>
      </c>
      <c r="G52" s="42" t="inlineStr">
        <is>
          <t>—</t>
        </is>
      </c>
      <c r="H52" s="42" t="inlineStr">
        <is>
          <t>— Sin vicio de motivación como causal</t>
        </is>
      </c>
      <c r="I52" s="42" t="inlineStr">
        <is>
          <t>—</t>
        </is>
      </c>
      <c r="J52" s="42" t="inlineStr">
        <is>
          <t>Sin vicio de motivación (marcado explícito)</t>
        </is>
      </c>
    </row>
    <row r="53">
      <c r="A53" s="41" t="n">
        <v>52</v>
      </c>
      <c r="B53" s="41" t="inlineStr">
        <is>
          <t>02505-2009</t>
        </is>
      </c>
      <c r="C53" s="41" t="inlineStr">
        <is>
          <t>Pre-2019</t>
        </is>
      </c>
      <c r="D53" s="41" t="inlineStr">
        <is>
          <t>3SC</t>
        </is>
      </c>
      <c r="E53" s="41" t="inlineStr">
        <is>
          <t>SV N° 02-2019-3SC</t>
        </is>
      </c>
      <c r="F53" s="41" t="inlineStr">
        <is>
          <t>Nula</t>
        </is>
      </c>
      <c r="G53" s="41" t="inlineStr">
        <is>
          <t>D16 (DECLARADO — “…se ha incurrido en nulidad al no haberse resue...)</t>
        </is>
      </c>
      <c r="H53" s="41" t="inlineStr">
        <is>
          <t>(vacío)</t>
        </is>
      </c>
      <c r="I53" s="41" t="inlineStr">
        <is>
          <t>(ambiguo: D16)</t>
        </is>
      </c>
      <c r="J53" s="41" t="inlineStr">
        <is>
          <t>Pendiente de clasificar — requiere lectura (D16/D23)</t>
        </is>
      </c>
    </row>
    <row r="54">
      <c r="A54" s="42" t="n">
        <v>53</v>
      </c>
      <c r="B54" s="42" t="inlineStr">
        <is>
          <t>02532-2017</t>
        </is>
      </c>
      <c r="C54" s="42" t="inlineStr">
        <is>
          <t>Matriz sumarísimos — anteriores a 2019</t>
        </is>
      </c>
      <c r="D54" s="42" t="inlineStr">
        <is>
          <t>1SC</t>
        </is>
      </c>
      <c r="E54" s="42" t="inlineStr">
        <is>
          <t>SV 519-2018-1SC</t>
        </is>
      </c>
      <c r="F54" s="42" t="inlineStr">
        <is>
          <t>DESAPROBADA (reenvío)</t>
        </is>
      </c>
      <c r="G54" s="42" t="inlineStr">
        <is>
          <t>—</t>
        </is>
      </c>
      <c r="H54" s="42" t="inlineStr">
        <is>
          <t>(vacío)</t>
        </is>
      </c>
      <c r="I54" s="42" t="inlineStr">
        <is>
          <t>—</t>
        </is>
      </c>
      <c r="J54" s="42" t="inlineStr">
        <is>
          <t>Sin vicio de motivación (sin marca explícita)</t>
        </is>
      </c>
    </row>
    <row r="55">
      <c r="A55" s="41" t="n">
        <v>54</v>
      </c>
      <c r="B55" s="41" t="inlineStr">
        <is>
          <t>02635-2019</t>
        </is>
      </c>
      <c r="C55" s="41" t="inlineStr">
        <is>
          <t>2024</t>
        </is>
      </c>
      <c r="D55" s="41" t="n"/>
      <c r="E55" s="41" t="inlineStr">
        <is>
          <t>SV N° 531-2023</t>
        </is>
      </c>
      <c r="F55" s="41" t="inlineStr">
        <is>
          <t>Nula</t>
        </is>
      </c>
      <c r="G55" s="41" t="inlineStr">
        <is>
          <t>D14 (DECLARADO — “…ha copiado y pegado literalmente todo el texto...)</t>
        </is>
      </c>
      <c r="H55" s="41" t="inlineStr">
        <is>
          <t>(vacío)</t>
        </is>
      </c>
      <c r="I55" s="41" t="inlineStr">
        <is>
          <t>a) Inexistencia / motivación aparente</t>
        </is>
      </c>
      <c r="J55" s="41" t="inlineStr">
        <is>
          <t>Pendiente de clasificar — mapeo directo posible</t>
        </is>
      </c>
    </row>
    <row r="56">
      <c r="A56" s="42" t="n">
        <v>55</v>
      </c>
      <c r="B56" s="42" t="inlineStr">
        <is>
          <t>02641-2010</t>
        </is>
      </c>
      <c r="C56" s="42" t="inlineStr">
        <is>
          <t>Pre-2019</t>
        </is>
      </c>
      <c r="D56" s="42" t="inlineStr">
        <is>
          <t>1SC</t>
        </is>
      </c>
      <c r="E56" s="42" t="inlineStr">
        <is>
          <t>SV N° 479-2018-1SC</t>
        </is>
      </c>
      <c r="F56" s="42" t="inlineStr">
        <is>
          <t>Nula</t>
        </is>
      </c>
      <c r="G56" s="42" t="inlineStr">
        <is>
          <t>—</t>
        </is>
      </c>
      <c r="H56" s="42" t="inlineStr">
        <is>
          <t>(vacío)</t>
        </is>
      </c>
      <c r="I56" s="42" t="inlineStr">
        <is>
          <t>—</t>
        </is>
      </c>
      <c r="J56" s="42" t="inlineStr">
        <is>
          <t>Sin vicio de motivación (sin marca explícita)</t>
        </is>
      </c>
    </row>
    <row r="57">
      <c r="A57" s="42" t="n">
        <v>56</v>
      </c>
      <c r="B57" s="42" t="inlineStr">
        <is>
          <t>02706-2015</t>
        </is>
      </c>
      <c r="C57" s="42" t="inlineStr">
        <is>
          <t>Pre-2019</t>
        </is>
      </c>
      <c r="D57" s="42" t="inlineStr">
        <is>
          <t>2SC</t>
        </is>
      </c>
      <c r="E57" s="42" t="inlineStr">
        <is>
          <t>SV N° 070-2019-2SC</t>
        </is>
      </c>
      <c r="F57" s="42" t="inlineStr">
        <is>
          <t>Nula</t>
        </is>
      </c>
      <c r="G57" s="42" t="inlineStr">
        <is>
          <t>—</t>
        </is>
      </c>
      <c r="H57" s="42" t="inlineStr">
        <is>
          <t>(vacío)</t>
        </is>
      </c>
      <c r="I57" s="42" t="inlineStr">
        <is>
          <t>—</t>
        </is>
      </c>
      <c r="J57" s="42" t="inlineStr">
        <is>
          <t>Sin vicio de motivación (sin marca explícita)</t>
        </is>
      </c>
    </row>
    <row r="58">
      <c r="A58" s="42" t="n">
        <v>57</v>
      </c>
      <c r="B58" s="42" t="inlineStr">
        <is>
          <t>02706-2016</t>
        </is>
      </c>
      <c r="C58" s="42" t="inlineStr">
        <is>
          <t>Matriz sumarísimos — anteriores a 2019</t>
        </is>
      </c>
      <c r="D58" s="42" t="inlineStr">
        <is>
          <t>2SC</t>
        </is>
      </c>
      <c r="E58" s="42" t="inlineStr">
        <is>
          <t>SV 2SC (en discordia)</t>
        </is>
      </c>
      <c r="F58" s="42" t="inlineStr">
        <is>
          <t>REVOCADA → IMPROCEDENTE (por mayoría)</t>
        </is>
      </c>
      <c r="G58" s="42" t="inlineStr">
        <is>
          <t>—</t>
        </is>
      </c>
      <c r="H58" s="42" t="inlineStr">
        <is>
          <t>(vacío)</t>
        </is>
      </c>
      <c r="I58" s="42" t="inlineStr">
        <is>
          <t>—</t>
        </is>
      </c>
      <c r="J58" s="42" t="inlineStr">
        <is>
          <t>Sin vicio de motivación (sin marca explícita)</t>
        </is>
      </c>
    </row>
    <row r="59">
      <c r="A59" s="42" t="n">
        <v>58</v>
      </c>
      <c r="B59" s="42" t="inlineStr">
        <is>
          <t>02712-2023</t>
        </is>
      </c>
      <c r="C59" s="42" t="inlineStr">
        <is>
          <t>Llamoja — SV de control (2021-2023)</t>
        </is>
      </c>
      <c r="D59" s="42" t="inlineStr">
        <is>
          <t>2SC</t>
        </is>
      </c>
      <c r="E59" s="42" t="inlineStr">
        <is>
          <t>065-2025-2SC</t>
        </is>
      </c>
      <c r="F59" s="42" t="inlineStr">
        <is>
          <t>REVOCA → FUNDADA (extremo)</t>
        </is>
      </c>
      <c r="G59" s="42" t="inlineStr">
        <is>
          <t>—</t>
        </is>
      </c>
      <c r="H59" s="42" t="inlineStr">
        <is>
          <t>— Sin vicio de motivación como causal</t>
        </is>
      </c>
      <c r="I59" s="42" t="inlineStr">
        <is>
          <t>—</t>
        </is>
      </c>
      <c r="J59" s="42" t="inlineStr">
        <is>
          <t>Sin vicio de motivación (marcado explícito)</t>
        </is>
      </c>
    </row>
    <row r="60">
      <c r="A60" s="41" t="n">
        <v>59</v>
      </c>
      <c r="B60" s="41" t="inlineStr">
        <is>
          <t>02718-2015</t>
        </is>
      </c>
      <c r="C60" s="41" t="inlineStr">
        <is>
          <t>Matriz sumarísimos — anteriores a 2019</t>
        </is>
      </c>
      <c r="D60" s="41" t="inlineStr">
        <is>
          <t>1SC</t>
        </is>
      </c>
      <c r="E60" s="41" t="inlineStr">
        <is>
          <t>SV 620-2018-1SC</t>
        </is>
      </c>
      <c r="F60" s="41" t="inlineStr">
        <is>
          <t>NULA (reenvío)</t>
        </is>
      </c>
      <c r="G60" s="41" t="inlineStr">
        <is>
          <t>D16 (DECLARADO — «dicha motivación en términos del Tribunal Const...), D23 (DECLARADO — «la Sentencia venida en grado ha incurrido en ca...)</t>
        </is>
      </c>
      <c r="H60" s="41" t="inlineStr">
        <is>
          <t>(vacío)</t>
        </is>
      </c>
      <c r="I60" s="41" t="inlineStr">
        <is>
          <t>(ambiguo: D16/D23)</t>
        </is>
      </c>
      <c r="J60" s="41" t="inlineStr">
        <is>
          <t>Pendiente de clasificar — requiere lectura (D16/D23)</t>
        </is>
      </c>
    </row>
    <row r="61">
      <c r="A61" s="42" t="n">
        <v>60</v>
      </c>
      <c r="B61" s="42" t="inlineStr">
        <is>
          <t>02723-2023</t>
        </is>
      </c>
      <c r="C61" s="42" t="inlineStr">
        <is>
          <t>Llamoja — SV de control (2021-2023)</t>
        </is>
      </c>
      <c r="D61" s="42" t="inlineStr">
        <is>
          <t>2SC</t>
        </is>
      </c>
      <c r="E61" s="42" t="inlineStr">
        <is>
          <t>525-2025-2SC</t>
        </is>
      </c>
      <c r="F61" s="42" t="inlineStr">
        <is>
          <t>REVOCA → FUNDADA</t>
        </is>
      </c>
      <c r="G61" s="42" t="inlineStr">
        <is>
          <t>—</t>
        </is>
      </c>
      <c r="H61" s="42" t="inlineStr">
        <is>
          <t>— Sin vicio de motivación como causal</t>
        </is>
      </c>
      <c r="I61" s="42" t="inlineStr">
        <is>
          <t>—</t>
        </is>
      </c>
      <c r="J61" s="42" t="inlineStr">
        <is>
          <t>Sin vicio de motivación (marcado explícito)</t>
        </is>
      </c>
    </row>
    <row r="62">
      <c r="A62" s="42" t="n">
        <v>61</v>
      </c>
      <c r="B62" s="42" t="inlineStr">
        <is>
          <t>02792-2023</t>
        </is>
      </c>
      <c r="C62" s="42" t="inlineStr">
        <is>
          <t>Llamoja — SV de control (2021-2023)</t>
        </is>
      </c>
      <c r="D62" s="42" t="inlineStr">
        <is>
          <t>1SC</t>
        </is>
      </c>
      <c r="E62" s="42" t="n"/>
      <c r="F62" s="42" t="inlineStr">
        <is>
          <t>REVOCA extremo → (nulidad desestimada)</t>
        </is>
      </c>
      <c r="G62" s="42" t="inlineStr">
        <is>
          <t>—</t>
        </is>
      </c>
      <c r="H62" s="42" t="inlineStr">
        <is>
          <t>— Sin vicio de motivación como causal</t>
        </is>
      </c>
      <c r="I62" s="42" t="inlineStr">
        <is>
          <t>—</t>
        </is>
      </c>
      <c r="J62" s="42" t="inlineStr">
        <is>
          <t>Sin vicio de motivación (marcado explícito)</t>
        </is>
      </c>
    </row>
    <row r="63">
      <c r="A63" s="41" t="n">
        <v>62</v>
      </c>
      <c r="B63" s="41" t="inlineStr">
        <is>
          <t>02814-2015</t>
        </is>
      </c>
      <c r="C63" s="41" t="inlineStr">
        <is>
          <t>Pre-2019</t>
        </is>
      </c>
      <c r="D63" s="41" t="inlineStr">
        <is>
          <t>3SC</t>
        </is>
      </c>
      <c r="E63" s="41" t="inlineStr">
        <is>
          <t>SV N° 716-2019-3SC</t>
        </is>
      </c>
      <c r="F63" s="41" t="inlineStr">
        <is>
          <t>Nula e insubsistente</t>
        </is>
      </c>
      <c r="G63" s="41" t="inlineStr">
        <is>
          <t>D14 (DECLARADO — “…se viola el derecho a una decisión debidamente...)</t>
        </is>
      </c>
      <c r="H63" s="41" t="inlineStr">
        <is>
          <t>(vacío)</t>
        </is>
      </c>
      <c r="I63" s="41" t="inlineStr">
        <is>
          <t>a) Inexistencia / motivación aparente</t>
        </is>
      </c>
      <c r="J63" s="41" t="inlineStr">
        <is>
          <t>Pendiente de clasificar — mapeo directo posible</t>
        </is>
      </c>
    </row>
    <row r="64">
      <c r="A64" s="42" t="n">
        <v>63</v>
      </c>
      <c r="B64" s="42" t="inlineStr">
        <is>
          <t>02851-2023</t>
        </is>
      </c>
      <c r="C64" s="42" t="inlineStr">
        <is>
          <t>Llamoja — SV de control (2021-2023)</t>
        </is>
      </c>
      <c r="D64" s="42" t="inlineStr">
        <is>
          <t>1SC</t>
        </is>
      </c>
      <c r="E64" s="42" t="n"/>
      <c r="F64" s="42" t="inlineStr">
        <is>
          <t>NULA</t>
        </is>
      </c>
      <c r="G64" s="42" t="inlineStr">
        <is>
          <t>—</t>
        </is>
      </c>
      <c r="H64" s="42" t="inlineStr">
        <is>
          <t>— Sin vicio de motivación como causal</t>
        </is>
      </c>
      <c r="I64" s="42" t="inlineStr">
        <is>
          <t>—</t>
        </is>
      </c>
      <c r="J64" s="42" t="inlineStr">
        <is>
          <t>Sin vicio de motivación (marcado explícito)</t>
        </is>
      </c>
    </row>
    <row r="65">
      <c r="A65" s="41" t="n">
        <v>64</v>
      </c>
      <c r="B65" s="41" t="inlineStr">
        <is>
          <t>02943-2016</t>
        </is>
      </c>
      <c r="C65" s="41" t="inlineStr">
        <is>
          <t>Pre-2019</t>
        </is>
      </c>
      <c r="D65" s="41" t="inlineStr">
        <is>
          <t>2SC</t>
        </is>
      </c>
      <c r="E65" s="41" t="inlineStr">
        <is>
          <t>SV N° 623-2018-2SC</t>
        </is>
      </c>
      <c r="F65" s="41" t="inlineStr">
        <is>
          <t>Nula</t>
        </is>
      </c>
      <c r="G65" s="41" t="inlineStr">
        <is>
          <t>D16 (DECLARADO — “…itirá que el Juzgado se pronuncie sobre los pu...), D23 (DECLARADO — “…declarar la nulidad de la recurrida por conten...)</t>
        </is>
      </c>
      <c r="H65" s="41" t="inlineStr">
        <is>
          <t>(vacío)</t>
        </is>
      </c>
      <c r="I65" s="41" t="inlineStr">
        <is>
          <t>(ambiguo: D16/D23)</t>
        </is>
      </c>
      <c r="J65" s="41" t="inlineStr">
        <is>
          <t>Pendiente de clasificar — requiere lectura (D16/D23)</t>
        </is>
      </c>
    </row>
    <row r="66">
      <c r="A66" s="43" t="n">
        <v>65</v>
      </c>
      <c r="B66" s="43" t="inlineStr">
        <is>
          <t>02973-2022</t>
        </is>
      </c>
      <c r="C66" s="43" t="inlineStr">
        <is>
          <t>Llamoja — SV de control (2021-2023)</t>
        </is>
      </c>
      <c r="D66" s="43" t="inlineStr">
        <is>
          <t>2SC</t>
        </is>
      </c>
      <c r="E66" s="43" t="inlineStr">
        <is>
          <t>250-2025-2SC</t>
        </is>
      </c>
      <c r="F66" s="43" t="inlineStr">
        <is>
          <t>NULA</t>
        </is>
      </c>
      <c r="G66" s="43" t="inlineStr">
        <is>
          <t>D21 (DECLARADO — (evidencia en las columnas «Cita textual 1–3» de...)</t>
        </is>
      </c>
      <c r="H66" s="43" t="inlineStr">
        <is>
          <t>c) Deficiencia de motivación externa</t>
        </is>
      </c>
      <c r="I66" s="43" t="inlineStr">
        <is>
          <t>c) Deficiencia de motivación externa</t>
        </is>
      </c>
      <c r="J66" s="43" t="inlineStr">
        <is>
          <t>Clasificado (a-f) en el corpus</t>
        </is>
      </c>
    </row>
    <row r="67">
      <c r="A67" s="41" t="n">
        <v>66</v>
      </c>
      <c r="B67" s="41" t="inlineStr">
        <is>
          <t>03228-2013</t>
        </is>
      </c>
      <c r="C67" s="41" t="inlineStr">
        <is>
          <t>Pre-2019</t>
        </is>
      </c>
      <c r="D67" s="41" t="inlineStr">
        <is>
          <t>2SC</t>
        </is>
      </c>
      <c r="E67" s="41" t="inlineStr">
        <is>
          <t>SV N° 681-2018-2SC</t>
        </is>
      </c>
      <c r="F67" s="41" t="inlineStr">
        <is>
          <t>Nula</t>
        </is>
      </c>
      <c r="G67" s="41" t="inlineStr">
        <is>
          <t>D14 (DECLARADO — “…endo a lo señalado, el Colegiado determina que...), D16 (DECLARADO — “…tampoco ha emitido pronunciamiento respecto de...)</t>
        </is>
      </c>
      <c r="H67" s="41" t="inlineStr">
        <is>
          <t>(vacío)</t>
        </is>
      </c>
      <c r="I67" s="41" t="inlineStr">
        <is>
          <t>(combinación: D14/D16)</t>
        </is>
      </c>
      <c r="J67" s="41" t="inlineStr">
        <is>
          <t>Pendiente de clasificar — combinación múltiple, requiere lectura</t>
        </is>
      </c>
    </row>
    <row r="68">
      <c r="A68" s="42" t="n">
        <v>67</v>
      </c>
      <c r="B68" s="42" t="inlineStr">
        <is>
          <t>03393-2017</t>
        </is>
      </c>
      <c r="C68" s="42" t="inlineStr">
        <is>
          <t>Pre-2019</t>
        </is>
      </c>
      <c r="D68" s="42" t="inlineStr">
        <is>
          <t>2SC</t>
        </is>
      </c>
      <c r="E68" s="42" t="inlineStr">
        <is>
          <t>SV N° 506-2019-2SC</t>
        </is>
      </c>
      <c r="F68" s="42" t="inlineStr">
        <is>
          <t>Nula</t>
        </is>
      </c>
      <c r="G68" s="42" t="inlineStr">
        <is>
          <t>—</t>
        </is>
      </c>
      <c r="H68" s="42" t="inlineStr">
        <is>
          <t>(vacío)</t>
        </is>
      </c>
      <c r="I68" s="42" t="inlineStr">
        <is>
          <t>—</t>
        </is>
      </c>
      <c r="J68" s="42" t="inlineStr">
        <is>
          <t>Sin vicio de motivación (sin marca explícita)</t>
        </is>
      </c>
    </row>
    <row r="69">
      <c r="A69" s="42" t="n">
        <v>68</v>
      </c>
      <c r="B69" s="42" t="inlineStr">
        <is>
          <t>03566-2011</t>
        </is>
      </c>
      <c r="C69" s="42" t="inlineStr">
        <is>
          <t>Pre-2019</t>
        </is>
      </c>
      <c r="D69" s="42" t="inlineStr">
        <is>
          <t>3SC</t>
        </is>
      </c>
      <c r="E69" s="42" t="inlineStr">
        <is>
          <t>SV N° 560-2018-3SC</t>
        </is>
      </c>
      <c r="F69" s="42" t="inlineStr">
        <is>
          <t>Nula</t>
        </is>
      </c>
      <c r="G69" s="42" t="inlineStr">
        <is>
          <t>—</t>
        </is>
      </c>
      <c r="H69" s="42" t="inlineStr">
        <is>
          <t>(vacío)</t>
        </is>
      </c>
      <c r="I69" s="42" t="inlineStr">
        <is>
          <t>—</t>
        </is>
      </c>
      <c r="J69" s="42" t="inlineStr">
        <is>
          <t>Sin vicio de motivación (sin marca explícita)</t>
        </is>
      </c>
    </row>
    <row r="70">
      <c r="A70" s="42" t="n">
        <v>69</v>
      </c>
      <c r="B70" s="42" t="inlineStr">
        <is>
          <t>03672-2013</t>
        </is>
      </c>
      <c r="C70" s="42" t="inlineStr">
        <is>
          <t>Pre-2019</t>
        </is>
      </c>
      <c r="D70" s="42" t="inlineStr">
        <is>
          <t>2SC</t>
        </is>
      </c>
      <c r="E70" s="42" t="inlineStr">
        <is>
          <t>SV N° 010-2019-2SC</t>
        </is>
      </c>
      <c r="F70" s="42" t="inlineStr">
        <is>
          <t>Nula</t>
        </is>
      </c>
      <c r="G70" s="42" t="inlineStr">
        <is>
          <t>—</t>
        </is>
      </c>
      <c r="H70" s="42" t="inlineStr">
        <is>
          <t>(vacío)</t>
        </is>
      </c>
      <c r="I70" s="42" t="inlineStr">
        <is>
          <t>—</t>
        </is>
      </c>
      <c r="J70" s="42" t="inlineStr">
        <is>
          <t>Sin vicio de motivación (sin marca explícita)</t>
        </is>
      </c>
    </row>
    <row r="71">
      <c r="A71" s="41" t="n">
        <v>70</v>
      </c>
      <c r="B71" s="41" t="inlineStr">
        <is>
          <t>03701-2023</t>
        </is>
      </c>
      <c r="C71" s="41" t="inlineStr">
        <is>
          <t>2024</t>
        </is>
      </c>
      <c r="D71" s="41" t="inlineStr">
        <is>
          <t>3SC</t>
        </is>
      </c>
      <c r="E71" s="41" t="inlineStr">
        <is>
          <t>SV N° 301-2025-3SC</t>
        </is>
      </c>
      <c r="F71" s="41" t="inlineStr">
        <is>
          <t>Nula</t>
        </is>
      </c>
      <c r="G71" s="41" t="inlineStr">
        <is>
          <t>D23 (DECLARADO — “…se ha resuelto sin tener en cuenta el mérito d...)</t>
        </is>
      </c>
      <c r="H71" s="41" t="inlineStr">
        <is>
          <t>(vacío)</t>
        </is>
      </c>
      <c r="I71" s="41" t="inlineStr">
        <is>
          <t>(ambiguo: D23)</t>
        </is>
      </c>
      <c r="J71" s="41" t="inlineStr">
        <is>
          <t>Pendiente de clasificar — requiere lectura (D16/D23)</t>
        </is>
      </c>
    </row>
    <row r="72">
      <c r="A72" s="42" t="n">
        <v>71</v>
      </c>
      <c r="B72" s="42" t="inlineStr">
        <is>
          <t>03731-2015</t>
        </is>
      </c>
      <c r="C72" s="42" t="inlineStr">
        <is>
          <t>Matriz sumarísimos — anteriores a 2019</t>
        </is>
      </c>
      <c r="D72" s="42" t="inlineStr">
        <is>
          <t>1SC</t>
        </is>
      </c>
      <c r="E72" s="42" t="inlineStr">
        <is>
          <t>SV 581-2018-1SC</t>
        </is>
      </c>
      <c r="F72" s="42" t="inlineStr">
        <is>
          <t>NULA (reenvío)</t>
        </is>
      </c>
      <c r="G72" s="42" t="inlineStr">
        <is>
          <t>—</t>
        </is>
      </c>
      <c r="H72" s="42" t="inlineStr">
        <is>
          <t>(vacío)</t>
        </is>
      </c>
      <c r="I72" s="42" t="inlineStr">
        <is>
          <t>—</t>
        </is>
      </c>
      <c r="J72" s="42" t="inlineStr">
        <is>
          <t>Sin vicio de motivación (sin marca explícita)</t>
        </is>
      </c>
    </row>
    <row r="73">
      <c r="A73" s="42" t="n">
        <v>72</v>
      </c>
      <c r="B73" s="42" t="inlineStr">
        <is>
          <t>03754-2015</t>
        </is>
      </c>
      <c r="C73" s="42" t="inlineStr">
        <is>
          <t>Matriz sumarísimos — anteriores a 2019</t>
        </is>
      </c>
      <c r="D73" s="42" t="n"/>
      <c r="E73" s="42" t="inlineStr">
        <is>
          <t>SIN DOCUMENTO PROPIO</t>
        </is>
      </c>
      <c r="F73" s="42" t="inlineStr">
        <is>
          <t>SIN DOCUMENTO</t>
        </is>
      </c>
      <c r="G73" s="42" t="inlineStr">
        <is>
          <t>—</t>
        </is>
      </c>
      <c r="H73" s="42" t="inlineStr">
        <is>
          <t>(vacío)</t>
        </is>
      </c>
      <c r="I73" s="42" t="inlineStr">
        <is>
          <t>—</t>
        </is>
      </c>
      <c r="J73" s="42" t="inlineStr">
        <is>
          <t>Sin vicio de motivación (sin marca explícita)</t>
        </is>
      </c>
    </row>
    <row r="74">
      <c r="A74" s="42" t="n">
        <v>73</v>
      </c>
      <c r="B74" s="42" t="inlineStr">
        <is>
          <t>03770-2019</t>
        </is>
      </c>
      <c r="C74" s="42" t="inlineStr">
        <is>
          <t>Llamoja — SV de control (2021-2023)</t>
        </is>
      </c>
      <c r="D74" s="42" t="inlineStr">
        <is>
          <t>1SC</t>
        </is>
      </c>
      <c r="E74" s="42" t="n"/>
      <c r="F74" s="42" t="inlineStr">
        <is>
          <t>NULA</t>
        </is>
      </c>
      <c r="G74" s="42" t="inlineStr">
        <is>
          <t>—</t>
        </is>
      </c>
      <c r="H74" s="42" t="inlineStr">
        <is>
          <t>— Sin vicio de motivación como causal</t>
        </is>
      </c>
      <c r="I74" s="42" t="inlineStr">
        <is>
          <t>—</t>
        </is>
      </c>
      <c r="J74" s="42" t="inlineStr">
        <is>
          <t>Sin vicio de motivación (marcado explícito)</t>
        </is>
      </c>
    </row>
    <row r="75">
      <c r="A75" s="41" t="n">
        <v>74</v>
      </c>
      <c r="B75" s="41" t="inlineStr">
        <is>
          <t>03819-2022</t>
        </is>
      </c>
      <c r="C75" s="41" t="inlineStr">
        <is>
          <t>Matriz sumarísimos — grupo 2024</t>
        </is>
      </c>
      <c r="D75" s="41" t="inlineStr">
        <is>
          <t>2SC</t>
        </is>
      </c>
      <c r="E75" s="41" t="inlineStr">
        <is>
          <t>SV 496-2024-2SC</t>
        </is>
      </c>
      <c r="F75" s="41" t="inlineStr">
        <is>
          <t>NULA (reenvío)</t>
        </is>
      </c>
      <c r="G75" s="41" t="inlineStr">
        <is>
          <t>D23 (DECLARADO — «a través de la sentencia apelada no se ha dado ...)</t>
        </is>
      </c>
      <c r="H75" s="41" t="inlineStr">
        <is>
          <t>(vacío)</t>
        </is>
      </c>
      <c r="I75" s="41" t="inlineStr">
        <is>
          <t>(ambiguo: D23)</t>
        </is>
      </c>
      <c r="J75" s="41" t="inlineStr">
        <is>
          <t>Pendiente de clasificar — requiere lectura (D16/D23)</t>
        </is>
      </c>
    </row>
    <row r="76">
      <c r="A76" s="42" t="n">
        <v>75</v>
      </c>
      <c r="B76" s="42" t="inlineStr">
        <is>
          <t>03996-2023</t>
        </is>
      </c>
      <c r="C76" s="42" t="inlineStr">
        <is>
          <t>Llamoja — SV de control (2021-2023)</t>
        </is>
      </c>
      <c r="D76" s="42" t="inlineStr">
        <is>
          <t>1SC</t>
        </is>
      </c>
      <c r="E76" s="42" t="n"/>
      <c r="F76" s="42" t="inlineStr">
        <is>
          <t>NULA</t>
        </is>
      </c>
      <c r="G76" s="42" t="inlineStr">
        <is>
          <t>—</t>
        </is>
      </c>
      <c r="H76" s="42" t="inlineStr">
        <is>
          <t>— Sin vicio de motivación como causal</t>
        </is>
      </c>
      <c r="I76" s="42" t="inlineStr">
        <is>
          <t>—</t>
        </is>
      </c>
      <c r="J76" s="42" t="inlineStr">
        <is>
          <t>Sin vicio de motivación (marcado explícito)</t>
        </is>
      </c>
    </row>
    <row r="77">
      <c r="A77" s="42" t="n">
        <v>76</v>
      </c>
      <c r="B77" s="42" t="inlineStr">
        <is>
          <t>04008-2010</t>
        </is>
      </c>
      <c r="C77" s="42" t="inlineStr">
        <is>
          <t>Pre-2019</t>
        </is>
      </c>
      <c r="D77" s="42" t="inlineStr">
        <is>
          <t>2SC</t>
        </is>
      </c>
      <c r="E77" s="42" t="inlineStr">
        <is>
          <t>SV N° 654-2019-2SC</t>
        </is>
      </c>
      <c r="F77" s="42" t="inlineStr">
        <is>
          <t>Nula</t>
        </is>
      </c>
      <c r="G77" s="42" t="inlineStr">
        <is>
          <t>—</t>
        </is>
      </c>
      <c r="H77" s="42" t="inlineStr">
        <is>
          <t>(vacío)</t>
        </is>
      </c>
      <c r="I77" s="42" t="inlineStr">
        <is>
          <t>—</t>
        </is>
      </c>
      <c r="J77" s="42" t="inlineStr">
        <is>
          <t>Sin vicio de motivación (sin marca explícita)</t>
        </is>
      </c>
    </row>
    <row r="78">
      <c r="A78" s="42" t="n">
        <v>77</v>
      </c>
      <c r="B78" s="42" t="inlineStr">
        <is>
          <t>04033-2016</t>
        </is>
      </c>
      <c r="C78" s="42" t="inlineStr">
        <is>
          <t>Matriz sumarísimos — anteriores a 2019</t>
        </is>
      </c>
      <c r="D78" s="42" t="inlineStr">
        <is>
          <t>1SC</t>
        </is>
      </c>
      <c r="E78" s="42" t="inlineStr">
        <is>
          <t>SV 500-2018-1SC</t>
        </is>
      </c>
      <c r="F78" s="42" t="inlineStr">
        <is>
          <t>REVOCADA → FUNDADA</t>
        </is>
      </c>
      <c r="G78" s="42" t="inlineStr">
        <is>
          <t>—</t>
        </is>
      </c>
      <c r="H78" s="42" t="inlineStr">
        <is>
          <t>(vacío)</t>
        </is>
      </c>
      <c r="I78" s="42" t="inlineStr">
        <is>
          <t>—</t>
        </is>
      </c>
      <c r="J78" s="42" t="inlineStr">
        <is>
          <t>Sin vicio de motivación (sin marca explícita)</t>
        </is>
      </c>
    </row>
    <row r="79">
      <c r="A79" s="43" t="n">
        <v>78</v>
      </c>
      <c r="B79" s="43" t="inlineStr">
        <is>
          <t>04034-2022</t>
        </is>
      </c>
      <c r="C79" s="43" t="inlineStr">
        <is>
          <t>Llamoja — SV de control (2021-2023)</t>
        </is>
      </c>
      <c r="D79" s="43" t="inlineStr">
        <is>
          <t>2SC</t>
        </is>
      </c>
      <c r="E79" s="43" t="inlineStr">
        <is>
          <t>277-2025-2SC</t>
        </is>
      </c>
      <c r="F79" s="43" t="inlineStr">
        <is>
          <t>NULA</t>
        </is>
      </c>
      <c r="G79" s="43" t="inlineStr">
        <is>
          <t>D13 (DECLARADO — (evidencia en las columnas «Cita textual 1–3» de...)</t>
        </is>
      </c>
      <c r="H79" s="43" t="inlineStr">
        <is>
          <t>d) Motivación insuficiente</t>
        </is>
      </c>
      <c r="I79" s="43" t="inlineStr">
        <is>
          <t>d) Motivación insuficiente</t>
        </is>
      </c>
      <c r="J79" s="43" t="inlineStr">
        <is>
          <t>Clasificado (a-f) en el corpus</t>
        </is>
      </c>
    </row>
    <row r="80">
      <c r="A80" s="41" t="n">
        <v>79</v>
      </c>
      <c r="B80" s="41" t="inlineStr">
        <is>
          <t>04040-2015</t>
        </is>
      </c>
      <c r="C80" s="41" t="inlineStr">
        <is>
          <t>Pre-2019</t>
        </is>
      </c>
      <c r="D80" s="41" t="inlineStr">
        <is>
          <t>2SC</t>
        </is>
      </c>
      <c r="E80" s="41" t="inlineStr">
        <is>
          <t>SV N° 488-2019-2SC</t>
        </is>
      </c>
      <c r="F80" s="41" t="inlineStr">
        <is>
          <t>Nula</t>
        </is>
      </c>
      <c r="G80" s="41" t="inlineStr">
        <is>
          <t>D13 (DECLARADO — “…siderando quinto de la sentencia impugnada, se...)</t>
        </is>
      </c>
      <c r="H80" s="41" t="inlineStr">
        <is>
          <t>(vacío)</t>
        </is>
      </c>
      <c r="I80" s="41" t="inlineStr">
        <is>
          <t>d) Motivación insuficiente</t>
        </is>
      </c>
      <c r="J80" s="41" t="inlineStr">
        <is>
          <t>Pendiente de clasificar — mapeo directo posible</t>
        </is>
      </c>
    </row>
    <row r="81">
      <c r="A81" s="42" t="n">
        <v>80</v>
      </c>
      <c r="B81" s="42" t="inlineStr">
        <is>
          <t>04049-2015</t>
        </is>
      </c>
      <c r="C81" s="42" t="inlineStr">
        <is>
          <t>Matriz sumarísimos — anteriores a 2019</t>
        </is>
      </c>
      <c r="D81" s="42" t="inlineStr">
        <is>
          <t>2SC</t>
        </is>
      </c>
      <c r="E81" s="42" t="inlineStr">
        <is>
          <t>SV 21-2019-2SC</t>
        </is>
      </c>
      <c r="F81" s="42" t="inlineStr">
        <is>
          <t>REVOCADA → INFUNDADA</t>
        </is>
      </c>
      <c r="G81" s="42" t="inlineStr">
        <is>
          <t>—</t>
        </is>
      </c>
      <c r="H81" s="42" t="inlineStr">
        <is>
          <t>(vacío)</t>
        </is>
      </c>
      <c r="I81" s="42" t="inlineStr">
        <is>
          <t>—</t>
        </is>
      </c>
      <c r="J81" s="42" t="inlineStr">
        <is>
          <t>Sin vicio de motivación (sin marca explícita)</t>
        </is>
      </c>
    </row>
    <row r="82">
      <c r="A82" s="42" t="n">
        <v>81</v>
      </c>
      <c r="B82" s="42" t="inlineStr">
        <is>
          <t>04109-2011</t>
        </is>
      </c>
      <c r="C82" s="42" t="inlineStr">
        <is>
          <t>Matriz sumarísimos — anteriores a 2019</t>
        </is>
      </c>
      <c r="D82" s="42" t="inlineStr">
        <is>
          <t>2SC</t>
        </is>
      </c>
      <c r="E82" s="42" t="inlineStr">
        <is>
          <t>SV 094-2019-2SC</t>
        </is>
      </c>
      <c r="F82" s="42" t="inlineStr">
        <is>
          <t>REVOCADA → FUNDADA</t>
        </is>
      </c>
      <c r="G82" s="42" t="inlineStr">
        <is>
          <t>—</t>
        </is>
      </c>
      <c r="H82" s="42" t="inlineStr">
        <is>
          <t>(vacío)</t>
        </is>
      </c>
      <c r="I82" s="42" t="inlineStr">
        <is>
          <t>—</t>
        </is>
      </c>
      <c r="J82" s="42" t="inlineStr">
        <is>
          <t>Sin vicio de motivación (sin marca explícita)</t>
        </is>
      </c>
    </row>
    <row r="83">
      <c r="A83" s="41" t="n">
        <v>82</v>
      </c>
      <c r="B83" s="41" t="inlineStr">
        <is>
          <t>04126-2021</t>
        </is>
      </c>
      <c r="C83" s="41" t="inlineStr">
        <is>
          <t>2024</t>
        </is>
      </c>
      <c r="D83" s="41" t="inlineStr">
        <is>
          <t>1SC</t>
        </is>
      </c>
      <c r="E83" s="41" t="inlineStr">
        <is>
          <t>SV N° 32-2024-1SC</t>
        </is>
      </c>
      <c r="F83" s="41" t="inlineStr">
        <is>
          <t>Nula</t>
        </is>
      </c>
      <c r="G83" s="41" t="inlineStr">
        <is>
          <t>D16 (DECLARADO — “…teriores, vamos que el A quo se pronunció erró...), D23 (DECLARADO — “…olece de nulidad, tal cual lo prevén los artíc...)</t>
        </is>
      </c>
      <c r="H83" s="41" t="inlineStr">
        <is>
          <t>(vacío)</t>
        </is>
      </c>
      <c r="I83" s="41" t="inlineStr">
        <is>
          <t>(ambiguo: D16/D23)</t>
        </is>
      </c>
      <c r="J83" s="41" t="inlineStr">
        <is>
          <t>Pendiente de clasificar — requiere lectura (D16/D23)</t>
        </is>
      </c>
    </row>
    <row r="84">
      <c r="A84" s="42" t="n">
        <v>83</v>
      </c>
      <c r="B84" s="42" t="inlineStr">
        <is>
          <t>04138-2022</t>
        </is>
      </c>
      <c r="C84" s="42" t="inlineStr">
        <is>
          <t>Matriz sumarísimos — grupo 2024</t>
        </is>
      </c>
      <c r="D84" s="42" t="inlineStr">
        <is>
          <t>2SC</t>
        </is>
      </c>
      <c r="E84" s="42" t="inlineStr">
        <is>
          <t>SV 282-2025-2SC</t>
        </is>
      </c>
      <c r="F84" s="42" t="inlineStr">
        <is>
          <t>NULA (reenvío)</t>
        </is>
      </c>
      <c r="G84" s="42" t="inlineStr">
        <is>
          <t>—</t>
        </is>
      </c>
      <c r="H84" s="42" t="inlineStr">
        <is>
          <t>(vacío)</t>
        </is>
      </c>
      <c r="I84" s="42" t="inlineStr">
        <is>
          <t>—</t>
        </is>
      </c>
      <c r="J84" s="42" t="inlineStr">
        <is>
          <t>Sin vicio de motivación (sin marca explícita)</t>
        </is>
      </c>
    </row>
    <row r="85">
      <c r="A85" s="43" t="n">
        <v>84</v>
      </c>
      <c r="B85" s="43" t="inlineStr">
        <is>
          <t>04154-2022</t>
        </is>
      </c>
      <c r="C85" s="43" t="inlineStr">
        <is>
          <t>Llamoja — SV de control (2021-2023)</t>
        </is>
      </c>
      <c r="D85" s="43" t="inlineStr">
        <is>
          <t>2SC</t>
        </is>
      </c>
      <c r="E85" s="43" t="inlineStr">
        <is>
          <t>368-2024-2SC</t>
        </is>
      </c>
      <c r="F85" s="43" t="inlineStr">
        <is>
          <t>NULA</t>
        </is>
      </c>
      <c r="G85" s="43" t="inlineStr">
        <is>
          <t>D13 (DECLARADO — (evidencia en las columnas «Cita textual 1–3» de...), D14 (DECLARADO — (evidencia en las columnas «Cita textual 1–3» de...)</t>
        </is>
      </c>
      <c r="H85" s="43" t="inlineStr">
        <is>
          <t>a) Inexistencia / motivación aparente</t>
        </is>
      </c>
      <c r="I85" s="43" t="inlineStr">
        <is>
          <t>a) Inexistencia / motivación aparente</t>
        </is>
      </c>
      <c r="J85" s="43" t="inlineStr">
        <is>
          <t>Clasificado (a-f) en el corpus</t>
        </is>
      </c>
    </row>
    <row r="86">
      <c r="A86" s="41" t="n">
        <v>85</v>
      </c>
      <c r="B86" s="41" t="inlineStr">
        <is>
          <t>04275-2015</t>
        </is>
      </c>
      <c r="C86" s="41" t="inlineStr">
        <is>
          <t>Pre-2019</t>
        </is>
      </c>
      <c r="D86" s="41" t="inlineStr">
        <is>
          <t>2SC</t>
        </is>
      </c>
      <c r="E86" s="41" t="inlineStr">
        <is>
          <t>SV N° 383-2019-2SC</t>
        </is>
      </c>
      <c r="F86" s="41" t="inlineStr">
        <is>
          <t>Nula</t>
        </is>
      </c>
      <c r="G86" s="41" t="inlineStr">
        <is>
          <t>D21 (DECLARADO — “…al adolecer la sentencia materia de revisión d...)</t>
        </is>
      </c>
      <c r="H86" s="41" t="inlineStr">
        <is>
          <t>(vacío)</t>
        </is>
      </c>
      <c r="I86" s="41" t="inlineStr">
        <is>
          <t>c) Deficiencia de motivación externa</t>
        </is>
      </c>
      <c r="J86" s="41" t="inlineStr">
        <is>
          <t>Pendiente de clasificar — mapeo directo posible</t>
        </is>
      </c>
    </row>
    <row r="87">
      <c r="A87" s="42" t="n">
        <v>86</v>
      </c>
      <c r="B87" s="42" t="inlineStr">
        <is>
          <t>04280-2017</t>
        </is>
      </c>
      <c r="C87" s="42" t="inlineStr">
        <is>
          <t>Pre-2019</t>
        </is>
      </c>
      <c r="D87" s="42" t="inlineStr">
        <is>
          <t>3SC</t>
        </is>
      </c>
      <c r="E87" s="42" t="inlineStr">
        <is>
          <t>SV N° 157-2019-3SC</t>
        </is>
      </c>
      <c r="F87" s="42" t="inlineStr">
        <is>
          <t>Revocada</t>
        </is>
      </c>
      <c r="G87" s="42" t="inlineStr">
        <is>
          <t>—</t>
        </is>
      </c>
      <c r="H87" s="42" t="inlineStr">
        <is>
          <t>(vacío)</t>
        </is>
      </c>
      <c r="I87" s="42" t="inlineStr">
        <is>
          <t>—</t>
        </is>
      </c>
      <c r="J87" s="42" t="inlineStr">
        <is>
          <t>Sin vicio de motivación (sin marca explícita)</t>
        </is>
      </c>
    </row>
    <row r="88">
      <c r="A88" s="42" t="n">
        <v>87</v>
      </c>
      <c r="B88" s="42" t="inlineStr">
        <is>
          <t>04352-2014</t>
        </is>
      </c>
      <c r="C88" s="42" t="inlineStr">
        <is>
          <t>Pre-2019</t>
        </is>
      </c>
      <c r="D88" s="42" t="inlineStr">
        <is>
          <t>1SC</t>
        </is>
      </c>
      <c r="E88" s="42" t="inlineStr">
        <is>
          <t>SV N° 385-2018-1SC</t>
        </is>
      </c>
      <c r="F88" s="42" t="inlineStr">
        <is>
          <t>Revocada</t>
        </is>
      </c>
      <c r="G88" s="42" t="inlineStr">
        <is>
          <t>—</t>
        </is>
      </c>
      <c r="H88" s="42" t="inlineStr">
        <is>
          <t>(vacío)</t>
        </is>
      </c>
      <c r="I88" s="42" t="inlineStr">
        <is>
          <t>—</t>
        </is>
      </c>
      <c r="J88" s="42" t="inlineStr">
        <is>
          <t>Sin vicio de motivación (sin marca explícita)</t>
        </is>
      </c>
    </row>
    <row r="89">
      <c r="A89" s="42" t="n">
        <v>88</v>
      </c>
      <c r="B89" s="42" t="inlineStr">
        <is>
          <t>04370-2022</t>
        </is>
      </c>
      <c r="C89" s="42" t="inlineStr">
        <is>
          <t>Matriz sumarísimos — grupo 2024</t>
        </is>
      </c>
      <c r="D89" s="42" t="inlineStr">
        <is>
          <t>3SC</t>
        </is>
      </c>
      <c r="E89" s="42" t="inlineStr">
        <is>
          <t>SV 306-2024-3SC</t>
        </is>
      </c>
      <c r="F89" s="42" t="inlineStr">
        <is>
          <t>NULA E INSUBSISTENTE (reenvío)</t>
        </is>
      </c>
      <c r="G89" s="42" t="inlineStr">
        <is>
          <t>—</t>
        </is>
      </c>
      <c r="H89" s="42" t="inlineStr">
        <is>
          <t>(vacío)</t>
        </is>
      </c>
      <c r="I89" s="42" t="inlineStr">
        <is>
          <t>—</t>
        </is>
      </c>
      <c r="J89" s="42" t="inlineStr">
        <is>
          <t>Sin vicio de motivación (sin marca explícita)</t>
        </is>
      </c>
    </row>
    <row r="90">
      <c r="A90" s="42" t="n">
        <v>89</v>
      </c>
      <c r="B90" s="42" t="inlineStr">
        <is>
          <t>04393-2023</t>
        </is>
      </c>
      <c r="C90" s="42" t="inlineStr">
        <is>
          <t>Llamoja — SV de control (2021-2023)</t>
        </is>
      </c>
      <c r="D90" s="42" t="inlineStr">
        <is>
          <t>3SC</t>
        </is>
      </c>
      <c r="E90" s="42" t="inlineStr">
        <is>
          <t>258-2025-3SC</t>
        </is>
      </c>
      <c r="F90" s="42" t="inlineStr">
        <is>
          <t>REVOCA → FUNDADA EN PARTE</t>
        </is>
      </c>
      <c r="G90" s="42" t="inlineStr">
        <is>
          <t>—</t>
        </is>
      </c>
      <c r="H90" s="42" t="inlineStr">
        <is>
          <t>— Sin vicio de motivación como causal</t>
        </is>
      </c>
      <c r="I90" s="42" t="inlineStr">
        <is>
          <t>—</t>
        </is>
      </c>
      <c r="J90" s="42" t="inlineStr">
        <is>
          <t>Sin vicio de motivación (marcado explícito)</t>
        </is>
      </c>
    </row>
    <row r="91">
      <c r="A91" s="42" t="n">
        <v>90</v>
      </c>
      <c r="B91" s="42" t="inlineStr">
        <is>
          <t>04414-2023</t>
        </is>
      </c>
      <c r="C91" s="42" t="inlineStr">
        <is>
          <t>Matriz sumarísimos — grupo 2024</t>
        </is>
      </c>
      <c r="D91" s="42" t="inlineStr">
        <is>
          <t>2SC</t>
        </is>
      </c>
      <c r="E91" s="42" t="inlineStr">
        <is>
          <t>SV 508-2025-2SC</t>
        </is>
      </c>
      <c r="F91" s="42" t="inlineStr">
        <is>
          <t>NULA (reenvío)</t>
        </is>
      </c>
      <c r="G91" s="42" t="inlineStr">
        <is>
          <t>—</t>
        </is>
      </c>
      <c r="H91" s="42" t="inlineStr">
        <is>
          <t>(vacío)</t>
        </is>
      </c>
      <c r="I91" s="42" t="inlineStr">
        <is>
          <t>—</t>
        </is>
      </c>
      <c r="J91" s="42" t="inlineStr">
        <is>
          <t>Sin vicio de motivación (sin marca explícita)</t>
        </is>
      </c>
    </row>
    <row r="92">
      <c r="A92" s="41" t="n">
        <v>91</v>
      </c>
      <c r="B92" s="41" t="inlineStr">
        <is>
          <t>04420-2015</t>
        </is>
      </c>
      <c r="C92" s="41" t="inlineStr">
        <is>
          <t>Pre-2019</t>
        </is>
      </c>
      <c r="D92" s="41" t="inlineStr">
        <is>
          <t>2SC</t>
        </is>
      </c>
      <c r="E92" s="41" t="inlineStr">
        <is>
          <t>SV N° 515-2018-2SC</t>
        </is>
      </c>
      <c r="F92" s="41" t="inlineStr">
        <is>
          <t>Nula</t>
        </is>
      </c>
      <c r="G92" s="41" t="inlineStr">
        <is>
          <t>D16 (DECLARADO — “…al haberse emitido pronunciamiento incongruent...)</t>
        </is>
      </c>
      <c r="H92" s="41" t="inlineStr">
        <is>
          <t>(vacío)</t>
        </is>
      </c>
      <c r="I92" s="41" t="inlineStr">
        <is>
          <t>(ambiguo: D16)</t>
        </is>
      </c>
      <c r="J92" s="41" t="inlineStr">
        <is>
          <t>Pendiente de clasificar — requiere lectura (D16/D23)</t>
        </is>
      </c>
    </row>
    <row r="93">
      <c r="A93" s="42" t="n">
        <v>92</v>
      </c>
      <c r="B93" s="42" t="inlineStr">
        <is>
          <t>04428-2022</t>
        </is>
      </c>
      <c r="C93" s="42" t="inlineStr">
        <is>
          <t>Matriz sumarísimos — grupo 2024</t>
        </is>
      </c>
      <c r="D93" s="42" t="inlineStr">
        <is>
          <t>1SC</t>
        </is>
      </c>
      <c r="E93" s="42" t="inlineStr">
        <is>
          <t>SV 508-2024-1SC</t>
        </is>
      </c>
      <c r="F93" s="42" t="inlineStr">
        <is>
          <t>REVOCADA → FUNDADA (con voto en discordia)</t>
        </is>
      </c>
      <c r="G93" s="42" t="inlineStr">
        <is>
          <t>—</t>
        </is>
      </c>
      <c r="H93" s="42" t="inlineStr">
        <is>
          <t>(vacío)</t>
        </is>
      </c>
      <c r="I93" s="42" t="inlineStr">
        <is>
          <t>—</t>
        </is>
      </c>
      <c r="J93" s="42" t="inlineStr">
        <is>
          <t>Sin vicio de motivación (sin marca explícita)</t>
        </is>
      </c>
    </row>
    <row r="94">
      <c r="A94" s="43" t="n">
        <v>93</v>
      </c>
      <c r="B94" s="43" t="inlineStr">
        <is>
          <t>04492-2023</t>
        </is>
      </c>
      <c r="C94" s="43" t="inlineStr">
        <is>
          <t>Llamoja — SV de control (2021-2023)</t>
        </is>
      </c>
      <c r="D94" s="43" t="inlineStr">
        <is>
          <t>2SC</t>
        </is>
      </c>
      <c r="E94" s="43" t="inlineStr">
        <is>
          <t>219-2025-2SC</t>
        </is>
      </c>
      <c r="F94" s="43" t="inlineStr">
        <is>
          <t>NULA</t>
        </is>
      </c>
      <c r="G94" s="43" t="inlineStr">
        <is>
          <t>D15 (DECLARADO — (evidencia en las columnas «Cita textual 1–3» de...), D16 (DECLARADO — (evidencia en las columnas «Cita textual 1–3» de...)</t>
        </is>
      </c>
      <c r="H94" s="43" t="inlineStr">
        <is>
          <t>b) Falta de motivación interna</t>
        </is>
      </c>
      <c r="I94" s="43" t="inlineStr">
        <is>
          <t>b) Falta de motivación interna</t>
        </is>
      </c>
      <c r="J94" s="43" t="inlineStr">
        <is>
          <t>Clasificado (a-f) en el corpus</t>
        </is>
      </c>
    </row>
    <row r="95">
      <c r="A95" s="42" t="n">
        <v>94</v>
      </c>
      <c r="B95" s="42" t="inlineStr">
        <is>
          <t>04528-2010</t>
        </is>
      </c>
      <c r="C95" s="42" t="inlineStr">
        <is>
          <t>Pre-2019</t>
        </is>
      </c>
      <c r="D95" s="42" t="inlineStr">
        <is>
          <t>1SC</t>
        </is>
      </c>
      <c r="E95" s="42" t="inlineStr">
        <is>
          <t>SV N° 457-2018-1SC</t>
        </is>
      </c>
      <c r="F95" s="42" t="inlineStr">
        <is>
          <t>Revocada</t>
        </is>
      </c>
      <c r="G95" s="42" t="inlineStr">
        <is>
          <t>—</t>
        </is>
      </c>
      <c r="H95" s="42" t="inlineStr">
        <is>
          <t>(vacío)</t>
        </is>
      </c>
      <c r="I95" s="42" t="inlineStr">
        <is>
          <t>—</t>
        </is>
      </c>
      <c r="J95" s="42" t="inlineStr">
        <is>
          <t>Sin vicio de motivación (sin marca explícita)</t>
        </is>
      </c>
    </row>
    <row r="96">
      <c r="A96" s="42" t="n">
        <v>95</v>
      </c>
      <c r="B96" s="42" t="inlineStr">
        <is>
          <t>04543-2023</t>
        </is>
      </c>
      <c r="C96" s="42" t="inlineStr">
        <is>
          <t>Llamoja — SV de control (2021-2023)</t>
        </is>
      </c>
      <c r="D96" s="42" t="inlineStr">
        <is>
          <t>1SC</t>
        </is>
      </c>
      <c r="E96" s="42" t="n"/>
      <c r="F96" s="42" t="inlineStr">
        <is>
          <t>NULA</t>
        </is>
      </c>
      <c r="G96" s="42" t="inlineStr">
        <is>
          <t>—</t>
        </is>
      </c>
      <c r="H96" s="42" t="inlineStr">
        <is>
          <t>— Sin vicio de motivación como causal</t>
        </is>
      </c>
      <c r="I96" s="42" t="inlineStr">
        <is>
          <t>—</t>
        </is>
      </c>
      <c r="J96" s="42" t="inlineStr">
        <is>
          <t>Sin vicio de motivación (marcado explícito)</t>
        </is>
      </c>
    </row>
    <row r="97">
      <c r="A97" s="43" t="n">
        <v>96</v>
      </c>
      <c r="B97" s="43" t="inlineStr">
        <is>
          <t>04554-2022</t>
        </is>
      </c>
      <c r="C97" s="43" t="inlineStr">
        <is>
          <t>Llamoja — SV de control (2021-2023)</t>
        </is>
      </c>
      <c r="D97" s="43" t="inlineStr">
        <is>
          <t>3SC</t>
        </is>
      </c>
      <c r="E97" s="43" t="inlineStr">
        <is>
          <t>413-2024-3SC</t>
        </is>
      </c>
      <c r="F97" s="43" t="inlineStr">
        <is>
          <t>NULA</t>
        </is>
      </c>
      <c r="G97" s="43" t="inlineStr">
        <is>
          <t>D16 (DECLARADO — (evidencia en las columnas «Cita textual 1–3» de...), D21 (DECLARADO — (evidencia en las columnas «Cita textual 1–3» de...)</t>
        </is>
      </c>
      <c r="H97" s="43" t="inlineStr">
        <is>
          <t>c) Deficiencia de motivación externa</t>
        </is>
      </c>
      <c r="I97" s="43" t="inlineStr">
        <is>
          <t>c) Deficiencia de motivación externa</t>
        </is>
      </c>
      <c r="J97" s="43" t="inlineStr">
        <is>
          <t>Clasificado (a-f) en el corpus</t>
        </is>
      </c>
    </row>
    <row r="98">
      <c r="A98" s="42" t="n">
        <v>97</v>
      </c>
      <c r="B98" s="42" t="inlineStr">
        <is>
          <t>04585-2017</t>
        </is>
      </c>
      <c r="C98" s="42" t="inlineStr">
        <is>
          <t>Matriz sumarísimos — anteriores a 2019</t>
        </is>
      </c>
      <c r="D98" s="42" t="inlineStr">
        <is>
          <t>3SC</t>
        </is>
      </c>
      <c r="E98" s="42" t="inlineStr">
        <is>
          <t>SV 383-2018-3SC</t>
        </is>
      </c>
      <c r="F98" s="42" t="inlineStr">
        <is>
          <t>REVOCADA → INFUNDADA</t>
        </is>
      </c>
      <c r="G98" s="42" t="inlineStr">
        <is>
          <t>—</t>
        </is>
      </c>
      <c r="H98" s="42" t="inlineStr">
        <is>
          <t>(vacío)</t>
        </is>
      </c>
      <c r="I98" s="42" t="inlineStr">
        <is>
          <t>—</t>
        </is>
      </c>
      <c r="J98" s="42" t="inlineStr">
        <is>
          <t>Sin vicio de motivación (sin marca explícita)</t>
        </is>
      </c>
    </row>
    <row r="99">
      <c r="A99" s="42" t="n">
        <v>98</v>
      </c>
      <c r="B99" s="42" t="inlineStr">
        <is>
          <t>04605-2022</t>
        </is>
      </c>
      <c r="C99" s="42" t="inlineStr">
        <is>
          <t>2024</t>
        </is>
      </c>
      <c r="D99" s="42" t="inlineStr">
        <is>
          <t>3SC</t>
        </is>
      </c>
      <c r="E99" s="42" t="inlineStr">
        <is>
          <t>SV N° 362-2025-3SC</t>
        </is>
      </c>
      <c r="F99" s="42" t="inlineStr">
        <is>
          <t>Revocada</t>
        </is>
      </c>
      <c r="G99" s="42" t="inlineStr">
        <is>
          <t>—</t>
        </is>
      </c>
      <c r="H99" s="42" t="inlineStr">
        <is>
          <t>(vacío)</t>
        </is>
      </c>
      <c r="I99" s="42" t="inlineStr">
        <is>
          <t>—</t>
        </is>
      </c>
      <c r="J99" s="42" t="inlineStr">
        <is>
          <t>Sin vicio de motivación (sin marca explícita)</t>
        </is>
      </c>
    </row>
    <row r="100">
      <c r="A100" s="42" t="n">
        <v>99</v>
      </c>
      <c r="B100" s="42" t="inlineStr">
        <is>
          <t>04667-2022</t>
        </is>
      </c>
      <c r="C100" s="42" t="inlineStr">
        <is>
          <t>Llamoja — SV de control (2021-2023)</t>
        </is>
      </c>
      <c r="D100" s="42" t="inlineStr">
        <is>
          <t>1SC</t>
        </is>
      </c>
      <c r="E100" s="42" t="n"/>
      <c r="F100" s="42" t="inlineStr">
        <is>
          <t>NULA E INSUBSISTENTE</t>
        </is>
      </c>
      <c r="G100" s="42" t="inlineStr">
        <is>
          <t>—</t>
        </is>
      </c>
      <c r="H100" s="42" t="inlineStr">
        <is>
          <t>— Sin vicio de motivación como causal</t>
        </is>
      </c>
      <c r="I100" s="42" t="inlineStr">
        <is>
          <t>—</t>
        </is>
      </c>
      <c r="J100" s="42" t="inlineStr">
        <is>
          <t>Sin vicio de motivación (marcado explícito)</t>
        </is>
      </c>
    </row>
    <row r="101">
      <c r="A101" s="41" t="n">
        <v>100</v>
      </c>
      <c r="B101" s="41" t="inlineStr">
        <is>
          <t>04711-2010</t>
        </is>
      </c>
      <c r="C101" s="41" t="inlineStr">
        <is>
          <t>Pre-2019</t>
        </is>
      </c>
      <c r="D101" s="41" t="inlineStr">
        <is>
          <t>2SC</t>
        </is>
      </c>
      <c r="E101" s="41" t="inlineStr">
        <is>
          <t>SV N° 544-2018-2SC</t>
        </is>
      </c>
      <c r="F101" s="41" t="inlineStr">
        <is>
          <t>Nula</t>
        </is>
      </c>
      <c r="G101" s="41" t="inlineStr">
        <is>
          <t>D16 (DECLARADO — “…etensión fue acumulada accesoriamente, lo que ...), D23 (DECLARADO — “…ón, en mérito a lo expuesto precedentemente se...)</t>
        </is>
      </c>
      <c r="H101" s="41" t="inlineStr">
        <is>
          <t>(vacío)</t>
        </is>
      </c>
      <c r="I101" s="41" t="inlineStr">
        <is>
          <t>(ambiguo: D16/D23)</t>
        </is>
      </c>
      <c r="J101" s="41" t="inlineStr">
        <is>
          <t>Pendiente de clasificar — requiere lectura (D16/D23)</t>
        </is>
      </c>
    </row>
    <row r="102">
      <c r="A102" s="42" t="n">
        <v>101</v>
      </c>
      <c r="B102" s="42" t="inlineStr">
        <is>
          <t>04965-2023</t>
        </is>
      </c>
      <c r="C102" s="42" t="inlineStr">
        <is>
          <t>Llamoja — SV de control (2021-2023)</t>
        </is>
      </c>
      <c r="D102" s="42" t="inlineStr">
        <is>
          <t>2SC</t>
        </is>
      </c>
      <c r="E102" s="42" t="inlineStr">
        <is>
          <t>510-2025-2SC</t>
        </is>
      </c>
      <c r="F102" s="42" t="inlineStr">
        <is>
          <t>NULA</t>
        </is>
      </c>
      <c r="G102" s="42" t="inlineStr">
        <is>
          <t>—</t>
        </is>
      </c>
      <c r="H102" s="42" t="inlineStr">
        <is>
          <t>— Sin vicio de motivación como causal</t>
        </is>
      </c>
      <c r="I102" s="42" t="inlineStr">
        <is>
          <t>—</t>
        </is>
      </c>
      <c r="J102" s="42" t="inlineStr">
        <is>
          <t>Sin vicio de motivación (marcado explícito)</t>
        </is>
      </c>
    </row>
    <row r="103">
      <c r="A103" s="41" t="n">
        <v>102</v>
      </c>
      <c r="B103" s="41" t="inlineStr">
        <is>
          <t>05012-2008</t>
        </is>
      </c>
      <c r="C103" s="41" t="inlineStr">
        <is>
          <t>Pre-2019</t>
        </is>
      </c>
      <c r="D103" s="41" t="inlineStr">
        <is>
          <t>2SC</t>
        </is>
      </c>
      <c r="E103" s="41" t="inlineStr">
        <is>
          <t>SV N° 026-2020-2SC</t>
        </is>
      </c>
      <c r="F103" s="41" t="inlineStr">
        <is>
          <t>Nula</t>
        </is>
      </c>
      <c r="G103" s="41" t="inlineStr">
        <is>
          <t>D13 (DECLARADO — “…escrito por el inciso tercero de dicho precept...), D23 (DECLARADO — “…afo del CPC, corresponde declarar la nulidad d...)</t>
        </is>
      </c>
      <c r="H103" s="41" t="inlineStr">
        <is>
          <t>(vacío)</t>
        </is>
      </c>
      <c r="I103" s="41" t="inlineStr">
        <is>
          <t>(combinación: D13/D23)</t>
        </is>
      </c>
      <c r="J103" s="41" t="inlineStr">
        <is>
          <t>Pendiente de clasificar — combinación múltiple, requiere lectura</t>
        </is>
      </c>
    </row>
    <row r="104">
      <c r="A104" s="43" t="n">
        <v>103</v>
      </c>
      <c r="B104" s="43" t="inlineStr">
        <is>
          <t>05237-2021</t>
        </is>
      </c>
      <c r="C104" s="43" t="inlineStr">
        <is>
          <t>Llamoja — SV de control (2021-2023)</t>
        </is>
      </c>
      <c r="D104" s="43" t="inlineStr">
        <is>
          <t>2SC</t>
        </is>
      </c>
      <c r="E104" s="43" t="inlineStr">
        <is>
          <t>230-2025-2SC</t>
        </is>
      </c>
      <c r="F104" s="43" t="inlineStr">
        <is>
          <t>NULA</t>
        </is>
      </c>
      <c r="G104" s="43" t="inlineStr">
        <is>
          <t>D13 (DECLARADO — (evidencia en las columnas «Cita textual 1–3» de...)</t>
        </is>
      </c>
      <c r="H104" s="43" t="inlineStr">
        <is>
          <t>d) Motivación insuficiente</t>
        </is>
      </c>
      <c r="I104" s="43" t="inlineStr">
        <is>
          <t>d) Motivación insuficiente</t>
        </is>
      </c>
      <c r="J104" s="43" t="inlineStr">
        <is>
          <t>Clasificado (a-f) en el corpus</t>
        </is>
      </c>
    </row>
    <row r="105">
      <c r="A105" s="42" t="n">
        <v>104</v>
      </c>
      <c r="B105" s="42" t="inlineStr">
        <is>
          <t>05264-2021</t>
        </is>
      </c>
      <c r="C105" s="42" t="inlineStr">
        <is>
          <t>Llamoja — SV de control (2021-2023)</t>
        </is>
      </c>
      <c r="D105" s="42" t="inlineStr">
        <is>
          <t>3SC</t>
        </is>
      </c>
      <c r="E105" s="42" t="inlineStr">
        <is>
          <t>342-2025-3SC</t>
        </is>
      </c>
      <c r="F105" s="42" t="inlineStr">
        <is>
          <t>REVOCA → IMPROCEDENTE</t>
        </is>
      </c>
      <c r="G105" s="42" t="inlineStr">
        <is>
          <t>—</t>
        </is>
      </c>
      <c r="H105" s="42" t="inlineStr">
        <is>
          <t>— Sin vicio de motivación como causal</t>
        </is>
      </c>
      <c r="I105" s="42" t="inlineStr">
        <is>
          <t>—</t>
        </is>
      </c>
      <c r="J105" s="42" t="inlineStr">
        <is>
          <t>Sin vicio de motivación (marcado explícito)</t>
        </is>
      </c>
    </row>
    <row r="106">
      <c r="A106" s="42" t="n">
        <v>105</v>
      </c>
      <c r="B106" s="42" t="inlineStr">
        <is>
          <t>05276-2023</t>
        </is>
      </c>
      <c r="C106" s="42" t="inlineStr">
        <is>
          <t>Llamoja — SV de control (2021-2023)</t>
        </is>
      </c>
      <c r="D106" s="42" t="inlineStr">
        <is>
          <t>2SC</t>
        </is>
      </c>
      <c r="E106" s="42" t="inlineStr">
        <is>
          <t>283-2025-2SC</t>
        </is>
      </c>
      <c r="F106" s="42" t="inlineStr">
        <is>
          <t>REVOCA extremo costas</t>
        </is>
      </c>
      <c r="G106" s="42" t="inlineStr">
        <is>
          <t>—</t>
        </is>
      </c>
      <c r="H106" s="42" t="inlineStr">
        <is>
          <t>— Sin vicio de motivación como causal</t>
        </is>
      </c>
      <c r="I106" s="42" t="inlineStr">
        <is>
          <t>—</t>
        </is>
      </c>
      <c r="J106" s="42" t="inlineStr">
        <is>
          <t>Sin vicio de motivación (marcado explícito)</t>
        </is>
      </c>
    </row>
    <row r="107">
      <c r="A107" s="42" t="n">
        <v>106</v>
      </c>
      <c r="B107" s="42" t="inlineStr">
        <is>
          <t>05345-2022</t>
        </is>
      </c>
      <c r="C107" s="42" t="inlineStr">
        <is>
          <t>Matriz sumarísimos — grupo 2024</t>
        </is>
      </c>
      <c r="D107" s="42" t="inlineStr">
        <is>
          <t>3SC</t>
        </is>
      </c>
      <c r="E107" s="42" t="inlineStr">
        <is>
          <t>SV 27-2025-3SC</t>
        </is>
      </c>
      <c r="F107" s="42" t="inlineStr">
        <is>
          <t>NULA (reenvío)</t>
        </is>
      </c>
      <c r="G107" s="42" t="inlineStr">
        <is>
          <t>—</t>
        </is>
      </c>
      <c r="H107" s="42" t="inlineStr">
        <is>
          <t>(vacío)</t>
        </is>
      </c>
      <c r="I107" s="42" t="inlineStr">
        <is>
          <t>—</t>
        </is>
      </c>
      <c r="J107" s="42" t="inlineStr">
        <is>
          <t>Sin vicio de motivación (sin marca explícita)</t>
        </is>
      </c>
    </row>
    <row r="108">
      <c r="A108" s="41" t="n">
        <v>107</v>
      </c>
      <c r="B108" s="41" t="inlineStr">
        <is>
          <t>05381-2009</t>
        </is>
      </c>
      <c r="C108" s="41" t="inlineStr">
        <is>
          <t>Pre-2019</t>
        </is>
      </c>
      <c r="D108" s="41" t="inlineStr">
        <is>
          <t>2SC</t>
        </is>
      </c>
      <c r="E108" s="41" t="inlineStr">
        <is>
          <t>SV N° 872-2019-2SC</t>
        </is>
      </c>
      <c r="F108" s="41" t="inlineStr">
        <is>
          <t>Nula</t>
        </is>
      </c>
      <c r="G108" s="41" t="inlineStr">
        <is>
          <t>D23 (DECLARADO — “…nulidad, sin embargo, atendiendo a que se decl...)</t>
        </is>
      </c>
      <c r="H108" s="41" t="inlineStr">
        <is>
          <t>(vacío)</t>
        </is>
      </c>
      <c r="I108" s="41" t="inlineStr">
        <is>
          <t>(ambiguo: D23)</t>
        </is>
      </c>
      <c r="J108" s="41" t="inlineStr">
        <is>
          <t>Pendiente de clasificar — requiere lectura (D16/D23)</t>
        </is>
      </c>
    </row>
    <row r="109">
      <c r="A109" s="42" t="n">
        <v>108</v>
      </c>
      <c r="B109" s="42" t="inlineStr">
        <is>
          <t>05382-2016</t>
        </is>
      </c>
      <c r="C109" s="42" t="inlineStr">
        <is>
          <t>Matriz sumarísimos — anteriores a 2019</t>
        </is>
      </c>
      <c r="D109" s="42" t="inlineStr">
        <is>
          <t>2SC</t>
        </is>
      </c>
      <c r="E109" s="42" t="inlineStr">
        <is>
          <t>SV 321-2019-2SC</t>
        </is>
      </c>
      <c r="F109" s="42" t="inlineStr">
        <is>
          <t>NULA (reenvío)</t>
        </is>
      </c>
      <c r="G109" s="42" t="inlineStr">
        <is>
          <t>—</t>
        </is>
      </c>
      <c r="H109" s="42" t="inlineStr">
        <is>
          <t>(vacío)</t>
        </is>
      </c>
      <c r="I109" s="42" t="inlineStr">
        <is>
          <t>—</t>
        </is>
      </c>
      <c r="J109" s="42" t="inlineStr">
        <is>
          <t>Sin vicio de motivación (sin marca explícita)</t>
        </is>
      </c>
    </row>
    <row r="110">
      <c r="A110" s="41" t="n">
        <v>109</v>
      </c>
      <c r="B110" s="41" t="inlineStr">
        <is>
          <t>05487-2013</t>
        </is>
      </c>
      <c r="C110" s="41" t="inlineStr">
        <is>
          <t>Pre-2019</t>
        </is>
      </c>
      <c r="D110" s="41" t="inlineStr">
        <is>
          <t>2SC</t>
        </is>
      </c>
      <c r="E110" s="41" t="inlineStr">
        <is>
          <t>SV N° 644-2018-2SC</t>
        </is>
      </c>
      <c r="F110" s="41" t="inlineStr">
        <is>
          <t>Nula</t>
        </is>
      </c>
      <c r="G110" s="41" t="inlineStr">
        <is>
          <t>D23 (DECLARADO — “…al no haberse emitido la sentencia con una deb...)</t>
        </is>
      </c>
      <c r="H110" s="41" t="inlineStr">
        <is>
          <t>(vacío)</t>
        </is>
      </c>
      <c r="I110" s="41" t="inlineStr">
        <is>
          <t>(ambiguo: D23)</t>
        </is>
      </c>
      <c r="J110" s="41" t="inlineStr">
        <is>
          <t>Pendiente de clasificar — requiere lectura (D16/D23)</t>
        </is>
      </c>
    </row>
    <row r="111">
      <c r="A111" s="42" t="n">
        <v>110</v>
      </c>
      <c r="B111" s="42" t="inlineStr">
        <is>
          <t>05576-2021</t>
        </is>
      </c>
      <c r="C111" s="42" t="inlineStr">
        <is>
          <t>2024</t>
        </is>
      </c>
      <c r="D111" s="42" t="inlineStr">
        <is>
          <t>3SC</t>
        </is>
      </c>
      <c r="E111" s="42" t="inlineStr">
        <is>
          <t>SV N° 372-2025-3SC</t>
        </is>
      </c>
      <c r="F111" s="42" t="inlineStr">
        <is>
          <t>Revocada</t>
        </is>
      </c>
      <c r="G111" s="42" t="inlineStr">
        <is>
          <t>—</t>
        </is>
      </c>
      <c r="H111" s="42" t="inlineStr">
        <is>
          <t>(vacío)</t>
        </is>
      </c>
      <c r="I111" s="42" t="inlineStr">
        <is>
          <t>—</t>
        </is>
      </c>
      <c r="J111" s="42" t="inlineStr">
        <is>
          <t>Sin vicio de motivación (sin marca explícita)</t>
        </is>
      </c>
    </row>
    <row r="112">
      <c r="A112" s="43" t="n">
        <v>111</v>
      </c>
      <c r="B112" s="43" t="inlineStr">
        <is>
          <t>05814-2021</t>
        </is>
      </c>
      <c r="C112" s="43" t="inlineStr">
        <is>
          <t>Llamoja — SV de control (2021-2023)</t>
        </is>
      </c>
      <c r="D112" s="43" t="inlineStr">
        <is>
          <t>3SC</t>
        </is>
      </c>
      <c r="E112" s="43" t="inlineStr">
        <is>
          <t>464-2024-3SC</t>
        </is>
      </c>
      <c r="F112" s="43" t="inlineStr">
        <is>
          <t>NULA</t>
        </is>
      </c>
      <c r="G112" s="43" t="inlineStr">
        <is>
          <t>D16 (DECLARADO — (evidencia en las columnas «Cita textual 1–3» de...)</t>
        </is>
      </c>
      <c r="H112" s="43" t="inlineStr">
        <is>
          <t>e) Motivación sustancialmente incongruente</t>
        </is>
      </c>
      <c r="I112" s="43" t="inlineStr">
        <is>
          <t>e) Motivación sustancialmente incongruente</t>
        </is>
      </c>
      <c r="J112" s="43" t="inlineStr">
        <is>
          <t>Clasificado (a-f) en el corpus</t>
        </is>
      </c>
    </row>
    <row r="113">
      <c r="A113" s="43" t="n">
        <v>112</v>
      </c>
      <c r="B113" s="43" t="inlineStr">
        <is>
          <t>05899-2021</t>
        </is>
      </c>
      <c r="C113" s="43" t="inlineStr">
        <is>
          <t>Llamoja — SV de control (2021-2023)</t>
        </is>
      </c>
      <c r="D113" s="43" t="inlineStr">
        <is>
          <t>2SC</t>
        </is>
      </c>
      <c r="E113" s="43" t="inlineStr">
        <is>
          <t>041-2025-2SC</t>
        </is>
      </c>
      <c r="F113" s="43" t="inlineStr">
        <is>
          <t>NULA</t>
        </is>
      </c>
      <c r="G113" s="43" t="inlineStr">
        <is>
          <t>D13 (DECLARADO — (evidencia en las columnas «Cita textual 1–3» de...)</t>
        </is>
      </c>
      <c r="H113" s="43" t="inlineStr">
        <is>
          <t>d) Motivación insuficiente</t>
        </is>
      </c>
      <c r="I113" s="43" t="inlineStr">
        <is>
          <t>d) Motivación insuficiente</t>
        </is>
      </c>
      <c r="J113" s="43" t="inlineStr">
        <is>
          <t>Clasificado (a-f) en el corpus</t>
        </is>
      </c>
    </row>
    <row r="114">
      <c r="A114" s="41" t="n">
        <v>113</v>
      </c>
      <c r="B114" s="41" t="inlineStr">
        <is>
          <t>06071-2006</t>
        </is>
      </c>
      <c r="C114" s="41" t="inlineStr">
        <is>
          <t>Pre-2019</t>
        </is>
      </c>
      <c r="D114" s="41" t="inlineStr">
        <is>
          <t>2SC</t>
        </is>
      </c>
      <c r="E114" s="41" t="inlineStr">
        <is>
          <t>SV N° 040-2019-2SC</t>
        </is>
      </c>
      <c r="F114" s="41" t="inlineStr">
        <is>
          <t>Nula</t>
        </is>
      </c>
      <c r="G114" s="41" t="inlineStr">
        <is>
          <t>D23 (DECLARADO — “…la sentencia recurrida no se encuentra debidam...)</t>
        </is>
      </c>
      <c r="H114" s="41" t="inlineStr">
        <is>
          <t>(vacío)</t>
        </is>
      </c>
      <c r="I114" s="41" t="inlineStr">
        <is>
          <t>(ambiguo: D23)</t>
        </is>
      </c>
      <c r="J114" s="41" t="inlineStr">
        <is>
          <t>Pendiente de clasificar — requiere lectura (D16/D23)</t>
        </is>
      </c>
    </row>
    <row r="115">
      <c r="A115" s="41" t="n">
        <v>114</v>
      </c>
      <c r="B115" s="41" t="inlineStr">
        <is>
          <t>06147-2023</t>
        </is>
      </c>
      <c r="C115" s="41" t="inlineStr">
        <is>
          <t>Matriz sumarísimos — grupo 2024</t>
        </is>
      </c>
      <c r="D115" s="41" t="inlineStr">
        <is>
          <t>2SC</t>
        </is>
      </c>
      <c r="E115" s="41" t="inlineStr">
        <is>
          <t>SV 129-2025-2SC (y Auto de Vista 166-2025-2SC)</t>
        </is>
      </c>
      <c r="F115" s="41" t="inlineStr">
        <is>
          <t>NULA (reenvío)</t>
        </is>
      </c>
      <c r="G115" s="41" t="inlineStr">
        <is>
          <t>D23 (DECLARADO — «no se ha motivado debidamente la resolución mat...)</t>
        </is>
      </c>
      <c r="H115" s="41" t="inlineStr">
        <is>
          <t>(vacío)</t>
        </is>
      </c>
      <c r="I115" s="41" t="inlineStr">
        <is>
          <t>(ambiguo: D23)</t>
        </is>
      </c>
      <c r="J115" s="41" t="inlineStr">
        <is>
          <t>Pendiente de clasificar — requiere lectura (D16/D23)</t>
        </is>
      </c>
    </row>
    <row r="116">
      <c r="A116" s="42" t="n">
        <v>115</v>
      </c>
      <c r="B116" s="42" t="inlineStr">
        <is>
          <t>06151-2000</t>
        </is>
      </c>
      <c r="C116" s="42" t="inlineStr">
        <is>
          <t>Matriz sumarísimos — anteriores a 2019</t>
        </is>
      </c>
      <c r="D116" s="42" t="inlineStr">
        <is>
          <t>2SC</t>
        </is>
      </c>
      <c r="E116" s="42" t="inlineStr">
        <is>
          <t>SV 82-2021-2SC</t>
        </is>
      </c>
      <c r="F116" s="42" t="inlineStr">
        <is>
          <t>NULA (reenvío)</t>
        </is>
      </c>
      <c r="G116" s="42" t="inlineStr">
        <is>
          <t>—</t>
        </is>
      </c>
      <c r="H116" s="42" t="inlineStr">
        <is>
          <t>(vacío)</t>
        </is>
      </c>
      <c r="I116" s="42" t="inlineStr">
        <is>
          <t>—</t>
        </is>
      </c>
      <c r="J116" s="42" t="inlineStr">
        <is>
          <t>Sin vicio de motivación (sin marca explícita)</t>
        </is>
      </c>
    </row>
    <row r="117">
      <c r="A117" s="42" t="n">
        <v>116</v>
      </c>
      <c r="B117" s="42" t="inlineStr">
        <is>
          <t>06175-2022</t>
        </is>
      </c>
      <c r="C117" s="42" t="inlineStr">
        <is>
          <t>2024</t>
        </is>
      </c>
      <c r="D117" s="42" t="inlineStr">
        <is>
          <t>2SC</t>
        </is>
      </c>
      <c r="E117" s="42" t="inlineStr">
        <is>
          <t>SV N° 191-2025-2SC</t>
        </is>
      </c>
      <c r="F117" s="42" t="inlineStr">
        <is>
          <t>Revocada</t>
        </is>
      </c>
      <c r="G117" s="42" t="inlineStr">
        <is>
          <t>—</t>
        </is>
      </c>
      <c r="H117" s="42" t="inlineStr">
        <is>
          <t>(vacío)</t>
        </is>
      </c>
      <c r="I117" s="42" t="inlineStr">
        <is>
          <t>—</t>
        </is>
      </c>
      <c r="J117" s="42" t="inlineStr">
        <is>
          <t>Sin vicio de motivación (sin marca explícita)</t>
        </is>
      </c>
    </row>
    <row r="118">
      <c r="A118" s="42" t="n">
        <v>117</v>
      </c>
      <c r="B118" s="42" t="inlineStr">
        <is>
          <t>06374-2019</t>
        </is>
      </c>
      <c r="C118" s="42" t="inlineStr">
        <is>
          <t>2024</t>
        </is>
      </c>
      <c r="D118" s="42" t="n"/>
      <c r="E118" s="42" t="inlineStr">
        <is>
          <t>SV N° 447-2025</t>
        </is>
      </c>
      <c r="F118" s="42" t="inlineStr">
        <is>
          <t>Nula</t>
        </is>
      </c>
      <c r="G118" s="42" t="inlineStr">
        <is>
          <t>—</t>
        </is>
      </c>
      <c r="H118" s="42" t="inlineStr">
        <is>
          <t>(vacío)</t>
        </is>
      </c>
      <c r="I118" s="42" t="inlineStr">
        <is>
          <t>—</t>
        </is>
      </c>
      <c r="J118" s="42" t="inlineStr">
        <is>
          <t>Sin vicio de motivación (sin marca explícita)</t>
        </is>
      </c>
    </row>
    <row r="119">
      <c r="A119" s="43" t="n">
        <v>118</v>
      </c>
      <c r="B119" s="43" t="inlineStr">
        <is>
          <t>06385-2023</t>
        </is>
      </c>
      <c r="C119" s="43" t="inlineStr">
        <is>
          <t>Llamoja — SV de control (2021-2023)</t>
        </is>
      </c>
      <c r="D119" s="43" t="inlineStr">
        <is>
          <t>2SC</t>
        </is>
      </c>
      <c r="E119" s="43" t="inlineStr">
        <is>
          <t>309-2025-2SC</t>
        </is>
      </c>
      <c r="F119" s="43" t="inlineStr">
        <is>
          <t>NULA</t>
        </is>
      </c>
      <c r="G119" s="43" t="inlineStr">
        <is>
          <t>D16 (DECLARADO — (evidencia en las columnas «Cita textual 1–3» de...)</t>
        </is>
      </c>
      <c r="H119" s="43" t="inlineStr">
        <is>
          <t>e) Motivación sustancialmente incongruente</t>
        </is>
      </c>
      <c r="I119" s="43" t="inlineStr">
        <is>
          <t>e) Motivación sustancialmente incongruente</t>
        </is>
      </c>
      <c r="J119" s="43" t="inlineStr">
        <is>
          <t>Clasificado (a-f) en el corpus</t>
        </is>
      </c>
    </row>
    <row r="120">
      <c r="A120" s="41" t="n">
        <v>119</v>
      </c>
      <c r="B120" s="41" t="inlineStr">
        <is>
          <t>06402-2022</t>
        </is>
      </c>
      <c r="C120" s="41" t="inlineStr">
        <is>
          <t>2024</t>
        </is>
      </c>
      <c r="D120" s="41" t="n"/>
      <c r="E120" s="41" t="inlineStr">
        <is>
          <t>SV N° 235-2025</t>
        </is>
      </c>
      <c r="F120" s="41" t="inlineStr">
        <is>
          <t>Nula</t>
        </is>
      </c>
      <c r="G120" s="41" t="inlineStr">
        <is>
          <t>D23 (DECLARADO — “…dencia; lo cual implica una vulneración al deb...)</t>
        </is>
      </c>
      <c r="H120" s="41" t="inlineStr">
        <is>
          <t>(vacío)</t>
        </is>
      </c>
      <c r="I120" s="41" t="inlineStr">
        <is>
          <t>(ambiguo: D23)</t>
        </is>
      </c>
      <c r="J120" s="41" t="inlineStr">
        <is>
          <t>Pendiente de clasificar — requiere lectura (D16/D23)</t>
        </is>
      </c>
    </row>
    <row r="121">
      <c r="A121" s="41" t="n">
        <v>120</v>
      </c>
      <c r="B121" s="41" t="inlineStr">
        <is>
          <t>06607-2021</t>
        </is>
      </c>
      <c r="C121" s="41" t="inlineStr">
        <is>
          <t>2024</t>
        </is>
      </c>
      <c r="D121" s="41" t="inlineStr">
        <is>
          <t>2SC</t>
        </is>
      </c>
      <c r="E121" s="41" t="inlineStr">
        <is>
          <t>SV N° 023-2025-2SC</t>
        </is>
      </c>
      <c r="F121" s="41" t="inlineStr">
        <is>
          <t>Nula</t>
        </is>
      </c>
      <c r="G121" s="41" t="inlineStr">
        <is>
          <t>D16 (DECLARADO — pronunciamiento sobre una causal de nulidad no a...), D23 (DECLARADO — “…la recurrida ha incurrido en causal de nulidad...)</t>
        </is>
      </c>
      <c r="H121" s="41" t="inlineStr">
        <is>
          <t>(vacío)</t>
        </is>
      </c>
      <c r="I121" s="41" t="inlineStr">
        <is>
          <t>(ambiguo: D16/D23)</t>
        </is>
      </c>
      <c r="J121" s="41" t="inlineStr">
        <is>
          <t>Pendiente de clasificar — requiere lectura (D16/D23)</t>
        </is>
      </c>
    </row>
    <row r="122">
      <c r="A122" s="43" t="n">
        <v>121</v>
      </c>
      <c r="B122" s="43" t="inlineStr">
        <is>
          <t>06834-2022</t>
        </is>
      </c>
      <c r="C122" s="43" t="inlineStr">
        <is>
          <t>Llamoja — SV de control (2021-2023)</t>
        </is>
      </c>
      <c r="D122" s="43" t="inlineStr">
        <is>
          <t>2SC</t>
        </is>
      </c>
      <c r="E122" s="43" t="inlineStr">
        <is>
          <t>427-2025-2SC</t>
        </is>
      </c>
      <c r="F122" s="43" t="inlineStr">
        <is>
          <t>NULA</t>
        </is>
      </c>
      <c r="G122" s="43" t="inlineStr">
        <is>
          <t>D13 (DECLARADO — «la sentencia recurrida no se encuentra debidame...)</t>
        </is>
      </c>
      <c r="H122" s="43" t="inlineStr">
        <is>
          <t>d) Motivación insuficiente</t>
        </is>
      </c>
      <c r="I122" s="43" t="inlineStr">
        <is>
          <t>d) Motivación insuficiente</t>
        </is>
      </c>
      <c r="J122" s="43" t="inlineStr">
        <is>
          <t>Clasificado (a-f) en el corpus</t>
        </is>
      </c>
    </row>
    <row r="123">
      <c r="A123" s="42" t="n">
        <v>122</v>
      </c>
      <c r="B123" s="42" t="inlineStr">
        <is>
          <t>06842-2014</t>
        </is>
      </c>
      <c r="C123" s="42" t="inlineStr">
        <is>
          <t>Pre-2019</t>
        </is>
      </c>
      <c r="D123" s="42" t="inlineStr">
        <is>
          <t>1SC</t>
        </is>
      </c>
      <c r="E123" s="42" t="inlineStr">
        <is>
          <t>SV N° 407-2018-1SC</t>
        </is>
      </c>
      <c r="F123" s="42" t="inlineStr">
        <is>
          <t>Revocada</t>
        </is>
      </c>
      <c r="G123" s="42" t="inlineStr">
        <is>
          <t>—</t>
        </is>
      </c>
      <c r="H123" s="42" t="inlineStr">
        <is>
          <t>(vacío)</t>
        </is>
      </c>
      <c r="I123" s="42" t="inlineStr">
        <is>
          <t>—</t>
        </is>
      </c>
      <c r="J123" s="42" t="inlineStr">
        <is>
          <t>Sin vicio de motivación (sin marca explícita)</t>
        </is>
      </c>
    </row>
    <row r="124">
      <c r="A124" s="43" t="n">
        <v>123</v>
      </c>
      <c r="B124" s="43" t="inlineStr">
        <is>
          <t>06866-2022</t>
        </is>
      </c>
      <c r="C124" s="43" t="inlineStr">
        <is>
          <t>Llamoja — SV de control (2021-2023)</t>
        </is>
      </c>
      <c r="D124" s="43" t="inlineStr">
        <is>
          <t>3SC</t>
        </is>
      </c>
      <c r="E124" s="43" t="inlineStr">
        <is>
          <t>203-2025-3SC</t>
        </is>
      </c>
      <c r="F124" s="43" t="inlineStr">
        <is>
          <t>NULA</t>
        </is>
      </c>
      <c r="G124" s="43" t="inlineStr">
        <is>
          <t>D21 (DECLARADO — (evidencia en las columnas «Cita textual 1–3» de...)</t>
        </is>
      </c>
      <c r="H124" s="43" t="inlineStr">
        <is>
          <t>c) Deficiencia de motivación externa</t>
        </is>
      </c>
      <c r="I124" s="43" t="inlineStr">
        <is>
          <t>c) Deficiencia de motivación externa</t>
        </is>
      </c>
      <c r="J124" s="43" t="inlineStr">
        <is>
          <t>Clasificado (a-f) en el corpus</t>
        </is>
      </c>
    </row>
    <row r="125">
      <c r="A125" s="42" t="n">
        <v>124</v>
      </c>
      <c r="B125" s="42" t="inlineStr">
        <is>
          <t>06942-2023</t>
        </is>
      </c>
      <c r="C125" s="42" t="inlineStr">
        <is>
          <t>Matriz sumarísimos — grupo 2024</t>
        </is>
      </c>
      <c r="D125" s="42" t="inlineStr">
        <is>
          <t>1SC</t>
        </is>
      </c>
      <c r="E125" s="42" t="inlineStr">
        <is>
          <t>SV 362-2025-1SC</t>
        </is>
      </c>
      <c r="F125" s="42" t="inlineStr">
        <is>
          <t>REVOCADA → INFUNDADA</t>
        </is>
      </c>
      <c r="G125" s="42" t="inlineStr">
        <is>
          <t>—</t>
        </is>
      </c>
      <c r="H125" s="42" t="inlineStr">
        <is>
          <t>(vacío)</t>
        </is>
      </c>
      <c r="I125" s="42" t="inlineStr">
        <is>
          <t>—</t>
        </is>
      </c>
      <c r="J125" s="42" t="inlineStr">
        <is>
          <t>Sin vicio de motivación (sin marca explícita)</t>
        </is>
      </c>
    </row>
    <row r="126">
      <c r="A126" s="42" t="n">
        <v>125</v>
      </c>
      <c r="B126" s="42" t="inlineStr">
        <is>
          <t>07287-2022</t>
        </is>
      </c>
      <c r="C126" s="42" t="inlineStr">
        <is>
          <t>Llamoja — SV de control (2021-2023)</t>
        </is>
      </c>
      <c r="D126" s="42" t="inlineStr">
        <is>
          <t>1SC</t>
        </is>
      </c>
      <c r="E126" s="42" t="n"/>
      <c r="F126" s="42" t="inlineStr">
        <is>
          <t>NULA + suspensión del proceso</t>
        </is>
      </c>
      <c r="G126" s="42" t="inlineStr">
        <is>
          <t>—</t>
        </is>
      </c>
      <c r="H126" s="42" t="inlineStr">
        <is>
          <t>— Sin vicio de motivación como causal</t>
        </is>
      </c>
      <c r="I126" s="42" t="inlineStr">
        <is>
          <t>—</t>
        </is>
      </c>
      <c r="J126" s="42" t="inlineStr">
        <is>
          <t>Sin vicio de motivación (marcado explícito)</t>
        </is>
      </c>
    </row>
    <row r="127">
      <c r="A127" s="42" t="n">
        <v>126</v>
      </c>
      <c r="B127" s="42" t="inlineStr">
        <is>
          <t>07288-2022</t>
        </is>
      </c>
      <c r="C127" s="42" t="inlineStr">
        <is>
          <t>Matriz sumarísimos — grupo 2024</t>
        </is>
      </c>
      <c r="D127" s="42" t="inlineStr">
        <is>
          <t>3SC</t>
        </is>
      </c>
      <c r="E127" s="42" t="inlineStr">
        <is>
          <t>SV 228-2025-3SC</t>
        </is>
      </c>
      <c r="F127" s="42" t="inlineStr">
        <is>
          <t>REVOCADA → FUNDADA</t>
        </is>
      </c>
      <c r="G127" s="42" t="inlineStr">
        <is>
          <t>—</t>
        </is>
      </c>
      <c r="H127" s="42" t="inlineStr">
        <is>
          <t>(vacío)</t>
        </is>
      </c>
      <c r="I127" s="42" t="inlineStr">
        <is>
          <t>—</t>
        </is>
      </c>
      <c r="J127" s="42" t="inlineStr">
        <is>
          <t>Sin vicio de motivación (sin marca explícita)</t>
        </is>
      </c>
    </row>
    <row r="128">
      <c r="A128" s="43" t="n">
        <v>127</v>
      </c>
      <c r="B128" s="43" t="inlineStr">
        <is>
          <t>07296-2022</t>
        </is>
      </c>
      <c r="C128" s="43" t="inlineStr">
        <is>
          <t>Llamoja — SV de control (2021-2023)</t>
        </is>
      </c>
      <c r="D128" s="43" t="inlineStr">
        <is>
          <t>3SC</t>
        </is>
      </c>
      <c r="E128" s="43" t="inlineStr">
        <is>
          <t>250-2025-3SC</t>
        </is>
      </c>
      <c r="F128" s="43" t="inlineStr">
        <is>
          <t>NULA</t>
        </is>
      </c>
      <c r="G128" s="43" t="inlineStr">
        <is>
          <t>D13 (DECLARADO — (evidencia en las columnas «Cita textual 1–3» de...)</t>
        </is>
      </c>
      <c r="H128" s="43" t="inlineStr">
        <is>
          <t>c) Deficiencia de motivación externa</t>
        </is>
      </c>
      <c r="I128" s="43" t="inlineStr">
        <is>
          <t>c) Deficiencia de motivación externa</t>
        </is>
      </c>
      <c r="J128" s="43" t="inlineStr">
        <is>
          <t>Clasificado (a-f) en el corpus</t>
        </is>
      </c>
    </row>
    <row r="129">
      <c r="A129" s="42" t="n">
        <v>128</v>
      </c>
      <c r="B129" s="42" t="inlineStr">
        <is>
          <t>07480-2014</t>
        </is>
      </c>
      <c r="C129" s="42" t="inlineStr">
        <is>
          <t>Pre-2019</t>
        </is>
      </c>
      <c r="D129" s="42" t="inlineStr">
        <is>
          <t>2SC</t>
        </is>
      </c>
      <c r="E129" s="42" t="inlineStr">
        <is>
          <t>SV N° 648-2018-2SC</t>
        </is>
      </c>
      <c r="F129" s="42" t="inlineStr">
        <is>
          <t>Nula</t>
        </is>
      </c>
      <c r="G129" s="42" t="inlineStr">
        <is>
          <t>—</t>
        </is>
      </c>
      <c r="H129" s="42" t="inlineStr">
        <is>
          <t>(vacío)</t>
        </is>
      </c>
      <c r="I129" s="42" t="inlineStr">
        <is>
          <t>—</t>
        </is>
      </c>
      <c r="J129" s="42" t="inlineStr">
        <is>
          <t>Sin vicio de motivación (sin marca explícita)</t>
        </is>
      </c>
    </row>
    <row r="130">
      <c r="A130" s="42" t="n">
        <v>129</v>
      </c>
      <c r="B130" s="42" t="inlineStr">
        <is>
          <t>07590-2022</t>
        </is>
      </c>
      <c r="C130" s="42" t="inlineStr">
        <is>
          <t>Matriz sumarísimos — grupo 2024</t>
        </is>
      </c>
      <c r="D130" s="42" t="inlineStr">
        <is>
          <t>1SC</t>
        </is>
      </c>
      <c r="E130" s="42" t="inlineStr">
        <is>
          <t>SV 357-2024-1SC</t>
        </is>
      </c>
      <c r="F130" s="42" t="inlineStr">
        <is>
          <t>REVOCADA → FUNDADA</t>
        </is>
      </c>
      <c r="G130" s="42" t="inlineStr">
        <is>
          <t>—</t>
        </is>
      </c>
      <c r="H130" s="42" t="inlineStr">
        <is>
          <t>(vacío)</t>
        </is>
      </c>
      <c r="I130" s="42" t="inlineStr">
        <is>
          <t>—</t>
        </is>
      </c>
      <c r="J130" s="42" t="inlineStr">
        <is>
          <t>Sin vicio de motivación (sin marca explícita)</t>
        </is>
      </c>
    </row>
    <row r="131">
      <c r="A131" s="42" t="n">
        <v>130</v>
      </c>
      <c r="B131" s="42" t="inlineStr">
        <is>
          <t>07595-2022</t>
        </is>
      </c>
      <c r="C131" s="42" t="inlineStr">
        <is>
          <t>Llamoja — SV de control (2021-2023)</t>
        </is>
      </c>
      <c r="D131" s="42" t="inlineStr">
        <is>
          <t>2SC</t>
        </is>
      </c>
      <c r="E131" s="42" t="inlineStr">
        <is>
          <t>573-2025-2SC</t>
        </is>
      </c>
      <c r="F131" s="42" t="inlineStr">
        <is>
          <t>NULA</t>
        </is>
      </c>
      <c r="G131" s="42" t="inlineStr">
        <is>
          <t>—</t>
        </is>
      </c>
      <c r="H131" s="42" t="inlineStr">
        <is>
          <t>— Sin vicio de motivación como causal</t>
        </is>
      </c>
      <c r="I131" s="42" t="inlineStr">
        <is>
          <t>—</t>
        </is>
      </c>
      <c r="J131" s="42" t="inlineStr">
        <is>
          <t>Sin vicio de motivación (marcado explícito)</t>
        </is>
      </c>
    </row>
    <row r="132">
      <c r="A132" s="41" t="n">
        <v>131</v>
      </c>
      <c r="B132" s="41" t="inlineStr">
        <is>
          <t>07606-2013</t>
        </is>
      </c>
      <c r="C132" s="41" t="inlineStr">
        <is>
          <t>Matriz sumarísimos — anteriores a 2019</t>
        </is>
      </c>
      <c r="D132" s="41" t="inlineStr">
        <is>
          <t>2SC</t>
        </is>
      </c>
      <c r="E132" s="41" t="inlineStr">
        <is>
          <t>SV 442-2019-2SC</t>
        </is>
      </c>
      <c r="F132" s="41" t="inlineStr">
        <is>
          <t>NULA (reenvío)</t>
        </is>
      </c>
      <c r="G132" s="41" t="inlineStr">
        <is>
          <t>D15 (DECLARADO — «con vista de la parte considerativa de la sente...), D16 (DECLARADO — «hecho que transgrede el principio de congruenci...)</t>
        </is>
      </c>
      <c r="H132" s="41" t="inlineStr">
        <is>
          <t>(vacío)</t>
        </is>
      </c>
      <c r="I132" s="41" t="inlineStr">
        <is>
          <t>(combinación: D15/D16)</t>
        </is>
      </c>
      <c r="J132" s="41" t="inlineStr">
        <is>
          <t>Pendiente de clasificar — combinación múltiple, requiere lectura</t>
        </is>
      </c>
    </row>
    <row r="133">
      <c r="A133" s="42" t="n">
        <v>132</v>
      </c>
      <c r="B133" s="42" t="inlineStr">
        <is>
          <t>07609-2014</t>
        </is>
      </c>
      <c r="C133" s="42" t="inlineStr">
        <is>
          <t>Matriz sumarísimos — anteriores a 2019</t>
        </is>
      </c>
      <c r="D133" s="42" t="inlineStr">
        <is>
          <t>2SC</t>
        </is>
      </c>
      <c r="E133" s="42" t="inlineStr">
        <is>
          <t>SV 648-2019-2SC</t>
        </is>
      </c>
      <c r="F133" s="42" t="inlineStr">
        <is>
          <t>REVOCADA (improcedente → INFUNDADA)</t>
        </is>
      </c>
      <c r="G133" s="42" t="inlineStr">
        <is>
          <t>—</t>
        </is>
      </c>
      <c r="H133" s="42" t="inlineStr">
        <is>
          <t>(vacío)</t>
        </is>
      </c>
      <c r="I133" s="42" t="inlineStr">
        <is>
          <t>—</t>
        </is>
      </c>
      <c r="J133" s="42" t="inlineStr">
        <is>
          <t>Sin vicio de motivación (sin marca explícita)</t>
        </is>
      </c>
    </row>
    <row r="134">
      <c r="A134" s="41" t="n">
        <v>133</v>
      </c>
      <c r="B134" s="41" t="inlineStr">
        <is>
          <t>08092-2014</t>
        </is>
      </c>
      <c r="C134" s="41" t="inlineStr">
        <is>
          <t>Pre-2019</t>
        </is>
      </c>
      <c r="D134" s="41" t="inlineStr">
        <is>
          <t>2SC</t>
        </is>
      </c>
      <c r="E134" s="41" t="inlineStr">
        <is>
          <t>SV N° 138-2020-2SC</t>
        </is>
      </c>
      <c r="F134" s="41" t="inlineStr">
        <is>
          <t>Nula</t>
        </is>
      </c>
      <c r="G134" s="41" t="inlineStr">
        <is>
          <t>D16 (DECLARADO — “…ablecido que en el caso sub-exámine no sólo se...)</t>
        </is>
      </c>
      <c r="H134" s="41" t="inlineStr">
        <is>
          <t>(vacío)</t>
        </is>
      </c>
      <c r="I134" s="41" t="inlineStr">
        <is>
          <t>(ambiguo: D16)</t>
        </is>
      </c>
      <c r="J134" s="41" t="inlineStr">
        <is>
          <t>Pendiente de clasificar — requiere lectura (D16/D23)</t>
        </is>
      </c>
    </row>
    <row r="135">
      <c r="A135" s="42" t="n">
        <v>134</v>
      </c>
      <c r="B135" s="42" t="inlineStr">
        <is>
          <t>08461-2014</t>
        </is>
      </c>
      <c r="C135" s="42" t="inlineStr">
        <is>
          <t>Matriz sumarísimos — anteriores a 2019</t>
        </is>
      </c>
      <c r="D135" s="42" t="inlineStr">
        <is>
          <t>3SC</t>
        </is>
      </c>
      <c r="E135" s="42" t="inlineStr">
        <is>
          <t>SV 367-2018-3SC</t>
        </is>
      </c>
      <c r="F135" s="42" t="inlineStr">
        <is>
          <t>REVOCADA → INFUNDADA</t>
        </is>
      </c>
      <c r="G135" s="42" t="inlineStr">
        <is>
          <t>—</t>
        </is>
      </c>
      <c r="H135" s="42" t="inlineStr">
        <is>
          <t>(vacío)</t>
        </is>
      </c>
      <c r="I135" s="42" t="inlineStr">
        <is>
          <t>—</t>
        </is>
      </c>
      <c r="J135" s="42" t="inlineStr">
        <is>
          <t>Sin vicio de motivación (sin marca explícita)</t>
        </is>
      </c>
    </row>
    <row r="136">
      <c r="A136" s="42" t="n">
        <v>135</v>
      </c>
      <c r="B136" s="42" t="inlineStr">
        <is>
          <t>01302-2015</t>
        </is>
      </c>
      <c r="C136" s="42" t="inlineStr">
        <is>
          <t>Abreviado — anteriores a 2019 (ABR18_SV)</t>
        </is>
      </c>
      <c r="D136" s="42" t="inlineStr">
        <is>
          <t>1SC</t>
        </is>
      </c>
      <c r="E136" s="42" t="inlineStr">
        <is>
          <t>SV 858-2019</t>
        </is>
      </c>
      <c r="F136" s="42" t="inlineStr">
        <is>
          <t>REVOCADA → IMPROCEDENTE</t>
        </is>
      </c>
      <c r="G136" s="42" t="inlineStr">
        <is>
          <t>—</t>
        </is>
      </c>
      <c r="H136" s="42" t="inlineStr">
        <is>
          <t>(vacío)</t>
        </is>
      </c>
      <c r="I136" s="42" t="inlineStr">
        <is>
          <t>—</t>
        </is>
      </c>
      <c r="J136" s="42" t="inlineStr">
        <is>
          <t>Sin vicio de motivación (sin marca explícita)</t>
        </is>
      </c>
    </row>
    <row r="137">
      <c r="A137" s="41" t="n">
        <v>136</v>
      </c>
      <c r="B137" s="41" t="inlineStr">
        <is>
          <t>01530-2015</t>
        </is>
      </c>
      <c r="C137" s="41" t="inlineStr">
        <is>
          <t>Abreviado — anteriores a 2019 (ABR18_SV)</t>
        </is>
      </c>
      <c r="D137" s="41" t="inlineStr">
        <is>
          <t>2SC</t>
        </is>
      </c>
      <c r="E137" s="41" t="inlineStr">
        <is>
          <t>SV 620-2019-2SC</t>
        </is>
      </c>
      <c r="F137" s="41" t="inlineStr">
        <is>
          <t>NULA</t>
        </is>
      </c>
      <c r="G137" s="41" t="inlineStr">
        <is>
          <t>D13 (DECLARADO — «más no se ha hecho el correspondiente análisis ...), D14 (DECLARADO — «la sentencia adolece de motivación aparente, pu...)</t>
        </is>
      </c>
      <c r="H137" s="41" t="inlineStr">
        <is>
          <t>(vacío)</t>
        </is>
      </c>
      <c r="I137" s="41" t="inlineStr">
        <is>
          <t>(combinación: D13/D14)</t>
        </is>
      </c>
      <c r="J137" s="41" t="inlineStr">
        <is>
          <t>Pendiente de clasificar — combinación múltiple, requiere lectura</t>
        </is>
      </c>
    </row>
    <row r="138">
      <c r="A138" s="41" t="n">
        <v>137</v>
      </c>
      <c r="B138" s="41" t="inlineStr">
        <is>
          <t>01612-2015</t>
        </is>
      </c>
      <c r="C138" s="41" t="inlineStr">
        <is>
          <t>Abreviado — anteriores a 2019 (ABR18_SV)</t>
        </is>
      </c>
      <c r="D138" s="41" t="inlineStr">
        <is>
          <t>1SC</t>
        </is>
      </c>
      <c r="E138" s="41" t="inlineStr">
        <is>
          <t>SV 422-2019</t>
        </is>
      </c>
      <c r="F138" s="41" t="inlineStr">
        <is>
          <t>NULA</t>
        </is>
      </c>
      <c r="G138" s="41" t="inlineStr">
        <is>
          <t>D13 (DECLARADO — «se les ha reconocido un área de […] 4561.86 met...)</t>
        </is>
      </c>
      <c r="H138" s="41" t="inlineStr">
        <is>
          <t>(vacío)</t>
        </is>
      </c>
      <c r="I138" s="41" t="inlineStr">
        <is>
          <t>d) Motivación insuficiente</t>
        </is>
      </c>
      <c r="J138" s="41" t="inlineStr">
        <is>
          <t>Pendiente de clasificar — mapeo directo posible</t>
        </is>
      </c>
    </row>
    <row r="139">
      <c r="A139" s="41" t="n">
        <v>138</v>
      </c>
      <c r="B139" s="41" t="inlineStr">
        <is>
          <t>01763-2012</t>
        </is>
      </c>
      <c r="C139" s="41" t="inlineStr">
        <is>
          <t>Abreviado — anteriores a 2019 (ABR18_SV)</t>
        </is>
      </c>
      <c r="D139" s="41" t="inlineStr">
        <is>
          <t>2SC</t>
        </is>
      </c>
      <c r="E139" s="41" t="inlineStr">
        <is>
          <t>SV 058-2019-2SC</t>
        </is>
      </c>
      <c r="F139" s="41" t="inlineStr">
        <is>
          <t>NULA</t>
        </is>
      </c>
      <c r="G139" s="41" t="inlineStr">
        <is>
          <t>D21 (DECLARADO — «dicha norma que declara la imprescriptibilidad ...)</t>
        </is>
      </c>
      <c r="H139" s="41" t="inlineStr">
        <is>
          <t>(vacío)</t>
        </is>
      </c>
      <c r="I139" s="41" t="inlineStr">
        <is>
          <t>c) Deficiencia de motivación externa</t>
        </is>
      </c>
      <c r="J139" s="41" t="inlineStr">
        <is>
          <t>Pendiente de clasificar — mapeo directo posible</t>
        </is>
      </c>
    </row>
    <row r="140">
      <c r="A140" s="41" t="n">
        <v>139</v>
      </c>
      <c r="B140" s="41" t="inlineStr">
        <is>
          <t>01852-2016</t>
        </is>
      </c>
      <c r="C140" s="41" t="inlineStr">
        <is>
          <t>Abreviado — anteriores a 2019 (ABR18_SV)</t>
        </is>
      </c>
      <c r="D140" s="41" t="inlineStr">
        <is>
          <t>2SC</t>
        </is>
      </c>
      <c r="E140" s="41" t="inlineStr">
        <is>
          <t>SV 275-2021-2SC</t>
        </is>
      </c>
      <c r="F140" s="41" t="inlineStr">
        <is>
          <t>REVOCADA → FUNDADA EN PARTE (confirma responsabilidad; revoca quantum)</t>
        </is>
      </c>
      <c r="G140" s="41" t="inlineStr">
        <is>
          <t>D15 (DECLARADO — «no concordamos con lo precisado en la recurrida...)</t>
        </is>
      </c>
      <c r="H140" s="41" t="inlineStr">
        <is>
          <t>(vacío)</t>
        </is>
      </c>
      <c r="I140" s="41" t="inlineStr">
        <is>
          <t>b) Falta de motivación interna</t>
        </is>
      </c>
      <c r="J140" s="41" t="inlineStr">
        <is>
          <t>Pendiente de clasificar — mapeo directo posible</t>
        </is>
      </c>
    </row>
    <row r="141">
      <c r="A141" s="42" t="n">
        <v>140</v>
      </c>
      <c r="B141" s="42" t="inlineStr">
        <is>
          <t>01922-2014</t>
        </is>
      </c>
      <c r="C141" s="42" t="inlineStr">
        <is>
          <t>Abreviado — anteriores a 2019 (ABR18_SV)</t>
        </is>
      </c>
      <c r="D141" s="42" t="inlineStr">
        <is>
          <t>1SC</t>
        </is>
      </c>
      <c r="E141" s="42" t="inlineStr">
        <is>
          <t>SV 345-2016</t>
        </is>
      </c>
      <c r="F141" s="42" t="inlineStr">
        <is>
          <t>CONFIRMADA</t>
        </is>
      </c>
      <c r="G141" s="42" t="inlineStr">
        <is>
          <t>—</t>
        </is>
      </c>
      <c r="H141" s="42" t="inlineStr">
        <is>
          <t>(vacío)</t>
        </is>
      </c>
      <c r="I141" s="42" t="inlineStr">
        <is>
          <t>—</t>
        </is>
      </c>
      <c r="J141" s="42" t="inlineStr">
        <is>
          <t>Sin vicio de motivación (sin marca explícita)</t>
        </is>
      </c>
    </row>
    <row r="142">
      <c r="A142" s="41" t="n">
        <v>141</v>
      </c>
      <c r="B142" s="41" t="inlineStr">
        <is>
          <t>02126-2011</t>
        </is>
      </c>
      <c r="C142" s="41" t="inlineStr">
        <is>
          <t>Abreviado — anteriores a 2019 (ABR18_SV)</t>
        </is>
      </c>
      <c r="D142" s="41" t="inlineStr">
        <is>
          <t>1SC</t>
        </is>
      </c>
      <c r="E142" s="41" t="inlineStr">
        <is>
          <t>SV 499-2018</t>
        </is>
      </c>
      <c r="F142" s="41" t="inlineStr">
        <is>
          <t>NULA</t>
        </is>
      </c>
      <c r="G142" s="41" t="inlineStr">
        <is>
          <t>D14 (DECLARADO — «incurriendo en una motivación aparente e insufi...), D16 (DECLARADO — «habiendo la sentencia omitido pronunciarse sobr...)</t>
        </is>
      </c>
      <c r="H142" s="41" t="inlineStr">
        <is>
          <t>(vacío)</t>
        </is>
      </c>
      <c r="I142" s="41" t="inlineStr">
        <is>
          <t>(combinación: D14/D16)</t>
        </is>
      </c>
      <c r="J142" s="41" t="inlineStr">
        <is>
          <t>Pendiente de clasificar — combinación múltiple, requiere lectura</t>
        </is>
      </c>
    </row>
    <row r="143">
      <c r="A143" s="42" t="n">
        <v>142</v>
      </c>
      <c r="B143" s="42" t="inlineStr">
        <is>
          <t>02412-2011</t>
        </is>
      </c>
      <c r="C143" s="42" t="inlineStr">
        <is>
          <t>Abreviado — anteriores a 2019 (ABR18_SV)</t>
        </is>
      </c>
      <c r="D143" s="42" t="inlineStr">
        <is>
          <t>3SC</t>
        </is>
      </c>
      <c r="E143" s="42" t="inlineStr">
        <is>
          <t>SV 26-2021-3SC</t>
        </is>
      </c>
      <c r="F143" s="42" t="inlineStr">
        <is>
          <t>NULA</t>
        </is>
      </c>
      <c r="G143" s="42" t="inlineStr">
        <is>
          <t>—</t>
        </is>
      </c>
      <c r="H143" s="42" t="inlineStr">
        <is>
          <t>(vacío)</t>
        </is>
      </c>
      <c r="I143" s="42" t="inlineStr">
        <is>
          <t>—</t>
        </is>
      </c>
      <c r="J143" s="42" t="inlineStr">
        <is>
          <t>Sin vicio de motivación (sin marca explícita)</t>
        </is>
      </c>
    </row>
    <row r="144">
      <c r="A144" s="41" t="n">
        <v>143</v>
      </c>
      <c r="B144" s="41" t="inlineStr">
        <is>
          <t>02476-2012</t>
        </is>
      </c>
      <c r="C144" s="41" t="inlineStr">
        <is>
          <t>Abreviado — anteriores a 2019 (ABR18_SV)</t>
        </is>
      </c>
      <c r="D144" s="41" t="inlineStr">
        <is>
          <t>2SC</t>
        </is>
      </c>
      <c r="E144" s="41" t="inlineStr">
        <is>
          <t>SV 317-2020-2SC</t>
        </is>
      </c>
      <c r="F144" s="41" t="inlineStr">
        <is>
          <t>NULA</t>
        </is>
      </c>
      <c r="G144" s="41" t="inlineStr">
        <is>
          <t>D13 (DECLARADO — «el juzgador no ha cumplido con realizar un adec...)</t>
        </is>
      </c>
      <c r="H144" s="41" t="inlineStr">
        <is>
          <t>(vacío)</t>
        </is>
      </c>
      <c r="I144" s="41" t="inlineStr">
        <is>
          <t>d) Motivación insuficiente</t>
        </is>
      </c>
      <c r="J144" s="41" t="inlineStr">
        <is>
          <t>Pendiente de clasificar — mapeo directo posible</t>
        </is>
      </c>
    </row>
    <row r="145">
      <c r="A145" s="41" t="n">
        <v>144</v>
      </c>
      <c r="B145" s="41" t="inlineStr">
        <is>
          <t>00025-2017</t>
        </is>
      </c>
      <c r="C145" s="41" t="inlineStr">
        <is>
          <t>Abreviado — anteriores a 2019 (ABR18_SV)</t>
        </is>
      </c>
      <c r="D145" s="41" t="inlineStr">
        <is>
          <t>2SC</t>
        </is>
      </c>
      <c r="E145" s="41" t="inlineStr">
        <is>
          <t>SV 389-2025-2SC</t>
        </is>
      </c>
      <c r="F145" s="41" t="inlineStr">
        <is>
          <t>NULA</t>
        </is>
      </c>
      <c r="G145" s="41" t="inlineStr">
        <is>
          <t>D16 (DECLARADO — «sin haberse pronunciado sobre cada uno de los s...), D21 (DECLARADO — «No ha tomado en cuenta que, la situación de los...)</t>
        </is>
      </c>
      <c r="H145" s="41" t="inlineStr">
        <is>
          <t>(vacío)</t>
        </is>
      </c>
      <c r="I145" s="41" t="inlineStr">
        <is>
          <t>(combinación: D16/D21)</t>
        </is>
      </c>
      <c r="J145" s="41" t="inlineStr">
        <is>
          <t>Pendiente de clasificar — combinación múltiple, requiere lectura</t>
        </is>
      </c>
    </row>
    <row r="146">
      <c r="A146" s="41" t="n">
        <v>145</v>
      </c>
      <c r="B146" s="41" t="inlineStr">
        <is>
          <t>02592-2010</t>
        </is>
      </c>
      <c r="C146" s="41" t="inlineStr">
        <is>
          <t>Abreviado — anteriores a 2019 (ABR18_SV)</t>
        </is>
      </c>
      <c r="D146" s="41" t="inlineStr">
        <is>
          <t>2SC</t>
        </is>
      </c>
      <c r="E146" s="41" t="inlineStr">
        <is>
          <t>SV 487-2017-2SC</t>
        </is>
      </c>
      <c r="F146" s="41" t="inlineStr">
        <is>
          <t>NULA</t>
        </is>
      </c>
      <c r="G146" s="41" t="inlineStr">
        <is>
          <t>D13 (DECLARADO — «tampoco se aprecia que se haya expuesto las raz...), D16 (DECLARADO — «pese a no haber sido materia de debate en la in...)</t>
        </is>
      </c>
      <c r="H146" s="41" t="inlineStr">
        <is>
          <t>(vacío)</t>
        </is>
      </c>
      <c r="I146" s="41" t="inlineStr">
        <is>
          <t>(combinación: D13/D16)</t>
        </is>
      </c>
      <c r="J146" s="41" t="inlineStr">
        <is>
          <t>Pendiente de clasificar — combinación múltiple, requiere lectura</t>
        </is>
      </c>
    </row>
    <row r="147">
      <c r="A147" s="42" t="n">
        <v>146</v>
      </c>
      <c r="B147" s="42" t="inlineStr">
        <is>
          <t>02676-2017</t>
        </is>
      </c>
      <c r="C147" s="42" t="inlineStr">
        <is>
          <t>Abreviado — anteriores a 2019 (ABR18_SV)</t>
        </is>
      </c>
      <c r="D147" s="42" t="inlineStr">
        <is>
          <t>2SC</t>
        </is>
      </c>
      <c r="E147" s="42" t="inlineStr">
        <is>
          <t>SV 967-2020-2SC</t>
        </is>
      </c>
      <c r="F147" s="42" t="inlineStr">
        <is>
          <t>REVOCADA → INFUNDADA</t>
        </is>
      </c>
      <c r="G147" s="42" t="inlineStr">
        <is>
          <t>—</t>
        </is>
      </c>
      <c r="H147" s="42" t="inlineStr">
        <is>
          <t>(vacío)</t>
        </is>
      </c>
      <c r="I147" s="42" t="inlineStr">
        <is>
          <t>—</t>
        </is>
      </c>
      <c r="J147" s="42" t="inlineStr">
        <is>
          <t>Sin vicio de motivación (sin marca explícita)</t>
        </is>
      </c>
    </row>
    <row r="148">
      <c r="A148" s="41" t="n">
        <v>147</v>
      </c>
      <c r="B148" s="41" t="inlineStr">
        <is>
          <t>03271-2016</t>
        </is>
      </c>
      <c r="C148" s="41" t="inlineStr">
        <is>
          <t>Abreviado — anteriores a 2019 (ABR18_SV)</t>
        </is>
      </c>
      <c r="D148" s="41" t="inlineStr">
        <is>
          <t>3SC</t>
        </is>
      </c>
      <c r="E148" s="41" t="inlineStr">
        <is>
          <t>SV 480-2018-3SC</t>
        </is>
      </c>
      <c r="F148" s="41" t="inlineStr">
        <is>
          <t>NULA</t>
        </is>
      </c>
      <c r="G148" s="41" t="inlineStr">
        <is>
          <t>D16 (DECLARADO — «no ha hecho un análisis de los hechos de la dem...), D23 (DECLARADO — «ha sido emitida sin valorar adecuadamente los a...)</t>
        </is>
      </c>
      <c r="H148" s="41" t="inlineStr">
        <is>
          <t>(vacío)</t>
        </is>
      </c>
      <c r="I148" s="41" t="inlineStr">
        <is>
          <t>(ambiguo: D16/D23)</t>
        </is>
      </c>
      <c r="J148" s="41" t="inlineStr">
        <is>
          <t>Pendiente de clasificar — requiere lectura (D16/D23)</t>
        </is>
      </c>
    </row>
    <row r="149">
      <c r="A149" s="42" t="n">
        <v>148</v>
      </c>
      <c r="B149" s="42" t="inlineStr">
        <is>
          <t>03379-2013</t>
        </is>
      </c>
      <c r="C149" s="42" t="inlineStr">
        <is>
          <t>Abreviado — anteriores a 2019 (ABR18_SV)</t>
        </is>
      </c>
      <c r="D149" s="42" t="inlineStr">
        <is>
          <t>3SC</t>
        </is>
      </c>
      <c r="E149" s="42" t="inlineStr">
        <is>
          <t>SV 421-2019-3SC</t>
        </is>
      </c>
      <c r="F149" s="42" t="inlineStr">
        <is>
          <t>NULA</t>
        </is>
      </c>
      <c r="G149" s="42" t="inlineStr">
        <is>
          <t>—</t>
        </is>
      </c>
      <c r="H149" s="42" t="inlineStr">
        <is>
          <t>(vacío)</t>
        </is>
      </c>
      <c r="I149" s="42" t="inlineStr">
        <is>
          <t>—</t>
        </is>
      </c>
      <c r="J149" s="42" t="inlineStr">
        <is>
          <t>Sin vicio de motivación (sin marca explícita)</t>
        </is>
      </c>
    </row>
    <row r="150">
      <c r="A150" s="42" t="n">
        <v>149</v>
      </c>
      <c r="B150" s="42" t="inlineStr">
        <is>
          <t>03601-2017</t>
        </is>
      </c>
      <c r="C150" s="42" t="inlineStr">
        <is>
          <t>Abreviado — anteriores a 2019 (ABR18_SV)</t>
        </is>
      </c>
      <c r="D150" s="42" t="inlineStr">
        <is>
          <t>2SC</t>
        </is>
      </c>
      <c r="E150" s="42" t="inlineStr">
        <is>
          <t>SV 190-2019-2SC</t>
        </is>
      </c>
      <c r="F150" s="42" t="inlineStr">
        <is>
          <t>REVOCADA → INFUNDADA</t>
        </is>
      </c>
      <c r="G150" s="42" t="inlineStr">
        <is>
          <t>—</t>
        </is>
      </c>
      <c r="H150" s="42" t="inlineStr">
        <is>
          <t>(vacío)</t>
        </is>
      </c>
      <c r="I150" s="42" t="inlineStr">
        <is>
          <t>—</t>
        </is>
      </c>
      <c r="J150" s="42" t="inlineStr">
        <is>
          <t>Sin vicio de motivación (sin marca explícita)</t>
        </is>
      </c>
    </row>
    <row r="151">
      <c r="A151" s="42" t="n">
        <v>150</v>
      </c>
      <c r="B151" s="42" t="inlineStr">
        <is>
          <t>03656-2016</t>
        </is>
      </c>
      <c r="C151" s="42" t="inlineStr">
        <is>
          <t>Abreviado — anteriores a 2019 (ABR18_SV)</t>
        </is>
      </c>
      <c r="D151" s="42" t="inlineStr">
        <is>
          <t>2SC</t>
        </is>
      </c>
      <c r="E151" s="42" t="inlineStr">
        <is>
          <t>SV 448-2019-2SC</t>
        </is>
      </c>
      <c r="F151" s="42" t="inlineStr">
        <is>
          <t>DESAPROBADA (reenvío)</t>
        </is>
      </c>
      <c r="G151" s="42" t="inlineStr">
        <is>
          <t>—</t>
        </is>
      </c>
      <c r="H151" s="42" t="inlineStr">
        <is>
          <t>(vacío)</t>
        </is>
      </c>
      <c r="I151" s="42" t="inlineStr">
        <is>
          <t>—</t>
        </is>
      </c>
      <c r="J151" s="42" t="inlineStr">
        <is>
          <t>Sin vicio de motivación (sin marca explícita)</t>
        </is>
      </c>
    </row>
    <row r="152">
      <c r="A152" s="42" t="n">
        <v>151</v>
      </c>
      <c r="B152" s="42" t="inlineStr">
        <is>
          <t>03697-2014</t>
        </is>
      </c>
      <c r="C152" s="42" t="inlineStr">
        <is>
          <t>Abreviado — anteriores a 2019 (ABR18_SV)</t>
        </is>
      </c>
      <c r="D152" s="42" t="inlineStr">
        <is>
          <t>3SC</t>
        </is>
      </c>
      <c r="E152" s="42" t="inlineStr">
        <is>
          <t>SV 521-2018-3SC</t>
        </is>
      </c>
      <c r="F152" s="42" t="inlineStr">
        <is>
          <t>DESAPROBADA + NULO TODO LO ACTUADO (reenvío) → IMPROCEDENTE</t>
        </is>
      </c>
      <c r="G152" s="42" t="inlineStr">
        <is>
          <t>—</t>
        </is>
      </c>
      <c r="H152" s="42" t="inlineStr">
        <is>
          <t>(vacío)</t>
        </is>
      </c>
      <c r="I152" s="42" t="inlineStr">
        <is>
          <t>—</t>
        </is>
      </c>
      <c r="J152" s="42" t="inlineStr">
        <is>
          <t>Sin vicio de motivación (sin marca explícita)</t>
        </is>
      </c>
    </row>
    <row r="153">
      <c r="A153" s="42" t="n">
        <v>152</v>
      </c>
      <c r="B153" s="42" t="inlineStr">
        <is>
          <t>04246-2011</t>
        </is>
      </c>
      <c r="C153" s="42" t="inlineStr">
        <is>
          <t>Abreviado — anteriores a 2019 (ABR18_SV)</t>
        </is>
      </c>
      <c r="D153" s="42" t="inlineStr">
        <is>
          <t>3SC</t>
        </is>
      </c>
      <c r="E153" s="42" t="inlineStr">
        <is>
          <t>SV 654-2019-3SC</t>
        </is>
      </c>
      <c r="F153" s="42" t="inlineStr">
        <is>
          <t>REVOCA → IMPROCEDENTE</t>
        </is>
      </c>
      <c r="G153" s="42" t="inlineStr">
        <is>
          <t>—</t>
        </is>
      </c>
      <c r="H153" s="42" t="inlineStr">
        <is>
          <t>(vacío)</t>
        </is>
      </c>
      <c r="I153" s="42" t="inlineStr">
        <is>
          <t>—</t>
        </is>
      </c>
      <c r="J153" s="42" t="inlineStr">
        <is>
          <t>Sin vicio de motivación (sin marca explícita)</t>
        </is>
      </c>
    </row>
    <row r="154">
      <c r="A154" s="42" t="n">
        <v>153</v>
      </c>
      <c r="B154" s="42" t="inlineStr">
        <is>
          <t>00442-2016</t>
        </is>
      </c>
      <c r="C154" s="42" t="inlineStr">
        <is>
          <t>Abreviado — anteriores a 2019 (ABR18_SV)</t>
        </is>
      </c>
      <c r="D154" s="42" t="inlineStr">
        <is>
          <t>1SC</t>
        </is>
      </c>
      <c r="E154" s="42" t="inlineStr">
        <is>
          <t>SV 545-2019</t>
        </is>
      </c>
      <c r="F154" s="42" t="inlineStr">
        <is>
          <t>REVOCADA → INFUNDADA</t>
        </is>
      </c>
      <c r="G154" s="42" t="inlineStr">
        <is>
          <t>—</t>
        </is>
      </c>
      <c r="H154" s="42" t="inlineStr">
        <is>
          <t>(vacío)</t>
        </is>
      </c>
      <c r="I154" s="42" t="inlineStr">
        <is>
          <t>—</t>
        </is>
      </c>
      <c r="J154" s="42" t="inlineStr">
        <is>
          <t>Sin vicio de motivación (sin marca explícita)</t>
        </is>
      </c>
    </row>
    <row r="155">
      <c r="A155" s="41" t="n">
        <v>154</v>
      </c>
      <c r="B155" s="41" t="inlineStr">
        <is>
          <t>04422-2011</t>
        </is>
      </c>
      <c r="C155" s="41" t="inlineStr">
        <is>
          <t>Abreviado — anteriores a 2019 (ABR18_SV)</t>
        </is>
      </c>
      <c r="D155" s="41" t="inlineStr">
        <is>
          <t>2SC</t>
        </is>
      </c>
      <c r="E155" s="41" t="inlineStr">
        <is>
          <t>SV 688-2018-2SC</t>
        </is>
      </c>
      <c r="F155" s="41" t="inlineStr">
        <is>
          <t>NULA</t>
        </is>
      </c>
      <c r="G155" s="41" t="inlineStr">
        <is>
          <t>D16 (DECLARADO — «al no haberse pronunciado respecto a las alegac...)</t>
        </is>
      </c>
      <c r="H155" s="41" t="inlineStr">
        <is>
          <t>(vacío)</t>
        </is>
      </c>
      <c r="I155" s="41" t="inlineStr">
        <is>
          <t>(ambiguo: D16)</t>
        </is>
      </c>
      <c r="J155" s="41" t="inlineStr">
        <is>
          <t>Pendiente de clasificar — requiere lectura (D16/D23)</t>
        </is>
      </c>
    </row>
    <row r="156">
      <c r="A156" s="42" t="n">
        <v>155</v>
      </c>
      <c r="B156" s="42" t="inlineStr">
        <is>
          <t>04649-2010</t>
        </is>
      </c>
      <c r="C156" s="42" t="inlineStr">
        <is>
          <t>Abreviado — anteriores a 2019 (ABR18_SV)</t>
        </is>
      </c>
      <c r="D156" s="42" t="inlineStr">
        <is>
          <t>1SC</t>
        </is>
      </c>
      <c r="E156" s="42" t="inlineStr">
        <is>
          <t>SV 59-2019</t>
        </is>
      </c>
      <c r="F156" s="42" t="inlineStr">
        <is>
          <t>REVOCADA → FUNDADA EN PARTE</t>
        </is>
      </c>
      <c r="G156" s="42" t="inlineStr">
        <is>
          <t>—</t>
        </is>
      </c>
      <c r="H156" s="42" t="inlineStr">
        <is>
          <t>(vacío)</t>
        </is>
      </c>
      <c r="I156" s="42" t="inlineStr">
        <is>
          <t>—</t>
        </is>
      </c>
      <c r="J156" s="42" t="inlineStr">
        <is>
          <t>Sin vicio de motivación (sin marca explícita)</t>
        </is>
      </c>
    </row>
    <row r="157">
      <c r="A157" s="41" t="n">
        <v>156</v>
      </c>
      <c r="B157" s="41" t="inlineStr">
        <is>
          <t>00051-2017</t>
        </is>
      </c>
      <c r="C157" s="41" t="inlineStr">
        <is>
          <t>Abreviado — anteriores a 2019 (ABR18_SV)</t>
        </is>
      </c>
      <c r="D157" s="41" t="inlineStr">
        <is>
          <t>2SC</t>
        </is>
      </c>
      <c r="E157" s="41" t="inlineStr">
        <is>
          <t>SV 319-2020-2SC</t>
        </is>
      </c>
      <c r="F157" s="41" t="inlineStr">
        <is>
          <t>NULA (con voto en discordia)</t>
        </is>
      </c>
      <c r="G157" s="41" t="inlineStr">
        <is>
          <t>D15 (DECLARADO — «no resulta coherente ni lógico que tratándose d...)</t>
        </is>
      </c>
      <c r="H157" s="41" t="inlineStr">
        <is>
          <t>(vacío)</t>
        </is>
      </c>
      <c r="I157" s="41" t="inlineStr">
        <is>
          <t>b) Falta de motivación interna</t>
        </is>
      </c>
      <c r="J157" s="41" t="inlineStr">
        <is>
          <t>Pendiente de clasificar — mapeo directo posible</t>
        </is>
      </c>
    </row>
    <row r="158">
      <c r="A158" s="41" t="n">
        <v>157</v>
      </c>
      <c r="B158" s="41" t="inlineStr">
        <is>
          <t>05208-2014</t>
        </is>
      </c>
      <c r="C158" s="41" t="inlineStr">
        <is>
          <t>Abreviado — anteriores a 2019 (ABR18_SV)</t>
        </is>
      </c>
      <c r="D158" s="41" t="inlineStr">
        <is>
          <t>3SC</t>
        </is>
      </c>
      <c r="E158" s="41" t="inlineStr">
        <is>
          <t>SV 126-2019-3SC</t>
        </is>
      </c>
      <c r="F158" s="41" t="inlineStr">
        <is>
          <t>NULA E INSUBSISTENTE</t>
        </is>
      </c>
      <c r="G158" s="41" t="inlineStr">
        <is>
          <t>D14 (DECLARADO — «la sentencia contiene una motivación aparente, ...), D16 (DECLARADO — «el Juez a quo no se ha pronunciado sobre todos ...)</t>
        </is>
      </c>
      <c r="H158" s="41" t="inlineStr">
        <is>
          <t>(vacío)</t>
        </is>
      </c>
      <c r="I158" s="41" t="inlineStr">
        <is>
          <t>(combinación: D14/D16)</t>
        </is>
      </c>
      <c r="J158" s="41" t="inlineStr">
        <is>
          <t>Pendiente de clasificar — combinación múltiple, requiere lectura</t>
        </is>
      </c>
    </row>
    <row r="159">
      <c r="A159" s="42" t="n">
        <v>158</v>
      </c>
      <c r="B159" s="42" t="inlineStr">
        <is>
          <t>06617-2013</t>
        </is>
      </c>
      <c r="C159" s="42" t="inlineStr">
        <is>
          <t>Abreviado — anteriores a 2019 (ABR18_SV)</t>
        </is>
      </c>
      <c r="D159" s="42" t="inlineStr">
        <is>
          <t>2SC</t>
        </is>
      </c>
      <c r="E159" s="42" t="inlineStr">
        <is>
          <t>SV 689-2018-2SC</t>
        </is>
      </c>
      <c r="F159" s="42" t="inlineStr">
        <is>
          <t>REVOCADA → INFUNDADA (+ corrección de error material, art. 407 CPC)</t>
        </is>
      </c>
      <c r="G159" s="42" t="inlineStr">
        <is>
          <t>—</t>
        </is>
      </c>
      <c r="H159" s="42" t="inlineStr">
        <is>
          <t>(vacío)</t>
        </is>
      </c>
      <c r="I159" s="42" t="inlineStr">
        <is>
          <t>—</t>
        </is>
      </c>
      <c r="J159" s="42" t="inlineStr">
        <is>
          <t>Sin vicio de motivación (sin marca explícita)</t>
        </is>
      </c>
    </row>
    <row r="160">
      <c r="A160" s="42" t="n">
        <v>159</v>
      </c>
      <c r="B160" s="42" t="inlineStr">
        <is>
          <t>07218-2014</t>
        </is>
      </c>
      <c r="C160" s="42" t="inlineStr">
        <is>
          <t>Abreviado — anteriores a 2019 (ABR18_SV)</t>
        </is>
      </c>
      <c r="D160" s="42" t="inlineStr">
        <is>
          <t>1SC</t>
        </is>
      </c>
      <c r="E160" s="42" t="inlineStr">
        <is>
          <t>SV 563-2018</t>
        </is>
      </c>
      <c r="F160" s="42" t="inlineStr">
        <is>
          <t>REVOCA → IMPROCEDENTE</t>
        </is>
      </c>
      <c r="G160" s="42" t="inlineStr">
        <is>
          <t>—</t>
        </is>
      </c>
      <c r="H160" s="42" t="inlineStr">
        <is>
          <t>(vacío)</t>
        </is>
      </c>
      <c r="I160" s="42" t="inlineStr">
        <is>
          <t>—</t>
        </is>
      </c>
      <c r="J160" s="42" t="inlineStr">
        <is>
          <t>Sin vicio de motivación (sin marca explícita)</t>
        </is>
      </c>
    </row>
    <row r="161">
      <c r="A161" s="41" t="n">
        <v>160</v>
      </c>
      <c r="B161" s="41" t="inlineStr">
        <is>
          <t>07394-2000</t>
        </is>
      </c>
      <c r="C161" s="41" t="inlineStr">
        <is>
          <t>Abreviado — anteriores a 2019 (ABR18_SV)</t>
        </is>
      </c>
      <c r="D161" s="41" t="inlineStr">
        <is>
          <t>2SC</t>
        </is>
      </c>
      <c r="E161" s="41" t="inlineStr">
        <is>
          <t>SV 173-2020-2SC</t>
        </is>
      </c>
      <c r="F161" s="41" t="inlineStr">
        <is>
          <t>NULA</t>
        </is>
      </c>
      <c r="G161" s="41" t="inlineStr">
        <is>
          <t>D13 (DECLARADO — «el juzgador no cumplido con establecer si es qu...)</t>
        </is>
      </c>
      <c r="H161" s="41" t="inlineStr">
        <is>
          <t>(vacío)</t>
        </is>
      </c>
      <c r="I161" s="41" t="inlineStr">
        <is>
          <t>d) Motivación insuficiente</t>
        </is>
      </c>
      <c r="J161" s="41" t="inlineStr">
        <is>
          <t>Pendiente de clasificar — mapeo directo posible</t>
        </is>
      </c>
    </row>
    <row r="162">
      <c r="A162" s="41" t="n">
        <v>161</v>
      </c>
      <c r="B162" s="41" t="inlineStr">
        <is>
          <t>08011-2014</t>
        </is>
      </c>
      <c r="C162" s="41" t="inlineStr">
        <is>
          <t>Abreviado — anteriores a 2019 (ABR18_SV)</t>
        </is>
      </c>
      <c r="D162" s="41" t="inlineStr">
        <is>
          <t>2SC</t>
        </is>
      </c>
      <c r="E162" s="41" t="inlineStr">
        <is>
          <t>SV 87-2020-2SC</t>
        </is>
      </c>
      <c r="F162" s="41" t="inlineStr">
        <is>
          <t>REVOCA → IMPROCEDENTE</t>
        </is>
      </c>
      <c r="G162" s="41" t="inlineStr">
        <is>
          <t>D23 (DECLARADO — «cada uno de estos fundamentos adolecen de una m...)</t>
        </is>
      </c>
      <c r="H162" s="41" t="inlineStr">
        <is>
          <t>(vacío)</t>
        </is>
      </c>
      <c r="I162" s="41" t="inlineStr">
        <is>
          <t>(ambiguo: D23)</t>
        </is>
      </c>
      <c r="J162" s="41" t="inlineStr">
        <is>
          <t>Pendiente de clasificar — requiere lectura (D16/D23)</t>
        </is>
      </c>
    </row>
    <row r="163">
      <c r="A163" s="42" t="n">
        <v>162</v>
      </c>
      <c r="B163" s="42" t="inlineStr">
        <is>
          <t>00925-2016</t>
        </is>
      </c>
      <c r="C163" s="42" t="inlineStr">
        <is>
          <t>Abreviado — anteriores a 2019 (ABR18_SV)</t>
        </is>
      </c>
      <c r="D163" s="42" t="inlineStr">
        <is>
          <t>2SC</t>
        </is>
      </c>
      <c r="E163" s="42" t="inlineStr">
        <is>
          <t>SV 021-2020-2SC</t>
        </is>
      </c>
      <c r="F163" s="42" t="inlineStr">
        <is>
          <t>NULA</t>
        </is>
      </c>
      <c r="G163" s="42" t="inlineStr">
        <is>
          <t>—</t>
        </is>
      </c>
      <c r="H163" s="42" t="inlineStr">
        <is>
          <t>(vacío)</t>
        </is>
      </c>
      <c r="I163" s="42" t="inlineStr">
        <is>
          <t>—</t>
        </is>
      </c>
      <c r="J163" s="42" t="inlineStr">
        <is>
          <t>Sin vicio de motivación (sin marca explícita)</t>
        </is>
      </c>
    </row>
    <row r="164">
      <c r="A164" s="42" t="n">
        <v>163</v>
      </c>
      <c r="B164" s="42" t="inlineStr">
        <is>
          <t>00925-2017</t>
        </is>
      </c>
      <c r="C164" s="42" t="inlineStr">
        <is>
          <t>Abreviado — anteriores a 2019 (ABR18_SV)</t>
        </is>
      </c>
      <c r="D164" s="42" t="inlineStr">
        <is>
          <t>2SC</t>
        </is>
      </c>
      <c r="E164" s="42" t="inlineStr">
        <is>
          <t>SV 135-2020-2SC</t>
        </is>
      </c>
      <c r="F164" s="42" t="inlineStr">
        <is>
          <t>REVOCA → IMPROCEDENTE</t>
        </is>
      </c>
      <c r="G164" s="42" t="inlineStr">
        <is>
          <t>—</t>
        </is>
      </c>
      <c r="H164" s="42" t="inlineStr">
        <is>
          <t>(vacío)</t>
        </is>
      </c>
      <c r="I164" s="42" t="inlineStr">
        <is>
          <t>—</t>
        </is>
      </c>
      <c r="J164" s="42" t="inlineStr">
        <is>
          <t>Sin vicio de motivación (sin marca explícita)</t>
        </is>
      </c>
    </row>
    <row r="166">
      <c r="A166" s="44" t="inlineStr">
        <is>
          <t>RESUMEN</t>
        </is>
      </c>
      <c r="B166" s="44" t="n"/>
    </row>
    <row r="167">
      <c r="A167" s="45" t="inlineStr">
        <is>
          <t>Total expedientes analizados</t>
        </is>
      </c>
      <c r="B167" s="45" t="n">
        <v>163</v>
      </c>
    </row>
    <row r="168">
      <c r="A168" s="45" t="inlineStr">
        <is>
          <t>Ya clasificados en a-f en el corpus</t>
        </is>
      </c>
      <c r="B168" s="45" t="n">
        <v>19</v>
      </c>
    </row>
    <row r="169">
      <c r="A169" s="45" t="inlineStr">
        <is>
          <t>Sin vicio de motivación (marcado explícito)</t>
        </is>
      </c>
      <c r="B169" s="45" t="n">
        <v>18</v>
      </c>
    </row>
    <row r="170">
      <c r="A170" s="45" t="inlineStr">
        <is>
          <t>Sin vicio de motivación (sin marca explícita)</t>
        </is>
      </c>
      <c r="B170" s="45" t="n">
        <v>71</v>
      </c>
    </row>
    <row r="171">
      <c r="A171" s="45" t="inlineStr">
        <is>
          <t>Pendientes de clasificar — mapeo directo posible</t>
        </is>
      </c>
      <c r="B171" s="45" t="n">
        <v>18</v>
      </c>
    </row>
    <row r="172">
      <c r="A172" s="45" t="inlineStr">
        <is>
          <t>Pendientes de clasificar — requieren lectura (D16/D23/combinación)</t>
        </is>
      </c>
      <c r="B172" s="45" t="n">
        <v>37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6" customWidth="1" min="3" max="3"/>
    <col width="7" customWidth="1" min="4" max="4"/>
    <col width="20" customWidth="1" min="5" max="5"/>
    <col width="16" customWidth="1" min="6" max="6"/>
    <col width="24" customWidth="1" min="7" max="7"/>
    <col width="42" customWidth="1" min="8" max="8"/>
    <col width="22" customWidth="1" min="9" max="9"/>
    <col width="38" customWidth="1" min="10" max="10"/>
    <col width="42" customWidth="1" min="11" max="11"/>
  </cols>
  <sheetData>
    <row r="1" ht="32" customHeight="1">
      <c r="A1" s="40" t="inlineStr">
        <is>
          <t>N°</t>
        </is>
      </c>
      <c r="B1" s="40" t="inlineStr">
        <is>
          <t>Clave expediente</t>
        </is>
      </c>
      <c r="C1" s="40" t="inlineStr">
        <is>
          <t>Sala</t>
        </is>
      </c>
      <c r="D1" s="40" t="inlineStr">
        <is>
          <t>Año SV</t>
        </is>
      </c>
      <c r="E1" s="40" t="inlineStr">
        <is>
          <t>Sentido del fallo</t>
        </is>
      </c>
      <c r="F1" s="40" t="inlineStr">
        <is>
          <t>Códigos D declarados</t>
        </is>
      </c>
      <c r="G1" s="40" t="inlineStr">
        <is>
          <t>Tipo Llamoja — principal</t>
        </is>
      </c>
      <c r="H1" s="40" t="inlineStr">
        <is>
          <t>Cita (considerando) — principal</t>
        </is>
      </c>
      <c r="I1" s="40" t="inlineStr">
        <is>
          <t>Tipo Llamoja — secundario</t>
        </is>
      </c>
      <c r="J1" s="40" t="inlineStr">
        <is>
          <t>Cita (considerando) — secundario</t>
        </is>
      </c>
      <c r="K1" s="40" t="inlineStr">
        <is>
          <t>Observaciones</t>
        </is>
      </c>
    </row>
    <row r="2">
      <c r="A2" s="46" t="n">
        <v>136</v>
      </c>
      <c r="B2" s="46" t="inlineStr">
        <is>
          <t>01530-2015</t>
        </is>
      </c>
      <c r="C2" s="46" t="inlineStr">
        <is>
          <t>2SC</t>
        </is>
      </c>
      <c r="D2" s="46" t="inlineStr">
        <is>
          <t>2019</t>
        </is>
      </c>
      <c r="E2" s="46" t="inlineStr">
        <is>
          <t>NULA</t>
        </is>
      </c>
      <c r="F2" s="46" t="inlineStr">
        <is>
          <t>D08, D11, D13, D14</t>
        </is>
      </c>
      <c r="G2" s="46" t="inlineStr">
        <is>
          <t>a) Inexistente o aparente</t>
        </is>
      </c>
      <c r="H2" s="46" t="inlineStr">
        <is>
          <t>"la sentencia adolece de motivación aparente, pues existen varias falencias de orden motivacional, afectando el inciso quinto del artículo 139 de la Constitución" (considerando Noveno)</t>
        </is>
      </c>
      <c r="I2" s="46" t="inlineStr">
        <is>
          <t>d) Motivación insuficiente</t>
        </is>
      </c>
      <c r="J2" s="46" t="inlineStr">
        <is>
          <t>"indebidamente se ha prohibido recibir la declaración como testigo... sin dar mayores argumentos" — considerandos Séptimo y Octavo sobre pericia y prueba testimonial no valoradas</t>
        </is>
      </c>
      <c r="K2" s="46" t="inlineStr">
        <is>
          <t>La Sala nombra expresamente "motivación aparente" como causal central.</t>
        </is>
      </c>
    </row>
    <row r="3">
      <c r="A3" s="46" t="n">
        <v>137</v>
      </c>
      <c r="B3" s="46" t="inlineStr">
        <is>
          <t>01612-2015</t>
        </is>
      </c>
      <c r="C3" s="46" t="inlineStr">
        <is>
          <t>1SC</t>
        </is>
      </c>
      <c r="D3" s="46" t="inlineStr">
        <is>
          <t>2019</t>
        </is>
      </c>
      <c r="E3" s="46" t="inlineStr">
        <is>
          <t>NULA</t>
        </is>
      </c>
      <c r="F3" s="46" t="inlineStr">
        <is>
          <t>D03, D13</t>
        </is>
      </c>
      <c r="G3" s="46" t="inlineStr">
        <is>
          <t>d) Motivación insuficiente</t>
        </is>
      </c>
      <c r="H3" s="46" t="inlineStr">
        <is>
          <t>"pero en la sentencia se les ha reconocido un área... sin dar mayores argumentos por parte del Juez" (considerando 7.2)</t>
        </is>
      </c>
      <c r="I3" s="46" t="inlineStr">
        <is>
          <t>—</t>
        </is>
      </c>
      <c r="J3" s="46" t="inlineStr">
        <is>
          <t>—</t>
        </is>
      </c>
      <c r="K3" s="46" t="inlineStr">
        <is>
          <t>D03 (litisconsorte, propietarios de áreas registradas no emplazados, 7.3) es un defecto procesal independiente, no de motivación.</t>
        </is>
      </c>
    </row>
    <row r="4">
      <c r="A4" s="46" t="n">
        <v>138</v>
      </c>
      <c r="B4" s="46" t="inlineStr">
        <is>
          <t>01763-2012</t>
        </is>
      </c>
      <c r="C4" s="46" t="inlineStr">
        <is>
          <t>2SC</t>
        </is>
      </c>
      <c r="D4" s="46" t="inlineStr">
        <is>
          <t>2019</t>
        </is>
      </c>
      <c r="E4" s="46" t="inlineStr">
        <is>
          <t>NULA</t>
        </is>
      </c>
      <c r="F4" s="46" t="inlineStr">
        <is>
          <t>D21</t>
        </is>
      </c>
      <c r="G4" s="46" t="inlineStr">
        <is>
          <t>c) Deficiencia de motivación externa</t>
        </is>
      </c>
      <c r="H4" s="46" t="inlineStr">
        <is>
          <t>"la impugnada no se ajusta a derecho ni a los antecedentes... debe declararse la nulidad... a efecto que el A quo realice una calificación de fundabilidad y emita debido pronunciamiento" (considerando 2.4)</t>
        </is>
      </c>
      <c r="I4" s="46" t="inlineStr">
        <is>
          <t>—</t>
        </is>
      </c>
      <c r="J4" s="46" t="inlineStr">
        <is>
          <t>—</t>
        </is>
      </c>
      <c r="K4" s="46" t="inlineStr">
        <is>
          <t>El A quo no analizó los requisitos del art. 950 CC frente a la Ley 29618; premisa normativa no confrontada.</t>
        </is>
      </c>
    </row>
    <row r="5">
      <c r="A5" s="46" t="n">
        <v>141</v>
      </c>
      <c r="B5" s="46" t="inlineStr">
        <is>
          <t>02126-2011</t>
        </is>
      </c>
      <c r="C5" s="46" t="inlineStr">
        <is>
          <t>1SC</t>
        </is>
      </c>
      <c r="D5" s="46" t="inlineStr">
        <is>
          <t>2018</t>
        </is>
      </c>
      <c r="E5" s="46" t="inlineStr">
        <is>
          <t>NULA</t>
        </is>
      </c>
      <c r="F5" s="46" t="inlineStr">
        <is>
          <t>D07, D11, D12, D14, D16</t>
        </is>
      </c>
      <c r="G5" s="46" t="inlineStr">
        <is>
          <t>a) Inexistente o aparente</t>
        </is>
      </c>
      <c r="H5" s="46" t="inlineStr">
        <is>
          <t>"incurriendo en una motivación aparente e insuficiente respecto al objeto de la causa; motivo por el que la causa debe ser reenviada para que el juzgador realice una debida motivación"</t>
        </is>
      </c>
      <c r="I5" s="46" t="inlineStr">
        <is>
          <t>d) Motivación insuficiente</t>
        </is>
      </c>
      <c r="J5" s="46" t="inlineStr">
        <is>
          <t>"motivado adecuadamente las razones por las que no les otorga valor y eficacia probatoria" — no se explicó el rechazo de la pericia médica ni la historia clínica</t>
        </is>
      </c>
      <c r="K5" s="46" t="inlineStr">
        <is>
          <t>La propia Sala usa la fórmula "aparente e insuficiente"; D07 (prueba no actuada) es un defecto procesal adicional.</t>
        </is>
      </c>
    </row>
    <row r="6">
      <c r="A6" s="42" t="n">
        <v>142</v>
      </c>
      <c r="B6" s="42" t="inlineStr">
        <is>
          <t>02412-2011</t>
        </is>
      </c>
      <c r="C6" s="42" t="inlineStr">
        <is>
          <t>3SC</t>
        </is>
      </c>
      <c r="D6" s="42" t="inlineStr">
        <is>
          <t>2021</t>
        </is>
      </c>
      <c r="E6" s="42" t="inlineStr">
        <is>
          <t>NULA</t>
        </is>
      </c>
      <c r="F6" s="42" t="inlineStr">
        <is>
          <t>D22</t>
        </is>
      </c>
      <c r="G6" s="42" t="inlineStr">
        <is>
          <t>No aplica</t>
        </is>
      </c>
      <c r="H6" s="42" t="inlineStr">
        <is>
          <t>—</t>
        </is>
      </c>
      <c r="I6" s="42" t="inlineStr">
        <is>
          <t>—</t>
        </is>
      </c>
      <c r="J6" s="42" t="inlineStr">
        <is>
          <t>—</t>
        </is>
      </c>
      <c r="K6" s="42" t="inlineStr">
        <is>
          <t>Nulidad por fallecimiento del demandante antes de la sentencia (art. 108 CPC); vicio de actividad (sucesión procesal / indefensión), no de motivación.</t>
        </is>
      </c>
    </row>
    <row r="7">
      <c r="A7" s="46" t="n">
        <v>143</v>
      </c>
      <c r="B7" s="46" t="inlineStr">
        <is>
          <t>02476-2012</t>
        </is>
      </c>
      <c r="C7" s="46" t="inlineStr">
        <is>
          <t>2SC</t>
        </is>
      </c>
      <c r="D7" s="46" t="inlineStr">
        <is>
          <t>2020</t>
        </is>
      </c>
      <c r="E7" s="46" t="inlineStr">
        <is>
          <t>NULA</t>
        </is>
      </c>
      <c r="F7" s="46" t="inlineStr">
        <is>
          <t>D13, D22</t>
        </is>
      </c>
      <c r="G7" s="46" t="inlineStr">
        <is>
          <t>c) Deficiencia de motivación externa</t>
        </is>
      </c>
      <c r="H7" s="46" t="inlineStr">
        <is>
          <t>"el juzgador no ha cumplido con realizar un adecuado análisis de los fundamentos de la demanda o de la causa petendi... se ha vulnerado el derecho a la debida motivación"</t>
        </is>
      </c>
      <c r="I7" s="46" t="inlineStr">
        <is>
          <t>—</t>
        </is>
      </c>
      <c r="J7" s="46" t="inlineStr">
        <is>
          <t>—</t>
        </is>
      </c>
      <c r="K7" s="46" t="inlineStr">
        <is>
          <t>No se confrontó la premisa de prescripción de la acción / interés para obrar antes de resolver el fondo. D22 (nulidad refleja del extremo conexo) es defecto procesal aparte.</t>
        </is>
      </c>
    </row>
    <row r="8">
      <c r="A8" s="46" t="n">
        <v>144</v>
      </c>
      <c r="B8" s="46" t="inlineStr">
        <is>
          <t>00025-2017</t>
        </is>
      </c>
      <c r="C8" s="46" t="inlineStr">
        <is>
          <t>2SC</t>
        </is>
      </c>
      <c r="D8" s="46" t="inlineStr">
        <is>
          <t>2025</t>
        </is>
      </c>
      <c r="E8" s="46" t="inlineStr">
        <is>
          <t>NULA</t>
        </is>
      </c>
      <c r="F8" s="46" t="inlineStr">
        <is>
          <t>D16, D21</t>
        </is>
      </c>
      <c r="G8" s="46" t="inlineStr">
        <is>
          <t>e) Motivación sustancialmente incongruente</t>
        </is>
      </c>
      <c r="H8" s="46" t="inlineStr">
        <is>
          <t>"sin haberse pronunciado sobre cada uno de los supuestos de procedencia de la pretensión de retracto... omitiendo pronunciarse desde cuándo empieza a correr el plazo de caducidad" (considerando Séptimo)</t>
        </is>
      </c>
      <c r="I8" s="46" t="inlineStr">
        <is>
          <t>—</t>
        </is>
      </c>
      <c r="J8" s="46" t="inlineStr">
        <is>
          <t>—</t>
        </is>
      </c>
      <c r="K8" s="46" t="inlineStr">
        <is>
          <t>Omisión de pronunciarse sobre varios supuestos de procedencia planteados; incongruencia omisiva.</t>
        </is>
      </c>
    </row>
    <row r="9">
      <c r="A9" s="46" t="n">
        <v>145</v>
      </c>
      <c r="B9" s="46" t="inlineStr">
        <is>
          <t>02592-2010</t>
        </is>
      </c>
      <c r="C9" s="46" t="inlineStr">
        <is>
          <t>2SC</t>
        </is>
      </c>
      <c r="D9" s="46" t="inlineStr">
        <is>
          <t>2017</t>
        </is>
      </c>
      <c r="E9" s="46" t="inlineStr">
        <is>
          <t>NULA</t>
        </is>
      </c>
      <c r="F9" s="46" t="inlineStr">
        <is>
          <t>D13, D16</t>
        </is>
      </c>
      <c r="G9" s="46" t="inlineStr">
        <is>
          <t>e) Motivación sustancialmente incongruente</t>
        </is>
      </c>
      <c r="H9" s="46" t="inlineStr">
        <is>
          <t>"se ordena pagar S/.10,000 por daño moral, pese a no haber sido materia de debate en la indicada suma, extralimitándose en su decisión... vulnerando el principio de congruencia procesal" (considerando 2.4)</t>
        </is>
      </c>
      <c r="I9" s="46" t="inlineStr">
        <is>
          <t>d) Motivación insuficiente</t>
        </is>
      </c>
      <c r="J9" s="46" t="inlineStr">
        <is>
          <t>"tampoco se aprecia que se haya expuesto las razones o motivos que le conduzcan a concluir la magnitud del daño moral" (considerando 2.5)</t>
        </is>
      </c>
      <c r="K9" s="46" t="inlineStr">
        <is>
          <t>Ultra petita sobre el monto de daño moral, además de falta de justificación del quantum.</t>
        </is>
      </c>
    </row>
    <row r="10">
      <c r="A10" s="46" t="n">
        <v>147</v>
      </c>
      <c r="B10" s="46" t="inlineStr">
        <is>
          <t>03271-2016</t>
        </is>
      </c>
      <c r="C10" s="46" t="inlineStr">
        <is>
          <t>3SC</t>
        </is>
      </c>
      <c r="D10" s="46" t="inlineStr">
        <is>
          <t>2018</t>
        </is>
      </c>
      <c r="E10" s="46" t="inlineStr">
        <is>
          <t>NULA</t>
        </is>
      </c>
      <c r="F10" s="46" t="inlineStr">
        <is>
          <t>D16, D23</t>
        </is>
      </c>
      <c r="G10" s="46" t="inlineStr">
        <is>
          <t>c) Deficiencia de motivación externa</t>
        </is>
      </c>
      <c r="H10" s="46" t="inlineStr">
        <is>
          <t>"la sentencia... no se encuentra arreglada a derecho, pues ha sido emitida sin valorar adecuadamente los antecedentes fácticos" (considerando 4.6)</t>
        </is>
      </c>
      <c r="I10" s="46" t="inlineStr">
        <is>
          <t>e) Motivación sustancialmente incongruente</t>
        </is>
      </c>
      <c r="J10" s="46" t="inlineStr">
        <is>
          <t>"se incurre en un error al resolver en forma contradictoria e incongruente que pague las costas y costos" (punto 1.6, extremo de costas)</t>
        </is>
      </c>
      <c r="K10" s="46" t="inlineStr">
        <is>
          <t>El fundamento principal es genérico (D23); la incongruencia (D16) es un extremo accesorio sobre costas.</t>
        </is>
      </c>
    </row>
    <row r="11">
      <c r="A11" s="42" t="n">
        <v>148</v>
      </c>
      <c r="B11" s="42" t="inlineStr">
        <is>
          <t>03379-2013</t>
        </is>
      </c>
      <c r="C11" s="42" t="inlineStr">
        <is>
          <t>3SC</t>
        </is>
      </c>
      <c r="D11" s="42" t="inlineStr">
        <is>
          <t>2019</t>
        </is>
      </c>
      <c r="E11" s="42" t="inlineStr">
        <is>
          <t>NULA</t>
        </is>
      </c>
      <c r="F11" s="42" t="inlineStr">
        <is>
          <t>D22</t>
        </is>
      </c>
      <c r="G11" s="42" t="inlineStr">
        <is>
          <t>No aplica</t>
        </is>
      </c>
      <c r="H11" s="42" t="inlineStr">
        <is>
          <t>—</t>
        </is>
      </c>
      <c r="I11" s="42" t="inlineStr">
        <is>
          <t>—</t>
        </is>
      </c>
      <c r="J11" s="42" t="inlineStr">
        <is>
          <t>—</t>
        </is>
      </c>
      <c r="K11" s="42" t="inlineStr">
        <is>
          <t>Nulidad derivada (refleja) de una nulidad previa por litisconsorte necesario omitido (sucesión del heredero fallecido no emplazada), declarada en Auto de Vista anterior. No es defecto de motivación de esta SV.</t>
        </is>
      </c>
    </row>
    <row r="12">
      <c r="A12" s="46" t="n">
        <v>150</v>
      </c>
      <c r="B12" s="46" t="inlineStr">
        <is>
          <t>03656-2016</t>
        </is>
      </c>
      <c r="C12" s="46" t="inlineStr">
        <is>
          <t>2SC</t>
        </is>
      </c>
      <c r="D12" s="46" t="inlineStr">
        <is>
          <t>2019</t>
        </is>
      </c>
      <c r="E12" s="46" t="inlineStr">
        <is>
          <t>DESAPROBADA (reenvío)</t>
        </is>
      </c>
      <c r="F12" s="46" t="inlineStr">
        <is>
          <t>D01, D12</t>
        </is>
      </c>
      <c r="G12" s="46" t="inlineStr">
        <is>
          <t>c) Deficiencia de motivación externa</t>
        </is>
      </c>
      <c r="H12" s="46" t="inlineStr">
        <is>
          <t>"esta situación permitiría inferir que no existió ocupación continua" — la Sala reexamina recibos de servicios sin que el A quo hubiera confrontado esa prueba (considerandos 2.7-2.8)</t>
        </is>
      </c>
      <c r="I12" s="46" t="inlineStr">
        <is>
          <t>—</t>
        </is>
      </c>
      <c r="J12" s="46" t="inlineStr">
        <is>
          <t>—</t>
        </is>
      </c>
      <c r="K12" s="46" t="inlineStr">
        <is>
          <t>D01 (dificultad para emplazar válidamente a la demandada, considerando Tercero) es un defecto procesal independiente.</t>
        </is>
      </c>
    </row>
    <row r="13">
      <c r="A13" s="42" t="n">
        <v>151</v>
      </c>
      <c r="B13" s="42" t="inlineStr">
        <is>
          <t>03697-2014</t>
        </is>
      </c>
      <c r="C13" s="42" t="inlineStr">
        <is>
          <t>3SC</t>
        </is>
      </c>
      <c r="D13" s="42" t="inlineStr">
        <is>
          <t>2018</t>
        </is>
      </c>
      <c r="E13" s="42" t="inlineStr">
        <is>
          <t>DESAPROBADA + NULO (reenvío) → IMPROCEDENTE</t>
        </is>
      </c>
      <c r="F13" s="42" t="inlineStr">
        <is>
          <t>—</t>
        </is>
      </c>
      <c r="G13" s="42" t="inlineStr">
        <is>
          <t>No aplica</t>
        </is>
      </c>
      <c r="H13" s="42" t="inlineStr">
        <is>
          <t>—</t>
        </is>
      </c>
      <c r="I13" s="42" t="inlineStr">
        <is>
          <t>—</t>
        </is>
      </c>
      <c r="J13" s="42" t="inlineStr">
        <is>
          <t>—</t>
        </is>
      </c>
      <c r="K13" s="42" t="inlineStr">
        <is>
          <t>Nulidad por petitorio jurídicamente imposible (procedimiento administrativo específico del D.Leg. 1089/667 para predios rurales). Es un error de calificación jurídica de fondo, no un vicio de motivación ni procesal codificado.</t>
        </is>
      </c>
    </row>
    <row r="14">
      <c r="A14" s="46" t="n">
        <v>154</v>
      </c>
      <c r="B14" s="46" t="inlineStr">
        <is>
          <t>04422-2011</t>
        </is>
      </c>
      <c r="C14" s="46" t="inlineStr">
        <is>
          <t>2SC</t>
        </is>
      </c>
      <c r="D14" s="46" t="inlineStr">
        <is>
          <t>2018</t>
        </is>
      </c>
      <c r="E14" s="46" t="inlineStr">
        <is>
          <t>NULA</t>
        </is>
      </c>
      <c r="F14" s="46" t="inlineStr">
        <is>
          <t>D16, D18</t>
        </is>
      </c>
      <c r="G14" s="46" t="inlineStr">
        <is>
          <t>e) Motivación sustancialmente incongruente</t>
        </is>
      </c>
      <c r="H14" s="46" t="inlineStr">
        <is>
          <t>"constituye vulneración del derecho a la tutela judicial y también del derecho a la motivación de la sentencia (incongruencia omisiva)" citando STC 04295-2007-PHC/TC</t>
        </is>
      </c>
      <c r="I14" s="46" t="inlineStr">
        <is>
          <t>—</t>
        </is>
      </c>
      <c r="J14" s="46" t="inlineStr">
        <is>
          <t>—</t>
        </is>
      </c>
      <c r="K14" s="46" t="inlineStr">
        <is>
          <t>La Sala relaciona expresamente incongruencia omisiva con vulneración del derecho a la motivación.</t>
        </is>
      </c>
    </row>
    <row r="15">
      <c r="A15" s="46" t="n">
        <v>156</v>
      </c>
      <c r="B15" s="46" t="inlineStr">
        <is>
          <t>00051-2017</t>
        </is>
      </c>
      <c r="C15" s="46" t="inlineStr">
        <is>
          <t>2SC</t>
        </is>
      </c>
      <c r="D15" s="46" t="inlineStr">
        <is>
          <t>2020</t>
        </is>
      </c>
      <c r="E15" s="46" t="inlineStr">
        <is>
          <t>NULA (con voto en discordia)</t>
        </is>
      </c>
      <c r="F15" s="46" t="inlineStr">
        <is>
          <t>D15, D18</t>
        </is>
      </c>
      <c r="G15" s="46" t="inlineStr">
        <is>
          <t>b) Falta de motivación interna</t>
        </is>
      </c>
      <c r="H15" s="46" t="inlineStr">
        <is>
          <t>"mal hace la A quo en emitir un pronunciamiento inhibitorio, deviniendo por tanto en nulo dicho pronunciamiento" — la Sala constata que las observaciones formales que el A quo dio por incumplidas ya habían sido superadas en autos</t>
        </is>
      </c>
      <c r="I15" s="46" t="inlineStr">
        <is>
          <t>—</t>
        </is>
      </c>
      <c r="J15" s="46" t="inlineStr">
        <is>
          <t>—</t>
        </is>
      </c>
      <c r="K15" s="46" t="inlineStr">
        <is>
          <t>La conclusión del A quo (incumplimiento de requisitos) no se deduce correctamente de lo que obraba en el expediente (invalidez de la inferencia). Voto en discordia (2 jueces) propuso CONFIRMAR; se clasifica la ratio de la mayoría.</t>
        </is>
      </c>
    </row>
    <row r="16">
      <c r="A16" s="46" t="n">
        <v>157</v>
      </c>
      <c r="B16" s="46" t="inlineStr">
        <is>
          <t>05208-2014</t>
        </is>
      </c>
      <c r="C16" s="46" t="inlineStr">
        <is>
          <t>3SC</t>
        </is>
      </c>
      <c r="D16" s="46" t="inlineStr">
        <is>
          <t>2019</t>
        </is>
      </c>
      <c r="E16" s="46" t="inlineStr">
        <is>
          <t>NULA E INSUBSISTENTE</t>
        </is>
      </c>
      <c r="F16" s="46" t="inlineStr">
        <is>
          <t>D06, D14, D16</t>
        </is>
      </c>
      <c r="G16" s="46" t="inlineStr">
        <is>
          <t>a) Inexistente o aparente</t>
        </is>
      </c>
      <c r="H16" s="46" t="inlineStr">
        <is>
          <t>"no se han expresado las razones de hecho ni de derecho que sustentan la decisión... la sentencia contiene una motivación aparente, ya que el juez a quo sólo trató de dar cumplimiento formal al deber de motivación"</t>
        </is>
      </c>
      <c r="I16" s="46" t="inlineStr">
        <is>
          <t>—</t>
        </is>
      </c>
      <c r="J16" s="46" t="inlineStr">
        <is>
          <t>—</t>
        </is>
      </c>
      <c r="K16" s="46" t="inlineStr">
        <is>
          <t>La Sala usa expresamente el término "motivación aparente".</t>
        </is>
      </c>
    </row>
    <row r="17">
      <c r="A17" s="46" t="n">
        <v>160</v>
      </c>
      <c r="B17" s="46" t="inlineStr">
        <is>
          <t>07394-2000</t>
        </is>
      </c>
      <c r="C17" s="46" t="inlineStr">
        <is>
          <t>2SC</t>
        </is>
      </c>
      <c r="D17" s="46" t="inlineStr">
        <is>
          <t>2020</t>
        </is>
      </c>
      <c r="E17" s="46" t="inlineStr">
        <is>
          <t>NULA</t>
        </is>
      </c>
      <c r="F17" s="46" t="inlineStr">
        <is>
          <t>D12, D13</t>
        </is>
      </c>
      <c r="G17" s="46" t="inlineStr">
        <is>
          <t>c) Deficiencia de motivación externa</t>
        </is>
      </c>
      <c r="H17" s="46" t="inlineStr">
        <is>
          <t>"la sentencia adolece de una motivación defectuosa... no habría sido emitida de acuerdo a los antecedentes y las pruebas idóneas"</t>
        </is>
      </c>
      <c r="I17" s="46" t="inlineStr">
        <is>
          <t>d) Motivación insuficiente</t>
        </is>
      </c>
      <c r="J17" s="46" t="inlineStr">
        <is>
          <t>—</t>
        </is>
      </c>
      <c r="K17" s="46" t="inlineStr">
        <is>
          <t>La Sala remite además a una SV previa (N° 53-2015-2SC) no analizada por el A quo en su nuevo pronunciamiento.</t>
        </is>
      </c>
    </row>
    <row r="18">
      <c r="A18" s="42" t="n">
        <v>162</v>
      </c>
      <c r="B18" s="42" t="inlineStr">
        <is>
          <t>00925-2016</t>
        </is>
      </c>
      <c r="C18" s="42" t="inlineStr">
        <is>
          <t>2SC</t>
        </is>
      </c>
      <c r="D18" s="42" t="inlineStr">
        <is>
          <t>2020</t>
        </is>
      </c>
      <c r="E18" s="42" t="inlineStr">
        <is>
          <t>NULA</t>
        </is>
      </c>
      <c r="F18" s="42" t="inlineStr">
        <is>
          <t>D03</t>
        </is>
      </c>
      <c r="G18" s="42" t="inlineStr">
        <is>
          <t>No aplica</t>
        </is>
      </c>
      <c r="H18" s="42" t="inlineStr">
        <is>
          <t>—</t>
        </is>
      </c>
      <c r="I18" s="42" t="inlineStr">
        <is>
          <t>—</t>
        </is>
      </c>
      <c r="J18" s="42" t="inlineStr">
        <is>
          <t>—</t>
        </is>
      </c>
      <c r="K18" s="42" t="inlineStr">
        <is>
          <t>Nulidad por defecto en la integración de la relación procesal (litisconsorte necesario omitido), no por motivación.</t>
        </is>
      </c>
    </row>
    <row r="20">
      <c r="A20" s="47" t="inlineStr">
        <is>
          <t>RESUMEN</t>
        </is>
      </c>
    </row>
    <row r="21">
      <c r="A21" s="48" t="inlineStr">
        <is>
          <t>c) Deficiencia de motivación externa</t>
        </is>
      </c>
      <c r="B21" s="48" t="n">
        <v>5</v>
      </c>
    </row>
    <row r="22">
      <c r="A22" s="48" t="inlineStr">
        <is>
          <t>No aplica</t>
        </is>
      </c>
      <c r="B22" s="48" t="n">
        <v>4</v>
      </c>
    </row>
    <row r="23">
      <c r="A23" s="48" t="inlineStr">
        <is>
          <t>a) Inexistente o aparente</t>
        </is>
      </c>
      <c r="B23" s="48" t="n">
        <v>3</v>
      </c>
    </row>
    <row r="24">
      <c r="A24" s="48" t="inlineStr">
        <is>
          <t>e) Motivación sustancialmente incongruente</t>
        </is>
      </c>
      <c r="B24" s="48" t="n">
        <v>3</v>
      </c>
    </row>
    <row r="25">
      <c r="A25" s="48" t="inlineStr">
        <is>
          <t>d) Motivación insuficiente</t>
        </is>
      </c>
      <c r="B25" s="48" t="n">
        <v>1</v>
      </c>
    </row>
    <row r="26">
      <c r="A26" s="48" t="inlineStr">
        <is>
          <t>b) Falta de motivación interna</t>
        </is>
      </c>
      <c r="B26" s="48"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8" customWidth="1" min="3" max="3"/>
    <col width="6" customWidth="1" min="4" max="4"/>
    <col width="26" customWidth="1" min="5" max="5"/>
    <col width="8" customWidth="1" min="6" max="6"/>
    <col width="30" customWidth="1" min="7" max="7"/>
    <col width="28" customWidth="1" min="8" max="8"/>
    <col width="60" customWidth="1" min="9" max="9"/>
    <col width="48" customWidth="1" min="10" max="10"/>
  </cols>
  <sheetData>
    <row r="1" ht="51.75" customHeight="1">
      <c r="A1" s="49" t="inlineStr">
        <is>
          <t>expediente</t>
        </is>
      </c>
      <c r="B1" s="49" t="inlineStr">
        <is>
          <t>grupo</t>
        </is>
      </c>
      <c r="C1" s="49" t="inlineStr">
        <is>
          <t>anio_sv</t>
        </is>
      </c>
      <c r="D1" s="49" t="inlineStr">
        <is>
          <t>sala</t>
        </is>
      </c>
      <c r="E1" s="49" t="inlineStr">
        <is>
          <t>sentencia_de_vista</t>
        </is>
      </c>
      <c r="F1" s="49" t="inlineStr">
        <is>
          <t>cod_llamoja</t>
        </is>
      </c>
      <c r="G1" s="49" t="inlineStr">
        <is>
          <t>tipologia_principal</t>
        </is>
      </c>
      <c r="H1" s="49" t="inlineStr">
        <is>
          <t>tipologia_secundaria</t>
        </is>
      </c>
      <c r="I1" s="49" t="inlineStr">
        <is>
          <t>cita_textual</t>
        </is>
      </c>
      <c r="J1" s="49" t="inlineStr">
        <is>
          <t>observaciones</t>
        </is>
      </c>
    </row>
    <row r="2" ht="34.5" customHeight="1">
      <c r="A2" s="50" t="inlineStr">
        <is>
          <t>02635-2019</t>
        </is>
      </c>
      <c r="B2" s="50" t="inlineStr">
        <is>
          <t>Oralidad</t>
        </is>
      </c>
      <c r="C2" s="50" t="n">
        <v>2023</v>
      </c>
      <c r="D2" s="50" t="inlineStr">
        <is>
          <t>1SC</t>
        </is>
      </c>
      <c r="E2" s="50" t="inlineStr">
        <is>
          <t>SV 531-2023</t>
        </is>
      </c>
      <c r="F2" s="50" t="inlineStr">
        <is>
          <t>c</t>
        </is>
      </c>
      <c r="G2" s="50" t="inlineStr">
        <is>
          <t>c) Deficiencia en motivacion externa</t>
        </is>
      </c>
      <c r="H2" s="50" t="inlineStr">
        <is>
          <t>e) Sustancialmente incongruente</t>
        </is>
      </c>
      <c r="I2" s="50" t="inlineStr">
        <is>
          <t>“la sentencia N.° 21-2023 ... aún no tiene el carácter de firme; no obstante ello, el señor juez de origen ha sustentado la sentencia materia de grado, en la citada sentencia”</t>
        </is>
      </c>
      <c r="J2" s="50" t="inlineStr">
        <is>
          <t>Premisa tomada de otro proceso sin verificar firmeza. (e) fue alegada por el apelante.</t>
        </is>
      </c>
    </row>
    <row r="3" ht="23.25" customHeight="1">
      <c r="A3" s="50" t="inlineStr">
        <is>
          <t>01535-2022</t>
        </is>
      </c>
      <c r="B3" s="50" t="inlineStr">
        <is>
          <t>Oralidad</t>
        </is>
      </c>
      <c r="C3" s="50" t="n">
        <v>2024</v>
      </c>
      <c r="D3" s="50" t="inlineStr">
        <is>
          <t>2SC</t>
        </is>
      </c>
      <c r="E3" s="50" t="inlineStr">
        <is>
          <t>SV 572-2024-2SC</t>
        </is>
      </c>
      <c r="F3" s="50" t="inlineStr">
        <is>
          <t>a</t>
        </is>
      </c>
      <c r="G3" s="50" t="inlineStr">
        <is>
          <t>a) Inexistente o aparente</t>
        </is>
      </c>
      <c r="H3" s="50" t="n"/>
      <c r="I3" s="50" t="inlineStr">
        <is>
          <t>“no se ha dado una respuesta debidamente razonada al justiciable ... existiendo una motivación aparente”</t>
        </is>
      </c>
      <c r="J3" s="50" t="inlineStr">
        <is>
          <t>Cita recogida en la sentencia de reenvío (Res. 61).</t>
        </is>
      </c>
    </row>
    <row r="4" ht="23.25" customHeight="1">
      <c r="A4" s="50" t="inlineStr">
        <is>
          <t>04126-2021</t>
        </is>
      </c>
      <c r="B4" s="50" t="inlineStr">
        <is>
          <t>Oralidad</t>
        </is>
      </c>
      <c r="C4" s="50" t="n">
        <v>2024</v>
      </c>
      <c r="D4" s="50" t="inlineStr">
        <is>
          <t>1SC</t>
        </is>
      </c>
      <c r="E4" s="50" t="inlineStr">
        <is>
          <t>SV 32-2025</t>
        </is>
      </c>
      <c r="F4" s="50" t="inlineStr">
        <is>
          <t>e</t>
        </is>
      </c>
      <c r="G4" s="50" t="inlineStr">
        <is>
          <t>e) Sustancialmente incongruente</t>
        </is>
      </c>
      <c r="H4" s="50" t="inlineStr">
        <is>
          <t>d) Motivacion insuficiente</t>
        </is>
      </c>
      <c r="I4" s="50" t="inlineStr">
        <is>
          <t>“al no pronunciarse motivada y correctamente sobre la pretensión incoada”</t>
        </is>
      </c>
      <c r="J4" s="50" t="inlineStr">
        <is>
          <t>Colación: no absolvió representación sucesoria (arts. 683/684 CC); ordena refijar cuestión controvertida.</t>
        </is>
      </c>
    </row>
    <row r="5" ht="23.25" customHeight="1">
      <c r="A5" s="50" t="inlineStr">
        <is>
          <t>00320-2023</t>
        </is>
      </c>
      <c r="B5" s="50" t="inlineStr">
        <is>
          <t>Oralidad</t>
        </is>
      </c>
      <c r="C5" s="50" t="n">
        <v>2025</v>
      </c>
      <c r="D5" s="50" t="inlineStr">
        <is>
          <t>2SC</t>
        </is>
      </c>
      <c r="E5" s="50" t="inlineStr">
        <is>
          <t>SV 398-2025-2SC</t>
        </is>
      </c>
      <c r="F5" s="50" t="inlineStr">
        <is>
          <t>d</t>
        </is>
      </c>
      <c r="G5" s="50" t="inlineStr">
        <is>
          <t>d) Motivacion insuficiente</t>
        </is>
      </c>
      <c r="H5" s="50" t="inlineStr">
        <is>
          <t>e) Sustancialmente incongruente</t>
        </is>
      </c>
      <c r="I5" s="50" t="inlineStr">
        <is>
          <t>“la sentencia materia de alzada adolece de motivación insuficiente ... así como, motivación incongruente”</t>
        </is>
      </c>
      <c r="J5" s="50" t="inlineStr">
        <is>
          <t>No justificó por qué la responsabilidad era contractual y aplicó art. 1984 CC (extracontractual).</t>
        </is>
      </c>
    </row>
    <row r="6" ht="23.25" customHeight="1">
      <c r="A6" s="50" t="inlineStr">
        <is>
          <t>00598-2022</t>
        </is>
      </c>
      <c r="B6" s="50" t="inlineStr">
        <is>
          <t>Oralidad</t>
        </is>
      </c>
      <c r="C6" s="50" t="n">
        <v>2025</v>
      </c>
      <c r="D6" s="50" t="inlineStr">
        <is>
          <t>3SC</t>
        </is>
      </c>
      <c r="E6" s="50" t="inlineStr">
        <is>
          <t>SV 256-2025-3SC</t>
        </is>
      </c>
      <c r="F6" s="50" t="inlineStr">
        <is>
          <t>d</t>
        </is>
      </c>
      <c r="G6" s="50" t="inlineStr">
        <is>
          <t>d) Motivacion insuficiente</t>
        </is>
      </c>
      <c r="H6" s="50" t="n"/>
      <c r="I6" s="50" t="inlineStr">
        <is>
          <t>“el Juez de primera instancia no ha realizado un análisis suficiente de lo actuado en autos”</t>
        </is>
      </c>
      <c r="J6" s="50" t="inlineStr">
        <is>
          <t>Declaratoria de heredera: no valoró posesión de estado ni reconocimiento de la sucesora.</t>
        </is>
      </c>
    </row>
    <row r="7" ht="23.25" customHeight="1">
      <c r="A7" s="50" t="inlineStr">
        <is>
          <t>01101-2022</t>
        </is>
      </c>
      <c r="B7" s="50" t="inlineStr">
        <is>
          <t>Oralidad</t>
        </is>
      </c>
      <c r="C7" s="50" t="n">
        <v>2025</v>
      </c>
      <c r="D7" s="50" t="inlineStr">
        <is>
          <t>2SC</t>
        </is>
      </c>
      <c r="E7" s="50" t="inlineStr">
        <is>
          <t>SV 226-2025-2SC</t>
        </is>
      </c>
      <c r="F7" s="50" t="inlineStr">
        <is>
          <t>a</t>
        </is>
      </c>
      <c r="G7" s="50" t="inlineStr">
        <is>
          <t>a) Inexistente o aparente</t>
        </is>
      </c>
      <c r="H7" s="50" t="n"/>
      <c r="I7" s="50" t="inlineStr">
        <is>
          <t>“no se ha dado una respuesta debidamente razonada al justiciable, existiendo una motivación aparente”</t>
        </is>
      </c>
      <c r="J7" s="50" t="inlineStr">
        <is>
          <t>FENACREP: omitió analizar oficios con apercibimientos no ejecutados.</t>
        </is>
      </c>
    </row>
    <row r="8" ht="23.25" customHeight="1">
      <c r="A8" s="51" t="inlineStr">
        <is>
          <t>01286-2022</t>
        </is>
      </c>
      <c r="B8" s="51" t="inlineStr">
        <is>
          <t>Oralidad</t>
        </is>
      </c>
      <c r="C8" s="51" t="n">
        <v>2025</v>
      </c>
      <c r="D8" s="51" t="inlineStr">
        <is>
          <t>2SC</t>
        </is>
      </c>
      <c r="E8" s="51" t="inlineStr">
        <is>
          <t>SV 341-2025-2SC</t>
        </is>
      </c>
      <c r="F8" s="51" t="inlineStr">
        <is>
          <t>NA</t>
        </is>
      </c>
      <c r="G8" s="51" t="inlineStr">
        <is>
          <t>No aplica - vicio procesal</t>
        </is>
      </c>
      <c r="H8" s="51" t="n"/>
      <c r="I8" s="51" t="inlineStr">
        <is>
          <t>“no se notificó válidamente al recurrente en su domicilio real el auto admisorio de la demanda”</t>
        </is>
      </c>
      <c r="J8" s="51" t="inlineStr">
        <is>
          <t>Nulidad por notificación defectuosa (art. 155 CPC, art. 139.14 Const.). No es vicio de motivación.</t>
        </is>
      </c>
    </row>
    <row r="9" ht="23.25" customHeight="1">
      <c r="A9" s="50" t="inlineStr">
        <is>
          <t>01879-2022</t>
        </is>
      </c>
      <c r="B9" s="50" t="inlineStr">
        <is>
          <t>Oralidad</t>
        </is>
      </c>
      <c r="C9" s="50" t="n">
        <v>2025</v>
      </c>
      <c r="D9" s="50" t="inlineStr">
        <is>
          <t>2SC</t>
        </is>
      </c>
      <c r="E9" s="50" t="inlineStr">
        <is>
          <t>SV (2025) - Pulso vs Paredes Mujica</t>
        </is>
      </c>
      <c r="F9" s="50" t="inlineStr">
        <is>
          <t>b</t>
        </is>
      </c>
      <c r="G9" s="50" t="inlineStr">
        <is>
          <t>b) Falta de motivacion interna</t>
        </is>
      </c>
      <c r="H9" s="50" t="inlineStr">
        <is>
          <t>d) Motivacion insuficiente</t>
        </is>
      </c>
      <c r="I9" s="50" t="inlineStr">
        <is>
          <t>“se han configurado vicios en la motivación de la sentencia apelada que afectan su razonamiento interno”</t>
        </is>
      </c>
      <c r="J9" s="50" t="inlineStr">
        <is>
          <t>Improcedencia por tipo de responsabilidad sin aplicar iura novit curia.</t>
        </is>
      </c>
    </row>
    <row r="10" ht="23.25" customHeight="1">
      <c r="A10" s="50" t="inlineStr">
        <is>
          <t>03701-2023</t>
        </is>
      </c>
      <c r="B10" s="50" t="inlineStr">
        <is>
          <t>Oralidad</t>
        </is>
      </c>
      <c r="C10" s="50" t="n">
        <v>2025</v>
      </c>
      <c r="D10" s="50" t="inlineStr">
        <is>
          <t>3SC</t>
        </is>
      </c>
      <c r="E10" s="50" t="inlineStr">
        <is>
          <t>SV 301-2025-3SC</t>
        </is>
      </c>
      <c r="F10" s="50" t="inlineStr">
        <is>
          <t>a</t>
        </is>
      </c>
      <c r="G10" s="50" t="inlineStr">
        <is>
          <t>a) Inexistente o aparente</t>
        </is>
      </c>
      <c r="H10" s="50" t="n"/>
      <c r="I10" s="50" t="inlineStr">
        <is>
          <t>“concluir sin mayor sustento, que se trataría de compraventa simulada, revelándose así una motivación aparente”</t>
        </is>
      </c>
      <c r="J10" s="50" t="inlineStr">
        <is>
          <t>Simulación absoluta sin acreditar concierto simulatorio.</t>
        </is>
      </c>
    </row>
    <row r="11" ht="23.25" customHeight="1">
      <c r="A11" s="51" t="inlineStr">
        <is>
          <t>06374-2019</t>
        </is>
      </c>
      <c r="B11" s="51" t="inlineStr">
        <is>
          <t>Oralidad</t>
        </is>
      </c>
      <c r="C11" s="51" t="n">
        <v>2025</v>
      </c>
      <c r="D11" s="51" t="inlineStr">
        <is>
          <t>—</t>
        </is>
      </c>
      <c r="E11" s="51" t="inlineStr">
        <is>
          <t>SV 2025 (anula Sent. 141-2024-7JC)</t>
        </is>
      </c>
      <c r="F11" s="51" t="inlineStr">
        <is>
          <t>NA</t>
        </is>
      </c>
      <c r="G11" s="51" t="inlineStr">
        <is>
          <t>No aplica - vicio procesal</t>
        </is>
      </c>
      <c r="H11" s="51" t="n"/>
      <c r="I11" s="51" t="inlineStr">
        <is>
          <t>“no se ha notificado debidamente al codemandado ... lo cual constituye un vicio grave e insubsanable”</t>
        </is>
      </c>
      <c r="J11" s="51" t="inlineStr">
        <is>
          <t>Nulidad de actuados por notificación (derecho de defensa). No es vicio de motivación.</t>
        </is>
      </c>
    </row>
    <row r="12" ht="23.25" customHeight="1">
      <c r="A12" s="50" t="inlineStr">
        <is>
          <t>06402-2022</t>
        </is>
      </c>
      <c r="B12" s="50" t="inlineStr">
        <is>
          <t>Oralidad</t>
        </is>
      </c>
      <c r="C12" s="50" t="n">
        <v>2025</v>
      </c>
      <c r="D12" s="50" t="inlineStr">
        <is>
          <t>—</t>
        </is>
      </c>
      <c r="E12" s="50" t="inlineStr">
        <is>
          <t>SV 2025 (anula Sent. 149-2024)</t>
        </is>
      </c>
      <c r="F12" s="50" t="inlineStr">
        <is>
          <t>d</t>
        </is>
      </c>
      <c r="G12" s="50" t="inlineStr">
        <is>
          <t>d) Motivacion insuficiente</t>
        </is>
      </c>
      <c r="H12" s="50" t="inlineStr">
        <is>
          <t>a) Inexistente o aparente</t>
        </is>
      </c>
      <c r="I12" s="50" t="inlineStr">
        <is>
          <t>“la jueza de origen no ha emitido pronunciamiento sobre la constatación judicial de fecha dos de setiembre del dos mil diez”</t>
        </is>
      </c>
      <c r="J12" s="50" t="inlineStr">
        <is>
          <t>Omisión de valorar prueba admitida (derecho a probar).</t>
        </is>
      </c>
    </row>
    <row r="13" ht="23.25" customHeight="1">
      <c r="A13" s="50" t="inlineStr">
        <is>
          <t>06607-2021</t>
        </is>
      </c>
      <c r="B13" s="50" t="inlineStr">
        <is>
          <t>Oralidad</t>
        </is>
      </c>
      <c r="C13" s="50" t="n">
        <v>2025</v>
      </c>
      <c r="D13" s="50" t="inlineStr">
        <is>
          <t>2SC</t>
        </is>
      </c>
      <c r="E13" s="50" t="inlineStr">
        <is>
          <t>SV 2025 (anula Sent. 8-2024-6JEC)</t>
        </is>
      </c>
      <c r="F13" s="50" t="inlineStr">
        <is>
          <t>a</t>
        </is>
      </c>
      <c r="G13" s="50" t="inlineStr">
        <is>
          <t>a) Inexistente o aparente</t>
        </is>
      </c>
      <c r="H13" s="50" t="inlineStr">
        <is>
          <t>d) Motivacion insuficiente</t>
        </is>
      </c>
      <c r="I13" s="50" t="inlineStr">
        <is>
          <t>“Correspondía entonces dar respuesta a este argumento”</t>
        </is>
      </c>
      <c r="J13" s="50" t="inlineStr">
        <is>
          <t>Omitió el argumento de venta de bien ajeno (art. 923 CC); ordena contradictorio sobre art. 219.3.</t>
        </is>
      </c>
    </row>
    <row r="14" ht="23.25" customHeight="1">
      <c r="A14" s="50" t="inlineStr">
        <is>
          <t>01647-2019</t>
        </is>
      </c>
      <c r="B14" s="50" t="inlineStr">
        <is>
          <t>Oralidad</t>
        </is>
      </c>
      <c r="C14" s="50" t="n">
        <v>2026</v>
      </c>
      <c r="D14" s="50" t="inlineStr">
        <is>
          <t>2SC</t>
        </is>
      </c>
      <c r="E14" s="50" t="inlineStr">
        <is>
          <t>SV 082-2026-2SC</t>
        </is>
      </c>
      <c r="F14" s="50" t="inlineStr">
        <is>
          <t>a</t>
        </is>
      </c>
      <c r="G14" s="50" t="inlineStr">
        <is>
          <t>a) Inexistente o aparente</t>
        </is>
      </c>
      <c r="H14" s="50" t="inlineStr">
        <is>
          <t>d) Motivacion insuficiente</t>
        </is>
      </c>
      <c r="I14" s="50" t="inlineStr">
        <is>
          <t>“se ha omitido examinar dicho medio probatorio ... pues nos encontramos ante una motivación aparente”</t>
        </is>
      </c>
      <c r="J14" s="50" t="inlineStr">
        <is>
          <t>No valoró el dictamen pericial admitido y actuado (art. 197 CPC).</t>
        </is>
      </c>
    </row>
    <row r="15" ht="23.25" customHeight="1">
      <c r="A15" s="50" t="inlineStr">
        <is>
          <t>00340-2002</t>
        </is>
      </c>
      <c r="B15" s="50" t="inlineStr">
        <is>
          <t>Tradicional</t>
        </is>
      </c>
      <c r="C15" s="50" t="n">
        <v>2018</v>
      </c>
      <c r="D15" s="50" t="inlineStr">
        <is>
          <t>2SC</t>
        </is>
      </c>
      <c r="E15" s="50" t="inlineStr">
        <is>
          <t>SV 2018 (anula Sent. 027-2017-2JECI)</t>
        </is>
      </c>
      <c r="F15" s="50" t="inlineStr">
        <is>
          <t>e</t>
        </is>
      </c>
      <c r="G15" s="50" t="inlineStr">
        <is>
          <t>e) Sustancialmente incongruente</t>
        </is>
      </c>
      <c r="H15" s="50" t="n"/>
      <c r="I15" s="50" t="inlineStr">
        <is>
          <t>“al haberse vulnerado el principio de congruencia procesal previsto en el artículo VII del Título Preliminar”</t>
        </is>
      </c>
      <c r="J15" s="50" t="inlineStr">
        <is>
          <t>Cambio de calificación jurídica (iura novit curia) sin contradictorio.</t>
        </is>
      </c>
    </row>
    <row r="16" ht="23.25" customHeight="1">
      <c r="A16" s="50" t="inlineStr">
        <is>
          <t>00748-2013</t>
        </is>
      </c>
      <c r="B16" s="50" t="inlineStr">
        <is>
          <t>Tradicional</t>
        </is>
      </c>
      <c r="C16" s="50" t="n">
        <v>2018</v>
      </c>
      <c r="D16" s="50" t="inlineStr">
        <is>
          <t>2SC</t>
        </is>
      </c>
      <c r="E16" s="50" t="inlineStr">
        <is>
          <t>SV 2018 (anula Sent. 12-2018-2JECI)</t>
        </is>
      </c>
      <c r="F16" s="50" t="inlineStr">
        <is>
          <t>b</t>
        </is>
      </c>
      <c r="G16" s="50" t="inlineStr">
        <is>
          <t>b) Falta de motivacion interna</t>
        </is>
      </c>
      <c r="H16" s="50" t="n"/>
      <c r="I16" s="50" t="inlineStr">
        <is>
          <t>“se ha configurado una motivación interna defectuosa o una falta de motivación interna del razonamiento”</t>
        </is>
      </c>
      <c r="J16" s="50" t="inlineStr">
        <is>
          <t>Invalidez de la inferencia sobre causales 219 incs. 4 y 8 CC.</t>
        </is>
      </c>
    </row>
    <row r="17" ht="34.5" customHeight="1">
      <c r="A17" s="50" t="inlineStr">
        <is>
          <t>02641-2010</t>
        </is>
      </c>
      <c r="B17" s="50" t="inlineStr">
        <is>
          <t>Tradicional</t>
        </is>
      </c>
      <c r="C17" s="50" t="n">
        <v>2018</v>
      </c>
      <c r="D17" s="50" t="inlineStr">
        <is>
          <t>1SC</t>
        </is>
      </c>
      <c r="E17" s="50" t="inlineStr">
        <is>
          <t>SV 2018 (anula Sent. 30-2018)</t>
        </is>
      </c>
      <c r="F17" s="50" t="inlineStr">
        <is>
          <t>e</t>
        </is>
      </c>
      <c r="G17" s="50" t="inlineStr">
        <is>
          <t>e) Sustancialmente incongruente</t>
        </is>
      </c>
      <c r="H17" s="50" t="inlineStr">
        <is>
          <t>d) Motivacion insuficiente</t>
        </is>
      </c>
      <c r="I17" s="50" t="inlineStr">
        <is>
          <t>“proceda en aplicación del Principio iura novit curia ... a emitir pronunciamiento respecto de la causal prevista en el artículo 221 inciso 2)”</t>
        </is>
      </c>
      <c r="J17" s="50" t="inlineStr">
        <is>
          <t>Además, prueba admitida (audio/CD) no actuada. Encaje parcial en Llamoja.</t>
        </is>
      </c>
    </row>
    <row r="18" ht="23.25" customHeight="1">
      <c r="A18" s="50" t="inlineStr">
        <is>
          <t>02943-2016</t>
        </is>
      </c>
      <c r="B18" s="50" t="inlineStr">
        <is>
          <t>Tradicional</t>
        </is>
      </c>
      <c r="C18" s="50" t="n">
        <v>2018</v>
      </c>
      <c r="D18" s="50" t="inlineStr">
        <is>
          <t>2SC</t>
        </is>
      </c>
      <c r="E18" s="50" t="inlineStr">
        <is>
          <t>SV 2018 (anula Sent. 042-2018-6JEC)</t>
        </is>
      </c>
      <c r="F18" s="50" t="inlineStr">
        <is>
          <t>d</t>
        </is>
      </c>
      <c r="G18" s="50" t="inlineStr">
        <is>
          <t>d) Motivacion insuficiente</t>
        </is>
      </c>
      <c r="H18" s="50" t="inlineStr">
        <is>
          <t>e) Sustancialmente incongruente</t>
        </is>
      </c>
      <c r="I18" s="50" t="inlineStr">
        <is>
          <t>“tal conclusión no se encuentra debidamente sustentada ... el A quo no se ha pronunciado sobre ningún punto controvertido”</t>
        </is>
      </c>
      <c r="J18" s="50" t="inlineStr">
        <is>
          <t>La Sala la llama motivación defectuosa.</t>
        </is>
      </c>
    </row>
    <row r="19" ht="23.25" customHeight="1">
      <c r="A19" s="50" t="inlineStr">
        <is>
          <t>03228-2013</t>
        </is>
      </c>
      <c r="B19" s="50" t="inlineStr">
        <is>
          <t>Tradicional</t>
        </is>
      </c>
      <c r="C19" s="50" t="n">
        <v>2018</v>
      </c>
      <c r="D19" s="50" t="inlineStr">
        <is>
          <t>2SC</t>
        </is>
      </c>
      <c r="E19" s="50" t="inlineStr">
        <is>
          <t>SV 2018 (anula Sent. 42-2018)</t>
        </is>
      </c>
      <c r="F19" s="50" t="inlineStr">
        <is>
          <t>a</t>
        </is>
      </c>
      <c r="G19" s="50" t="inlineStr">
        <is>
          <t>a) Inexistente o aparente</t>
        </is>
      </c>
      <c r="H19" s="50" t="inlineStr">
        <is>
          <t>d) Motivacion insuficiente</t>
        </is>
      </c>
      <c r="I19" s="50" t="inlineStr">
        <is>
          <t>“la impugnada incurre en vicio de motivación aparente al no haber dado respuesta a las alegaciones de las partes ni valorado pruebas admitidas”</t>
        </is>
      </c>
      <c r="J19" s="50" t="n"/>
    </row>
    <row r="20" ht="23.25" customHeight="1">
      <c r="A20" s="50" t="inlineStr">
        <is>
          <t>03566-2011</t>
        </is>
      </c>
      <c r="B20" s="50" t="inlineStr">
        <is>
          <t>Tradicional</t>
        </is>
      </c>
      <c r="C20" s="50" t="n">
        <v>2018</v>
      </c>
      <c r="D20" s="50" t="inlineStr">
        <is>
          <t>3SC</t>
        </is>
      </c>
      <c r="E20" s="50" t="inlineStr">
        <is>
          <t>SV 2017 (anula Sent. 032-2017)</t>
        </is>
      </c>
      <c r="F20" s="50" t="inlineStr">
        <is>
          <t>d</t>
        </is>
      </c>
      <c r="G20" s="50" t="inlineStr">
        <is>
          <t>d) Motivacion insuficiente</t>
        </is>
      </c>
      <c r="H20" s="50" t="n"/>
      <c r="I20" s="50" t="inlineStr">
        <is>
          <t>“Lo señalado en los fundamentos anteriores, no han sido debidamente apreciados por el juez de primera instancia”</t>
        </is>
      </c>
      <c r="J20" s="50" t="inlineStr">
        <is>
          <t>OJO: la SV 2018 de este expediente REVOCA; la única nulidad es la SV del 11/10/2017. Verificar año en tu tabla.</t>
        </is>
      </c>
    </row>
    <row r="21" ht="23.25" customHeight="1">
      <c r="A21" s="50" t="inlineStr">
        <is>
          <t>04420-2015</t>
        </is>
      </c>
      <c r="B21" s="50" t="inlineStr">
        <is>
          <t>Tradicional</t>
        </is>
      </c>
      <c r="C21" s="50" t="n">
        <v>2018</v>
      </c>
      <c r="D21" s="50" t="inlineStr">
        <is>
          <t>2SC</t>
        </is>
      </c>
      <c r="E21" s="50" t="inlineStr">
        <is>
          <t>SV 2018 (anula Sent. 15-2018)</t>
        </is>
      </c>
      <c r="F21" s="50" t="inlineStr">
        <is>
          <t>e</t>
        </is>
      </c>
      <c r="G21" s="50" t="inlineStr">
        <is>
          <t>e) Sustancialmente incongruente</t>
        </is>
      </c>
      <c r="H21" s="50" t="n"/>
      <c r="I21" s="50" t="inlineStr">
        <is>
          <t>“al haberse emitido pronunciamiento incongruente con el petitorio de la demanda”</t>
        </is>
      </c>
      <c r="J21" s="50" t="inlineStr">
        <is>
          <t>Extra petita: resolvió nulidad de acto jurídico cuando se pidió nulidad de título valor.</t>
        </is>
      </c>
    </row>
    <row r="22" ht="23.25" customHeight="1">
      <c r="A22" s="50" t="inlineStr">
        <is>
          <t>04711-2010</t>
        </is>
      </c>
      <c r="B22" s="50" t="inlineStr">
        <is>
          <t>Tradicional</t>
        </is>
      </c>
      <c r="C22" s="50" t="n">
        <v>2018</v>
      </c>
      <c r="D22" s="50" t="inlineStr">
        <is>
          <t>2SC</t>
        </is>
      </c>
      <c r="E22" s="50" t="inlineStr">
        <is>
          <t>SV 2018 (anula Sent. 16-2018)</t>
        </is>
      </c>
      <c r="F22" s="50" t="inlineStr">
        <is>
          <t>e</t>
        </is>
      </c>
      <c r="G22" s="50" t="inlineStr">
        <is>
          <t>e) Sustancialmente incongruente</t>
        </is>
      </c>
      <c r="H22" s="50" t="n"/>
      <c r="I22" s="50" t="inlineStr">
        <is>
          <t>“la motivación de la recurrida es incoherente con la pretensión materia de autos”</t>
        </is>
      </c>
      <c r="J22" s="50" t="inlineStr">
        <is>
          <t>Valoró hechos propios de impugnación administrativa; tampoco congruente con la acumulación.</t>
        </is>
      </c>
    </row>
    <row r="23" ht="23.25" customHeight="1">
      <c r="A23" s="50" t="inlineStr">
        <is>
          <t>05487-2013</t>
        </is>
      </c>
      <c r="B23" s="50" t="inlineStr">
        <is>
          <t>Tradicional</t>
        </is>
      </c>
      <c r="C23" s="50" t="n">
        <v>2018</v>
      </c>
      <c r="D23" s="50" t="inlineStr">
        <is>
          <t>2SC</t>
        </is>
      </c>
      <c r="E23" s="50" t="inlineStr">
        <is>
          <t>SV 2018 (anula Sent. 22-2018)</t>
        </is>
      </c>
      <c r="F23" s="50" t="inlineStr">
        <is>
          <t>d</t>
        </is>
      </c>
      <c r="G23" s="50" t="inlineStr">
        <is>
          <t>d) Motivacion insuficiente</t>
        </is>
      </c>
      <c r="H23" s="50" t="n"/>
      <c r="I23" s="50" t="inlineStr">
        <is>
          <t>“ha incurrido en una motivación deficiente, pues, los fundamentos expuestos en la misma no son suficientes”</t>
        </is>
      </c>
      <c r="J23" s="50" t="inlineStr">
        <is>
          <t>No analizó cancelación/novación de la deuda.</t>
        </is>
      </c>
    </row>
    <row r="24" ht="23.25" customHeight="1">
      <c r="A24" s="51" t="inlineStr">
        <is>
          <t>07480-2014</t>
        </is>
      </c>
      <c r="B24" s="51" t="inlineStr">
        <is>
          <t>Tradicional</t>
        </is>
      </c>
      <c r="C24" s="51" t="n">
        <v>2018</v>
      </c>
      <c r="D24" s="51" t="inlineStr">
        <is>
          <t>2SC</t>
        </is>
      </c>
      <c r="E24" s="51" t="inlineStr">
        <is>
          <t>SV 2018 (anula Sent. 023-2018)</t>
        </is>
      </c>
      <c r="F24" s="51" t="inlineStr">
        <is>
          <t>NA</t>
        </is>
      </c>
      <c r="G24" s="51" t="inlineStr">
        <is>
          <t>No aplica - vicio procesal</t>
        </is>
      </c>
      <c r="H24" s="51" t="n"/>
      <c r="I24" s="51" t="inlineStr">
        <is>
          <t>“al haberse emitido Sentencia, estando pendiente de calificar el ofrecimiento de medios probatorios extemporáneos”</t>
        </is>
      </c>
      <c r="J24" s="51" t="inlineStr">
        <is>
          <t>Vicio procedimental (defensa). No es vicio de motivación.</t>
        </is>
      </c>
    </row>
    <row r="25" ht="23.25" customHeight="1">
      <c r="A25" s="50" t="inlineStr">
        <is>
          <t>00856-2017</t>
        </is>
      </c>
      <c r="B25" s="50" t="inlineStr">
        <is>
          <t>Tradicional</t>
        </is>
      </c>
      <c r="C25" s="50" t="n">
        <v>2019</v>
      </c>
      <c r="D25" s="50" t="inlineStr">
        <is>
          <t>1SC</t>
        </is>
      </c>
      <c r="E25" s="50" t="inlineStr">
        <is>
          <t>SV 2019 (anula Sent. 104-2018)</t>
        </is>
      </c>
      <c r="F25" s="50" t="inlineStr">
        <is>
          <t>e</t>
        </is>
      </c>
      <c r="G25" s="50" t="inlineStr">
        <is>
          <t>e) Sustancialmente incongruente</t>
        </is>
      </c>
      <c r="H25" s="50" t="inlineStr">
        <is>
          <t>a) Inexistente o aparente</t>
        </is>
      </c>
      <c r="I25" s="50" t="inlineStr">
        <is>
          <t>“este Colegiado advierte una ausencia de motivación sobre dicha pretensión accesoria”</t>
        </is>
      </c>
      <c r="J25" s="50" t="inlineStr">
        <is>
          <t>Dejó sin respuesta pretensión accesoria (edificaciones, IV Pleno).</t>
        </is>
      </c>
    </row>
    <row r="26" ht="23.25" customHeight="1">
      <c r="A26" s="50" t="inlineStr">
        <is>
          <t>00965-2015</t>
        </is>
      </c>
      <c r="B26" s="50" t="inlineStr">
        <is>
          <t>Tradicional</t>
        </is>
      </c>
      <c r="C26" s="50" t="n">
        <v>2019</v>
      </c>
      <c r="D26" s="50" t="inlineStr">
        <is>
          <t>3SC</t>
        </is>
      </c>
      <c r="E26" s="50" t="inlineStr">
        <is>
          <t>SV 2019 (anula Sent. 91-2018)</t>
        </is>
      </c>
      <c r="F26" s="50" t="inlineStr">
        <is>
          <t>e</t>
        </is>
      </c>
      <c r="G26" s="50" t="inlineStr">
        <is>
          <t>e) Sustancialmente incongruente</t>
        </is>
      </c>
      <c r="H26" s="50" t="inlineStr">
        <is>
          <t>d) Motivacion insuficiente</t>
        </is>
      </c>
      <c r="I26" s="50" t="inlineStr">
        <is>
          <t>“sin tener en cuenta la pretensión del demandante, respecto de la identificación del inmueble”</t>
        </is>
      </c>
      <c r="J26" s="50" t="inlineStr">
        <is>
          <t>Repone al estado de fijar puntos controvertidos.</t>
        </is>
      </c>
    </row>
    <row r="27" ht="23.25" customHeight="1">
      <c r="A27" s="50" t="inlineStr">
        <is>
          <t>01734-2017</t>
        </is>
      </c>
      <c r="B27" s="50" t="inlineStr">
        <is>
          <t>Tradicional</t>
        </is>
      </c>
      <c r="C27" s="50" t="n">
        <v>2019</v>
      </c>
      <c r="D27" s="50" t="inlineStr">
        <is>
          <t>2SC</t>
        </is>
      </c>
      <c r="E27" s="50" t="inlineStr">
        <is>
          <t>SV 2019 (anula Sent. 34-2018-1°JC)</t>
        </is>
      </c>
      <c r="F27" s="50" t="inlineStr">
        <is>
          <t>b</t>
        </is>
      </c>
      <c r="G27" s="50" t="inlineStr">
        <is>
          <t>b) Falta de motivacion interna</t>
        </is>
      </c>
      <c r="H27" s="50" t="n"/>
      <c r="I27" s="50" t="inlineStr">
        <is>
          <t>“ha incurrido en una motivación interna defectuosa una falta de motivación interna del razonamiento”</t>
        </is>
      </c>
      <c r="J27" s="50" t="inlineStr">
        <is>
          <t>Improcedencia sobre premisa equivocada (título de propiedad).</t>
        </is>
      </c>
    </row>
    <row r="28" ht="23.25" customHeight="1">
      <c r="A28" s="51" t="inlineStr">
        <is>
          <t>02505-2009</t>
        </is>
      </c>
      <c r="B28" s="51" t="inlineStr">
        <is>
          <t>Tradicional</t>
        </is>
      </c>
      <c r="C28" s="51" t="n">
        <v>2019</v>
      </c>
      <c r="D28" s="51" t="inlineStr">
        <is>
          <t>3SC</t>
        </is>
      </c>
      <c r="E28" s="51" t="inlineStr">
        <is>
          <t>SV 2019 (anula Sent. 5-2018)</t>
        </is>
      </c>
      <c r="F28" s="51" t="inlineStr">
        <is>
          <t>NA</t>
        </is>
      </c>
      <c r="G28" s="51" t="inlineStr">
        <is>
          <t>No aplica - vicio procesal</t>
        </is>
      </c>
      <c r="H28" s="51" t="inlineStr">
        <is>
          <t>e) Sustancialmente incongruente</t>
        </is>
      </c>
      <c r="I28" s="51" t="inlineStr">
        <is>
          <t>“en forma previa debe promoverse el contradictorio entre las partes”</t>
        </is>
      </c>
      <c r="J28" s="51" t="inlineStr">
        <is>
          <t>Falta de contradictorio sobre causal incorporada (IX Pleno). Encaje débil en (e).</t>
        </is>
      </c>
    </row>
    <row r="29" ht="23.25" customHeight="1">
      <c r="A29" s="51" t="inlineStr">
        <is>
          <t>02706-2015</t>
        </is>
      </c>
      <c r="B29" s="51" t="inlineStr">
        <is>
          <t>Tradicional</t>
        </is>
      </c>
      <c r="C29" s="51" t="n">
        <v>2019</v>
      </c>
      <c r="D29" s="51" t="inlineStr">
        <is>
          <t>2SC</t>
        </is>
      </c>
      <c r="E29" s="51" t="inlineStr">
        <is>
          <t>SV 2019 (anula Sent. 054-2018)</t>
        </is>
      </c>
      <c r="F29" s="51" t="inlineStr">
        <is>
          <t>NA</t>
        </is>
      </c>
      <c r="G29" s="51" t="inlineStr">
        <is>
          <t>No aplica - vicio procesal</t>
        </is>
      </c>
      <c r="H29" s="51" t="n"/>
      <c r="I29" s="51" t="inlineStr">
        <is>
          <t>“el Notario debió ser integrado al proceso como parte demandada”</t>
        </is>
      </c>
      <c r="J29" s="51" t="inlineStr">
        <is>
          <t>Litisconsorcio necesario no integrado. No es vicio de motivación.</t>
        </is>
      </c>
    </row>
    <row r="30" ht="23.25" customHeight="1">
      <c r="A30" s="50" t="inlineStr">
        <is>
          <t>02814-2015</t>
        </is>
      </c>
      <c r="B30" s="50" t="inlineStr">
        <is>
          <t>Tradicional</t>
        </is>
      </c>
      <c r="C30" s="50" t="n">
        <v>2019</v>
      </c>
      <c r="D30" s="50" t="inlineStr">
        <is>
          <t>3SC</t>
        </is>
      </c>
      <c r="E30" s="50" t="inlineStr">
        <is>
          <t>SV 2019 (anula Sent. 114-2018)</t>
        </is>
      </c>
      <c r="F30" s="50" t="inlineStr">
        <is>
          <t>a</t>
        </is>
      </c>
      <c r="G30" s="50" t="inlineStr">
        <is>
          <t>a) Inexistente o aparente</t>
        </is>
      </c>
      <c r="H30" s="50" t="n"/>
      <c r="I30" s="50" t="inlineStr">
        <is>
          <t>“no resultan idóneos para adoptar la decisión por la causal de fin ilícito; es decir, hay motivación aparente”</t>
        </is>
      </c>
      <c r="J30" s="50" t="inlineStr">
        <is>
          <t>La Sala cita expresamente el caso Llamoja.</t>
        </is>
      </c>
    </row>
    <row r="31" ht="23.25" customHeight="1">
      <c r="A31" s="51" t="inlineStr">
        <is>
          <t>03393-2017</t>
        </is>
      </c>
      <c r="B31" s="51" t="inlineStr">
        <is>
          <t>Tradicional</t>
        </is>
      </c>
      <c r="C31" s="51" t="n">
        <v>2019</v>
      </c>
      <c r="D31" s="51" t="inlineStr">
        <is>
          <t>2SC</t>
        </is>
      </c>
      <c r="E31" s="51" t="inlineStr">
        <is>
          <t>SV 2019 (anula Sent. 067-2018)</t>
        </is>
      </c>
      <c r="F31" s="51" t="inlineStr">
        <is>
          <t>NA</t>
        </is>
      </c>
      <c r="G31" s="51" t="inlineStr">
        <is>
          <t>No aplica - vicio procesal</t>
        </is>
      </c>
      <c r="H31" s="51" t="n"/>
      <c r="I31" s="51" t="inlineStr">
        <is>
          <t>“se ha vulnerado el derecho al debido proceso ... por impedírseles haber ejercido su derecho de defensa”</t>
        </is>
      </c>
      <c r="J31" s="51" t="inlineStr">
        <is>
          <t>Emplazamiento defectuoso (SERPAR / Procurador MPA).</t>
        </is>
      </c>
    </row>
    <row r="32" ht="23.25" customHeight="1">
      <c r="A32" s="50" t="inlineStr">
        <is>
          <t>03672-2013</t>
        </is>
      </c>
      <c r="B32" s="50" t="inlineStr">
        <is>
          <t>Tradicional</t>
        </is>
      </c>
      <c r="C32" s="50" t="n">
        <v>2019</v>
      </c>
      <c r="D32" s="50" t="inlineStr">
        <is>
          <t>2SC</t>
        </is>
      </c>
      <c r="E32" s="50" t="inlineStr">
        <is>
          <t>SV 2019 (anula Sent. 031-2018)</t>
        </is>
      </c>
      <c r="F32" s="50" t="inlineStr">
        <is>
          <t>d</t>
        </is>
      </c>
      <c r="G32" s="50" t="inlineStr">
        <is>
          <t>d) Motivacion insuficiente</t>
        </is>
      </c>
      <c r="H32" s="50" t="n"/>
      <c r="I32" s="50" t="inlineStr">
        <is>
          <t>“sin la debida valoración de los medios probatorios en conjunto que permitan una adecuada fundamentación”</t>
        </is>
      </c>
      <c r="J32" s="50" t="inlineStr">
        <is>
          <t>Faltaban piezas de carpeta fiscal.</t>
        </is>
      </c>
    </row>
    <row r="33" ht="23.25" customHeight="1">
      <c r="A33" s="51" t="inlineStr">
        <is>
          <t>04008-2010</t>
        </is>
      </c>
      <c r="B33" s="51" t="inlineStr">
        <is>
          <t>Tradicional</t>
        </is>
      </c>
      <c r="C33" s="51" t="n">
        <v>2019</v>
      </c>
      <c r="D33" s="51" t="inlineStr">
        <is>
          <t>2SC</t>
        </is>
      </c>
      <c r="E33" s="51" t="inlineStr">
        <is>
          <t>SV 2019 (anula Sent. 38-2018)</t>
        </is>
      </c>
      <c r="F33" s="51" t="inlineStr">
        <is>
          <t>NA</t>
        </is>
      </c>
      <c r="G33" s="51" t="inlineStr">
        <is>
          <t>No aplica - vicio procesal</t>
        </is>
      </c>
      <c r="H33" s="51" t="n"/>
      <c r="I33" s="51" t="inlineStr">
        <is>
          <t>“ORDENARON que el juzgador ponga en conocimiento de las partes, el contenido del auto 18”</t>
        </is>
      </c>
      <c r="J33" s="51" t="inlineStr">
        <is>
          <t>Prueba de oficio no puesta en conocimiento; posible nulidad manifiesta. Vicio procedimental.</t>
        </is>
      </c>
    </row>
    <row r="34" ht="23.25" customHeight="1">
      <c r="A34" s="50" t="inlineStr">
        <is>
          <t>04040-2015</t>
        </is>
      </c>
      <c r="B34" s="50" t="inlineStr">
        <is>
          <t>Tradicional</t>
        </is>
      </c>
      <c r="C34" s="50" t="n">
        <v>2019</v>
      </c>
      <c r="D34" s="50" t="inlineStr">
        <is>
          <t>2SC</t>
        </is>
      </c>
      <c r="E34" s="50" t="inlineStr">
        <is>
          <t>SV 2019 (anula Sent. 92-2018)</t>
        </is>
      </c>
      <c r="F34" s="50" t="inlineStr">
        <is>
          <t>d</t>
        </is>
      </c>
      <c r="G34" s="50" t="inlineStr">
        <is>
          <t>d) Motivacion insuficiente</t>
        </is>
      </c>
      <c r="H34" s="50" t="n"/>
      <c r="I34" s="50" t="inlineStr">
        <is>
          <t>“tiene el deber de alcanzar convicción en su decisión, la que podría alcanzarse con la prueba pericial”</t>
        </is>
      </c>
      <c r="J34" s="50" t="inlineStr">
        <is>
          <t>Vicio probatorio (identificación del predio). Encaje débil.</t>
        </is>
      </c>
    </row>
    <row r="35" ht="23.25" customHeight="1">
      <c r="A35" s="50" t="inlineStr">
        <is>
          <t>04275-2015</t>
        </is>
      </c>
      <c r="B35" s="50" t="inlineStr">
        <is>
          <t>Tradicional</t>
        </is>
      </c>
      <c r="C35" s="50" t="n">
        <v>2019</v>
      </c>
      <c r="D35" s="50" t="inlineStr">
        <is>
          <t>2SC</t>
        </is>
      </c>
      <c r="E35" s="50" t="inlineStr">
        <is>
          <t>SV 2019 (anula Sent. 65-2018)</t>
        </is>
      </c>
      <c r="F35" s="50" t="inlineStr">
        <is>
          <t>c</t>
        </is>
      </c>
      <c r="G35" s="50" t="inlineStr">
        <is>
          <t>c) Deficiencia en motivacion externa</t>
        </is>
      </c>
      <c r="H35" s="50" t="inlineStr">
        <is>
          <t>d) Motivacion insuficiente</t>
        </is>
      </c>
      <c r="I35" s="50" t="inlineStr">
        <is>
          <t>“por haberse resuelto en base a premisas equivocadas y sin una debida valoración de los medios probatorios”</t>
        </is>
      </c>
      <c r="J35" s="50" t="n"/>
    </row>
    <row r="36" ht="23.25" customHeight="1">
      <c r="A36" s="50" t="inlineStr">
        <is>
          <t>05381-2009</t>
        </is>
      </c>
      <c r="B36" s="50" t="inlineStr">
        <is>
          <t>Tradicional</t>
        </is>
      </c>
      <c r="C36" s="50" t="n">
        <v>2019</v>
      </c>
      <c r="D36" s="50" t="inlineStr">
        <is>
          <t>2SC</t>
        </is>
      </c>
      <c r="E36" s="50" t="inlineStr">
        <is>
          <t>SV 2019 (anula Sent. 82-2018)</t>
        </is>
      </c>
      <c r="F36" s="50" t="inlineStr">
        <is>
          <t>d</t>
        </is>
      </c>
      <c r="G36" s="50" t="inlineStr">
        <is>
          <t>d) Motivacion insuficiente</t>
        </is>
      </c>
      <c r="H36" s="50" t="inlineStr">
        <is>
          <t>a) Inexistente o aparente</t>
        </is>
      </c>
      <c r="I36" s="50" t="inlineStr">
        <is>
          <t>“incurre en nulidad, debido a que contiene una motivación insuficiente y aparente”</t>
        </is>
      </c>
      <c r="J36" s="50" t="inlineStr">
        <is>
          <t>La Sala nombra ambos supuestos.</t>
        </is>
      </c>
    </row>
    <row r="37" ht="23.25" customHeight="1">
      <c r="A37" s="50" t="inlineStr">
        <is>
          <t>06071-2006</t>
        </is>
      </c>
      <c r="B37" s="50" t="inlineStr">
        <is>
          <t>Tradicional</t>
        </is>
      </c>
      <c r="C37" s="50" t="n">
        <v>2019</v>
      </c>
      <c r="D37" s="50" t="inlineStr">
        <is>
          <t>2SC</t>
        </is>
      </c>
      <c r="E37" s="50" t="inlineStr">
        <is>
          <t>SV 2019 (anula Sent. 41-2018)</t>
        </is>
      </c>
      <c r="F37" s="50" t="inlineStr">
        <is>
          <t>c</t>
        </is>
      </c>
      <c r="G37" s="50" t="inlineStr">
        <is>
          <t>c) Deficiencia en motivacion externa</t>
        </is>
      </c>
      <c r="H37" s="50" t="n"/>
      <c r="I37" s="50" t="inlineStr">
        <is>
          <t>“debe ser analizada a la luz de lo establecido en el Código Civil de mil novecientos treinta y seis”</t>
        </is>
      </c>
      <c r="J37" s="50" t="inlineStr">
        <is>
          <t>Premisa normativa errónea (aplicó CC 1984 a acto de 1970).</t>
        </is>
      </c>
    </row>
    <row r="38" ht="23.25" customHeight="1">
      <c r="A38" s="50" t="inlineStr">
        <is>
          <t>01417-2017</t>
        </is>
      </c>
      <c r="B38" s="50" t="inlineStr">
        <is>
          <t>Tradicional</t>
        </is>
      </c>
      <c r="C38" s="50" t="n">
        <v>2020</v>
      </c>
      <c r="D38" s="50" t="inlineStr">
        <is>
          <t>2SC</t>
        </is>
      </c>
      <c r="E38" s="50" t="inlineStr">
        <is>
          <t>SV 2020 (anula Sent. 117-2018)</t>
        </is>
      </c>
      <c r="F38" s="50" t="inlineStr">
        <is>
          <t>d</t>
        </is>
      </c>
      <c r="G38" s="50" t="inlineStr">
        <is>
          <t>d) Motivacion insuficiente</t>
        </is>
      </c>
      <c r="H38" s="50" t="inlineStr">
        <is>
          <t>e) Sustancialmente incongruente</t>
        </is>
      </c>
      <c r="I38" s="50" t="inlineStr">
        <is>
          <t>“la colación de los bienes otorgados en anticipo de legítima también debe ser esclarecida y valorada en el presente proceso”</t>
        </is>
      </c>
      <c r="J38" s="50" t="inlineStr">
        <is>
          <t>Remitió a otro juicio un aspecto necesario para decidir.</t>
        </is>
      </c>
    </row>
    <row r="39" ht="23.25" customHeight="1">
      <c r="A39" s="51" t="inlineStr">
        <is>
          <t>01888-2011</t>
        </is>
      </c>
      <c r="B39" s="51" t="inlineStr">
        <is>
          <t>Tradicional</t>
        </is>
      </c>
      <c r="C39" s="51" t="n">
        <v>2020</v>
      </c>
      <c r="D39" s="51" t="inlineStr">
        <is>
          <t>2SC</t>
        </is>
      </c>
      <c r="E39" s="51" t="inlineStr">
        <is>
          <t>SV 2020 (anula Sent. 108-2018-3JEC)</t>
        </is>
      </c>
      <c r="F39" s="51" t="inlineStr">
        <is>
          <t>NA</t>
        </is>
      </c>
      <c r="G39" s="51" t="inlineStr">
        <is>
          <t>No aplica - vicio procesal</t>
        </is>
      </c>
      <c r="H39" s="51" t="n"/>
      <c r="I39" s="51" t="inlineStr">
        <is>
          <t>“al haberse declarado nula la resolución No. 43-2017 ... que resolvía declarar improcedente por extemporánea la tacha”</t>
        </is>
      </c>
      <c r="J39" s="51" t="inlineStr">
        <is>
          <t>Nulidad derivada de auto de vista sobre tacha. No es vicio de motivación.</t>
        </is>
      </c>
    </row>
    <row r="40" ht="23.25" customHeight="1">
      <c r="A40" s="50" t="inlineStr">
        <is>
          <t>05012-2008</t>
        </is>
      </c>
      <c r="B40" s="50" t="inlineStr">
        <is>
          <t>Tradicional</t>
        </is>
      </c>
      <c r="C40" s="50" t="n">
        <v>2020</v>
      </c>
      <c r="D40" s="50" t="inlineStr">
        <is>
          <t>2SC</t>
        </is>
      </c>
      <c r="E40" s="50" t="inlineStr">
        <is>
          <t>SV 2020 (anula Sent. 109-2018)</t>
        </is>
      </c>
      <c r="F40" s="50" t="inlineStr">
        <is>
          <t>d</t>
        </is>
      </c>
      <c r="G40" s="50" t="inlineStr">
        <is>
          <t>d) Motivacion insuficiente</t>
        </is>
      </c>
      <c r="H40" s="50" t="n"/>
      <c r="I40" s="50" t="inlineStr">
        <is>
          <t>“los fundamentos de hecho que sustentan su decisión jurisdiccional son incompletos y defectuosos”</t>
        </is>
      </c>
      <c r="J40" s="50" t="inlineStr">
        <is>
          <t>Daño emergente/lucro cesante no analizados.</t>
        </is>
      </c>
    </row>
    <row r="41" ht="23.25" customHeight="1">
      <c r="A41" s="50" t="inlineStr">
        <is>
          <t>08092-2014</t>
        </is>
      </c>
      <c r="B41" s="50" t="inlineStr">
        <is>
          <t>Tradicional</t>
        </is>
      </c>
      <c r="C41" s="50" t="n">
        <v>2020</v>
      </c>
      <c r="D41" s="50" t="inlineStr">
        <is>
          <t>2SC</t>
        </is>
      </c>
      <c r="E41" s="50" t="inlineStr">
        <is>
          <t>SV 2020 (anula Sent. 103-2018-6JEC)</t>
        </is>
      </c>
      <c r="F41" s="50" t="inlineStr">
        <is>
          <t>e</t>
        </is>
      </c>
      <c r="G41" s="50" t="inlineStr">
        <is>
          <t>e) Sustancialmente incongruente</t>
        </is>
      </c>
      <c r="H41" s="50" t="n"/>
      <c r="I41" s="50" t="inlineStr">
        <is>
          <t>“se ha detectado una seria vulneración al principio de congruencia procesal, por una omisión en la sentencia apelada”</t>
        </is>
      </c>
      <c r="J41" s="50" t="inlineStr">
        <is>
          <t>Concurre vicio de defensa (integración notificada tras la apelación).</t>
        </is>
      </c>
    </row>
    <row r="42" ht="23.25" customHeight="1">
      <c r="A42" s="50" t="inlineStr">
        <is>
          <t>00788-2013</t>
        </is>
      </c>
      <c r="B42" s="50" t="inlineStr">
        <is>
          <t>Tradicional</t>
        </is>
      </c>
      <c r="C42" s="50" t="n">
        <v>2021</v>
      </c>
      <c r="D42" s="50" t="inlineStr">
        <is>
          <t>2SC</t>
        </is>
      </c>
      <c r="E42" s="50" t="inlineStr">
        <is>
          <t>SV 2021 (anula Sent. 055-2018)</t>
        </is>
      </c>
      <c r="F42" s="50" t="inlineStr">
        <is>
          <t>a</t>
        </is>
      </c>
      <c r="G42" s="50" t="inlineStr">
        <is>
          <t>a) Inexistente o aparente</t>
        </is>
      </c>
      <c r="H42" s="50" t="inlineStr">
        <is>
          <t>e) Sustancialmente incongruente</t>
        </is>
      </c>
      <c r="I42" s="50" t="inlineStr">
        <is>
          <t>“no por ello el juzgador está facultado para omitir pronunciamiento sobre las alegaciones hechas por las partes”</t>
        </is>
      </c>
      <c r="J42" s="50" t="inlineStr">
        <is>
          <t>No responde a alegaciones ni valora pruebas (supuesto a) según Llamoja).</t>
        </is>
      </c>
    </row>
  </sheetData>
  <autoFilter ref="A1:J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4" customWidth="1" min="1" max="1"/>
    <col width="12" customWidth="1" min="2" max="2"/>
  </cols>
  <sheetData>
    <row r="1" ht="15" customHeight="1">
      <c r="A1" s="52" t="inlineStr">
        <is>
          <t>Tipologia Llamoja (STC 00728-2008-PHC/TC)</t>
        </is>
      </c>
      <c r="B1" s="52" t="inlineStr">
        <is>
          <t>Codigo</t>
        </is>
      </c>
      <c r="C1" s="52" t="inlineStr">
        <is>
          <t>Oralidad</t>
        </is>
      </c>
      <c r="D1" s="52" t="inlineStr">
        <is>
          <t>Tradicional</t>
        </is>
      </c>
      <c r="E1" s="52" t="inlineStr">
        <is>
          <t>Total</t>
        </is>
      </c>
    </row>
    <row r="2" ht="15" customHeight="1">
      <c r="A2" s="53" t="inlineStr">
        <is>
          <t>a) Inexistente o aparente</t>
        </is>
      </c>
      <c r="B2" s="53" t="inlineStr">
        <is>
          <t>a</t>
        </is>
      </c>
      <c r="C2" s="53">
        <f>COUNTIFS(Tipologia_Llamoja!$F$2:$F$42,B2,Tipologia_Llamoja!$B$2:$B$42,"Oralidad")</f>
        <v/>
      </c>
      <c r="D2" s="53">
        <f>COUNTIFS(Tipologia_Llamoja!$F$2:$F$42,B2,Tipologia_Llamoja!$B$2:$B$42,"Tradicional")</f>
        <v/>
      </c>
      <c r="E2" s="53">
        <f>C2+D2</f>
        <v/>
      </c>
    </row>
    <row r="3" ht="15" customHeight="1">
      <c r="A3" s="53" t="inlineStr">
        <is>
          <t>b) Falta de motivacion interna</t>
        </is>
      </c>
      <c r="B3" s="53" t="inlineStr">
        <is>
          <t>b</t>
        </is>
      </c>
      <c r="C3" s="53">
        <f>COUNTIFS(Tipologia_Llamoja!$F$2:$F$42,B3,Tipologia_Llamoja!$B$2:$B$42,"Oralidad")</f>
        <v/>
      </c>
      <c r="D3" s="53">
        <f>COUNTIFS(Tipologia_Llamoja!$F$2:$F$42,B3,Tipologia_Llamoja!$B$2:$B$42,"Tradicional")</f>
        <v/>
      </c>
      <c r="E3" s="53">
        <f>C3+D3</f>
        <v/>
      </c>
    </row>
    <row r="4" ht="15" customHeight="1">
      <c r="A4" s="53" t="inlineStr">
        <is>
          <t>c) Deficiencia en motivacion externa</t>
        </is>
      </c>
      <c r="B4" s="53" t="inlineStr">
        <is>
          <t>c</t>
        </is>
      </c>
      <c r="C4" s="53">
        <f>COUNTIFS(Tipologia_Llamoja!$F$2:$F$42,B4,Tipologia_Llamoja!$B$2:$B$42,"Oralidad")</f>
        <v/>
      </c>
      <c r="D4" s="53">
        <f>COUNTIFS(Tipologia_Llamoja!$F$2:$F$42,B4,Tipologia_Llamoja!$B$2:$B$42,"Tradicional")</f>
        <v/>
      </c>
      <c r="E4" s="53">
        <f>C4+D4</f>
        <v/>
      </c>
    </row>
    <row r="5" ht="15" customHeight="1">
      <c r="A5" s="53" t="inlineStr">
        <is>
          <t>d) Motivacion insuficiente</t>
        </is>
      </c>
      <c r="B5" s="53" t="inlineStr">
        <is>
          <t>d</t>
        </is>
      </c>
      <c r="C5" s="53">
        <f>COUNTIFS(Tipologia_Llamoja!$F$2:$F$42,B5,Tipologia_Llamoja!$B$2:$B$42,"Oralidad")</f>
        <v/>
      </c>
      <c r="D5" s="53">
        <f>COUNTIFS(Tipologia_Llamoja!$F$2:$F$42,B5,Tipologia_Llamoja!$B$2:$B$42,"Tradicional")</f>
        <v/>
      </c>
      <c r="E5" s="53">
        <f>C5+D5</f>
        <v/>
      </c>
    </row>
    <row r="6" ht="15" customHeight="1">
      <c r="A6" s="53" t="inlineStr">
        <is>
          <t>e) Sustancialmente incongruente</t>
        </is>
      </c>
      <c r="B6" s="53" t="inlineStr">
        <is>
          <t>e</t>
        </is>
      </c>
      <c r="C6" s="53">
        <f>COUNTIFS(Tipologia_Llamoja!$F$2:$F$42,B6,Tipologia_Llamoja!$B$2:$B$42,"Oralidad")</f>
        <v/>
      </c>
      <c r="D6" s="53">
        <f>COUNTIFS(Tipologia_Llamoja!$F$2:$F$42,B6,Tipologia_Llamoja!$B$2:$B$42,"Tradicional")</f>
        <v/>
      </c>
      <c r="E6" s="53">
        <f>C6+D6</f>
        <v/>
      </c>
    </row>
    <row r="7" ht="15" customHeight="1">
      <c r="A7" s="53" t="inlineStr">
        <is>
          <t>f) Motivacion cualificada</t>
        </is>
      </c>
      <c r="B7" s="53" t="inlineStr">
        <is>
          <t>f</t>
        </is>
      </c>
      <c r="C7" s="53">
        <f>COUNTIFS(Tipologia_Llamoja!$F$2:$F$42,B7,Tipologia_Llamoja!$B$2:$B$42,"Oralidad")</f>
        <v/>
      </c>
      <c r="D7" s="53">
        <f>COUNTIFS(Tipologia_Llamoja!$F$2:$F$42,B7,Tipologia_Llamoja!$B$2:$B$42,"Tradicional")</f>
        <v/>
      </c>
      <c r="E7" s="53">
        <f>C7+D7</f>
        <v/>
      </c>
    </row>
    <row r="8" ht="15" customHeight="1">
      <c r="A8" s="53" t="inlineStr">
        <is>
          <t>No aplica - vicio procesal</t>
        </is>
      </c>
      <c r="B8" s="53" t="inlineStr">
        <is>
          <t>NA</t>
        </is>
      </c>
      <c r="C8" s="53">
        <f>COUNTIFS(Tipologia_Llamoja!$F$2:$F$42,B8,Tipologia_Llamoja!$B$2:$B$42,"Oralidad")</f>
        <v/>
      </c>
      <c r="D8" s="53">
        <f>COUNTIFS(Tipologia_Llamoja!$F$2:$F$42,B8,Tipologia_Llamoja!$B$2:$B$42,"Tradicional")</f>
        <v/>
      </c>
      <c r="E8" s="53">
        <f>C8+D8</f>
        <v/>
      </c>
    </row>
    <row r="9" ht="15" customHeight="1">
      <c r="A9" s="54" t="inlineStr">
        <is>
          <t>Total</t>
        </is>
      </c>
      <c r="B9" s="54" t="n"/>
      <c r="C9" s="54">
        <f>SUM(C2:C8)</f>
        <v/>
      </c>
      <c r="D9" s="54">
        <f>SUM(D2:D8)</f>
        <v/>
      </c>
      <c r="E9" s="54">
        <f>SUM(E2:E8)</f>
        <v/>
      </c>
    </row>
    <row r="10" ht="15" customHeight="1">
      <c r="A10" s="53" t="n"/>
      <c r="B10" s="53" t="n"/>
      <c r="C10" s="53" t="n"/>
      <c r="D10" s="53" t="n"/>
      <c r="E10" s="53" t="n"/>
    </row>
    <row r="11" ht="15" customHeight="1">
      <c r="A11" s="53" t="inlineStr">
        <is>
          <t>Nota: clasificacion por tipologia principal (ratio decidendi de la Sala). La columna tipologia_secundaria registra concurrencias. 'NA' = nulidad por vicio procesal (notificacion, litisconsorcio, defensa), no subsumible en los supuestos a)-f).</t>
        </is>
      </c>
      <c r="B11" s="53" t="n"/>
      <c r="C11" s="53" t="n"/>
      <c r="D11" s="53" t="n"/>
      <c r="E11" s="53"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4" customWidth="1" min="3" max="3"/>
    <col width="46" customWidth="1" min="4" max="4"/>
    <col width="60" customWidth="1" min="5" max="5"/>
  </cols>
  <sheetData>
    <row r="1" ht="33.75" customHeight="1">
      <c r="A1" s="55" t="inlineStr">
        <is>
          <t>Clave expediente</t>
        </is>
      </c>
      <c r="B1" s="55" t="inlineStr">
        <is>
          <t>Grupo</t>
        </is>
      </c>
      <c r="C1" s="55" t="inlineStr">
        <is>
          <t>Tipo de motivación (Llamoja) — principal</t>
        </is>
      </c>
      <c r="D1" s="55" t="inlineStr">
        <is>
          <t>Fundamento (síntesis)</t>
        </is>
      </c>
      <c r="E1" s="55" t="inlineStr">
        <is>
          <t>Cita textual del auto de vista / sentencia de vista</t>
        </is>
      </c>
    </row>
    <row r="2" ht="90" customHeight="1">
      <c r="A2" s="56" t="inlineStr">
        <is>
          <t>03819-2022</t>
        </is>
      </c>
      <c r="B2" s="56" t="inlineStr">
        <is>
          <t>Oralidad</t>
        </is>
      </c>
      <c r="C2" s="56" t="inlineStr">
        <is>
          <t>c) Deficiencia en la motivación externa</t>
        </is>
      </c>
      <c r="D2" s="56" t="inlineStr">
        <is>
          <t>El A quo dio por firme una resolución administrativa sin confrontar que existía un recurso impugnativo pendiente sobre ella (procedimiento administrativo inconcluso).</t>
        </is>
      </c>
      <c r="E2" s="56" t="inlineStr">
        <is>
          <t>"no se valoró adecuadamente que, al momento en que se expidió la sentencia objeto de apelación, dicho expediente se encontraba en pleno trámite... el Juzgado basó su decisión en una resolución emitida en el marco de este procedimiento administrativo inconcluso, lo cual resulta inadecuado" (S. Vista, 2024).</t>
        </is>
      </c>
    </row>
    <row r="3" ht="90" customHeight="1">
      <c r="A3" s="56" t="inlineStr">
        <is>
          <t>04370-2022</t>
        </is>
      </c>
      <c r="B3" s="56" t="inlineStr">
        <is>
          <t>Oralidad</t>
        </is>
      </c>
      <c r="C3" s="56" t="inlineStr">
        <is>
          <t>No aplica — vicio in procedendo (no es defecto de motivación)</t>
        </is>
      </c>
      <c r="D3" s="56" t="inlineStr">
        <is>
          <t>Nulidad por litisconsorcio necesario no incorporado (herederos de un anticipante no emplazados), art. 93/95 CPC.</t>
        </is>
      </c>
      <c r="E3" s="56" t="inlineStr">
        <is>
          <t>"debe declararse la nulidad de la sentencia apelada y suspender la tramitación del proceso hasta que se establezca correctamente la relación procesal" — "habiéndose infringido las reglas del derecho al debido proceso".</t>
        </is>
      </c>
    </row>
    <row r="4" ht="90" customHeight="1">
      <c r="A4" s="56" t="inlineStr">
        <is>
          <t>00072-2023</t>
        </is>
      </c>
      <c r="B4" s="56" t="inlineStr">
        <is>
          <t>Oralidad</t>
        </is>
      </c>
      <c r="C4" s="56" t="inlineStr">
        <is>
          <t>b) y c) — motivación interna y externa (mixta, así calificada expresamente por la Sala)</t>
        </is>
      </c>
      <c r="D4" s="56" t="inlineStr">
        <is>
          <t>La conclusión sobre legitimidad posesoria de los litisconsortes no se deduce de las premisas fácticas ni de los medios probatorios (solo se valoró la inspección judicial, sin medios directos del vínculo consanguíneo).</t>
        </is>
      </c>
      <c r="E4" s="56" t="inlineStr">
        <is>
          <t>"la sentencia impugnada adolece de vicios de motivación en su fase interna y externa, al no deducirse de las premisas fácticas y de los medios probatorios aportados, la conclusión que los litisconsortes necesarios pasivos ostentan también legitimidad para poseer".</t>
        </is>
      </c>
    </row>
    <row r="5" ht="90" customHeight="1">
      <c r="A5" s="56" t="inlineStr">
        <is>
          <t>00646-2024</t>
        </is>
      </c>
      <c r="B5" s="56" t="inlineStr">
        <is>
          <t>Oralidad</t>
        </is>
      </c>
      <c r="C5" s="56" t="inlineStr">
        <is>
          <t>e) Motivación sustancialmente incongruente</t>
        </is>
      </c>
      <c r="D5" s="56" t="inlineStr">
        <is>
          <t>El A quo omitió pronunciarse sobre la condición de poseedores precarios imputada a dos codemandados, pese a haber sido objeto de debate contradictorio.</t>
        </is>
      </c>
      <c r="E5" s="56" t="inlineStr">
        <is>
          <t>"ha omitido pronunciarse sobre la condición de poseedores precarios que se imputa a los codemandados Walter Cisneros Meneses, Dalia Cisneros Meneses" — "se tiene que se ha vulnerado el inciso 5º del artículo 139 de nuestra constitución".</t>
        </is>
      </c>
    </row>
    <row r="6" ht="90" customHeight="1">
      <c r="A6" s="56" t="inlineStr">
        <is>
          <t>00661-2023</t>
        </is>
      </c>
      <c r="B6" s="56" t="inlineStr">
        <is>
          <t>Oralidad</t>
        </is>
      </c>
      <c r="C6" s="56" t="inlineStr">
        <is>
          <t>d) Motivación insuficiente</t>
        </is>
      </c>
      <c r="D6" s="56" t="inlineStr">
        <is>
          <t>El juzgador no valoró si la UNSA estaba efectivamente vinculada a la resolución administrativa que sustentaba la deuda reclamada; la Sala cita expresamente el supuesto d) de la STC 03943-2006-PA/TC.</t>
        </is>
      </c>
      <c r="E6" s="56" t="inlineStr">
        <is>
          <t>"se evidencia que el juzgador no ha efectuado una debida valoración de los medios probatorios y actuados obrantes en el caso de autos, reflejándose esto en la motivación expuesta en la resolución materia de alzada, incurriéndose en vicio procesal por motivación insuficiente".</t>
        </is>
      </c>
    </row>
    <row r="7" ht="90" customHeight="1">
      <c r="A7" s="56" t="inlineStr">
        <is>
          <t>04138-2022</t>
        </is>
      </c>
      <c r="B7" s="56" t="inlineStr">
        <is>
          <t>Oralidad</t>
        </is>
      </c>
      <c r="C7" s="56" t="inlineStr">
        <is>
          <t>c) Deficiencia en la motivación externa</t>
        </is>
      </c>
      <c r="D7" s="56" t="inlineStr">
        <is>
          <t>El A quo no confrontó que las cartas notariales de resolución contractual solo se cursaron a la subarrendataria y no al arrendatario titular, pese a que el contrato exigía notificarlo a él.</t>
        </is>
      </c>
      <c r="E7" s="56" t="inlineStr">
        <is>
          <t>"se colige que la recurrida carece de una adecuada motivación al no valorar debidamente toda la prueba documental aportada al proceso en su conjunto".</t>
        </is>
      </c>
    </row>
    <row r="8" ht="90" customHeight="1">
      <c r="A8" s="56" t="inlineStr">
        <is>
          <t>04414-2023</t>
        </is>
      </c>
      <c r="B8" s="56" t="inlineStr">
        <is>
          <t>Oralidad</t>
        </is>
      </c>
      <c r="C8" s="56" t="inlineStr">
        <is>
          <t>No aplica — vicio in procedendo (nulidad concatenada)</t>
        </is>
      </c>
      <c r="D8" s="56" t="inlineStr">
        <is>
          <t>Nulidad derivada: un auto de vista precedente ya había declarado nulo el saneamiento por falta de emplazamiento a un litisconsorte (José Antonio García Nieto); la sentencia de fondo cae por conexión.</t>
        </is>
      </c>
      <c r="E8" s="56" t="inlineStr">
        <is>
          <t>"mediante auto de vista precedente se ha declarado nula la resolución... que resolvió declarar la existencia de una relación jurídico procesal válida entre las partes y por saneado el proceso... así como, nulo todo lo actuado".</t>
        </is>
      </c>
    </row>
    <row r="9" ht="90" customHeight="1">
      <c r="A9" s="56" t="inlineStr">
        <is>
          <t>05345-2022</t>
        </is>
      </c>
      <c r="B9" s="56" t="inlineStr">
        <is>
          <t>Oralidad</t>
        </is>
      </c>
      <c r="C9" s="56" t="inlineStr">
        <is>
          <t>No aplica — nulidad derivada de expediente conexo (no es defecto de motivación)</t>
        </is>
      </c>
      <c r="D9" s="56" t="inlineStr">
        <is>
          <t>La sentencia cae por conexión: un auto de vista precedente revocó la denegatoria de suspensión judicial del proceso (pendencia de un proceso de retracto), por lo que la sentencia se dictó en un proceso que debía estar suspendido.</t>
        </is>
      </c>
      <c r="E9" s="56" t="inlineStr">
        <is>
          <t>"dicho pronunciamiento alcanza a los actuados del proceso que son dependientes de aquel, como es el caso materia de apelación, en el cual se ha emitido la sentencia; en consecuencia, el pronunciamiento que viene en grado se encuentra afectado de nulidad".</t>
        </is>
      </c>
    </row>
    <row r="10" ht="90" customHeight="1">
      <c r="A10" s="56" t="inlineStr">
        <is>
          <t>06147-2023</t>
        </is>
      </c>
      <c r="B10" s="56" t="inlineStr">
        <is>
          <t>Oralidad</t>
        </is>
      </c>
      <c r="C10" s="56" t="inlineStr">
        <is>
          <t>No aplica — vicio in procedendo (no es defecto de motivación)</t>
        </is>
      </c>
      <c r="D10" s="56" t="inlineStr">
        <is>
          <t>Nulidad derivada: un auto de vista precedente ya había declarado nulo el rechazo del apersonamiento/contestación de la demandada por falta de plazo de subsanación.</t>
        </is>
      </c>
      <c r="E10" s="56" t="inlineStr">
        <is>
          <t>"la juzgadora - previo a emitir una sentencia - deberá pronunciarse en lo pertinente respecto al apersonamiento, la contestación y excepciones deducidas por la demandada; motivo por el cual, la sentencia materia de alzada deviene en nula".</t>
        </is>
      </c>
    </row>
    <row r="11" ht="90" customHeight="1">
      <c r="A11" s="56" t="inlineStr">
        <is>
          <t>00115-2012</t>
        </is>
      </c>
      <c r="B11" s="56" t="inlineStr">
        <is>
          <t>Tradicional</t>
        </is>
      </c>
      <c r="C11" s="56" t="inlineStr">
        <is>
          <t>No aplica — vicio in procedendo (no es defecto de motivación)</t>
        </is>
      </c>
      <c r="D11" s="56" t="inlineStr">
        <is>
          <t>Nulidad por falta de notificación de la demanda en el propio predio a desalojar (art. 589 CPC), pese a que las direcciones domiciliarias eran distintas al inmueble.</t>
        </is>
      </c>
      <c r="E11" s="56" t="inlineStr">
        <is>
          <t>"el Juzgado no ha notificado con la demanda y anexos en el predio a desalojar... por haberse transgredido el principio al debido proceso consagrado por el artículo 139 inciso 3) de la Constitución".</t>
        </is>
      </c>
    </row>
    <row r="12" ht="90" customHeight="1">
      <c r="A12" s="56" t="inlineStr">
        <is>
          <t>02532-2017</t>
        </is>
      </c>
      <c r="B12" s="56" t="inlineStr">
        <is>
          <t>Tradicional</t>
        </is>
      </c>
      <c r="C12" s="56" t="inlineStr">
        <is>
          <t>No aplica — vicio in procedendo (no es defecto de motivación)</t>
        </is>
      </c>
      <c r="D12" s="56" t="inlineStr">
        <is>
          <t>Resolución en grado de consulta: se desaprueba la sentencia por afectación al debido proceso al no emplazarse a los herederos ya declarados de la sucesión demandada, ni acreditarse bajo juramento el desconocimiento de sus domicilios.</t>
        </is>
      </c>
      <c r="E12" s="56" t="inlineStr">
        <is>
          <t>"se afecta el debido proceso al admitir la demanda en contra de la 'sucesión de Hipólito Efraín Sánchez Rivera', cuando ya se sabe quiénes son los herederos declarados de dicha sucesión".</t>
        </is>
      </c>
    </row>
    <row r="13" ht="90" customHeight="1">
      <c r="A13" s="56" t="inlineStr">
        <is>
          <t>02718-2015</t>
        </is>
      </c>
      <c r="B13" s="56" t="inlineStr">
        <is>
          <t>Tradicional</t>
        </is>
      </c>
      <c r="C13" s="56" t="inlineStr">
        <is>
          <t>e) Motivación sustancialmente incongruente</t>
        </is>
      </c>
      <c r="D13" s="56" t="inlineStr">
        <is>
          <t>El A quo negó la existencia de prueba sobre la propiedad primigenia del inmueble, pese a que ambas partes la habían reconocido expresamente en sus actos postulatorios.</t>
        </is>
      </c>
      <c r="E13" s="56" t="inlineStr">
        <is>
          <t>"el Colegiado valora que dicha motivación en términos del Tribunal Constitucional resulta sustancialmente incongruente, pues tanto la parte demandante como la parte demandada... han señalado y reconocido" la propiedad primigenia — "incurriendo la resolución recurrida en causal de nulidad".</t>
        </is>
      </c>
    </row>
    <row r="14" ht="90" customHeight="1">
      <c r="A14" s="56" t="inlineStr">
        <is>
          <t>03731-2015</t>
        </is>
      </c>
      <c r="B14" s="56" t="inlineStr">
        <is>
          <t>Tradicional</t>
        </is>
      </c>
      <c r="C14" s="56" t="inlineStr">
        <is>
          <t>No aplica — nulidad por hecho sobreviniente (no es defecto de motivación)</t>
        </is>
      </c>
      <c r="D14" s="56" t="inlineStr">
        <is>
          <t>La Sala reconoce expresamente que la sentencia "se encuentra arreglada a derecho"; la nulidad obedece a un hecho sobreviniente (proceso paralelo de nulidad de acto jurídico sobre el título de propiedad del demandante) que el A quo debe valorar.</t>
        </is>
      </c>
      <c r="E14" s="56" t="inlineStr">
        <is>
          <t>"si bien la sentencia emitida por el Juzgado de origen se encuentra arreglada a derecho, es esta nueva situación que nos obliga a declarar la nulidad y que el juez expida nueva resolución".</t>
        </is>
      </c>
    </row>
    <row r="15" ht="90" customHeight="1">
      <c r="A15" s="56" t="inlineStr">
        <is>
          <t>00001-2018</t>
        </is>
      </c>
      <c r="B15" s="56" t="inlineStr">
        <is>
          <t>Tradicional</t>
        </is>
      </c>
      <c r="C15" s="56" t="inlineStr">
        <is>
          <t>b) Falta de motivación interna del razonamiento (invalidez lógica)</t>
        </is>
      </c>
      <c r="D15" s="56" t="inlineStr">
        <is>
          <t>El juez calificó el bien como ganancial basándose en la fecha de matrimonio, pese a que el contrato de compraventa que se pretendía formalizar fue celebrado casi 2 años antes de dicho matrimonio: la conclusión no se deduce de las propias premisas fácticas que constan en autos.</t>
        </is>
      </c>
      <c r="E15" s="56" t="inlineStr">
        <is>
          <t>"se aprecia que el juez de la causa ha incurrido en error al considerar que el inmueble... es ganancial... se evidencia que la resolución apelada contiene una motivación interna defectuosa o una falta de motivación interna del razonamiento conforme a lo señalado por el Tribunal Constitucional en el EXP. N° 00728-2008-PHC/TC".</t>
        </is>
      </c>
    </row>
    <row r="16" ht="90" customHeight="1">
      <c r="A16" s="56" t="inlineStr">
        <is>
          <t>05382-2016</t>
        </is>
      </c>
      <c r="B16" s="56" t="inlineStr">
        <is>
          <t>Tradicional</t>
        </is>
      </c>
      <c r="C16" s="56" t="inlineStr">
        <is>
          <t>c) Deficiencia en la motivación externa (valoración de prueba no admitida)</t>
        </is>
      </c>
      <c r="D16" s="56" t="inlineStr">
        <is>
          <t>El juzgador sustentó su decisión en un Acta de Constatación Policial que el propio codemandado había retirado como medio probatorio y que nunca fue admitida al proceso.</t>
        </is>
      </c>
      <c r="E16" s="56" t="inlineStr">
        <is>
          <t>"no era procedente que sea valorado por el Juzgador como indebidamente se ha realizado en los considerandos cuarto y sexto de la impugnada" — "sin haber realizado un análisis conjunto y razonado de los medios probatorios admitidos en el proceso".</t>
        </is>
      </c>
    </row>
    <row r="17" ht="90" customHeight="1">
      <c r="A17" s="56" t="inlineStr">
        <is>
          <t>07606-2013</t>
        </is>
      </c>
      <c r="B17" s="56" t="inlineStr">
        <is>
          <t>Tradicional</t>
        </is>
      </c>
      <c r="C17" s="56" t="inlineStr">
        <is>
          <t>b) Falta de motivación interna del razonamiento (incoherencia narrativa/lógica)</t>
        </is>
      </c>
      <c r="D17" s="56" t="inlineStr">
        <is>
          <t>La propia sentencia se contradice entre sus considerandos: en un pasaje da por acreditada la posesión del demandado sobre el bien y en otro afirma que no se pudo identificar el área en controversia.</t>
        </is>
      </c>
      <c r="E17" s="56" t="inlineStr">
        <is>
          <t>"se advierte contradicciones en su fundamentación..." — "es nula la sentencia si lo indicado por el juez en la parte resolutiva de ésta, no es congruente ni coherente, con los fundamentos de la misma".</t>
        </is>
      </c>
    </row>
    <row r="18" ht="90" customHeight="1">
      <c r="A18" s="56" t="inlineStr">
        <is>
          <t>06151-2000</t>
        </is>
      </c>
      <c r="B18" s="56" t="inlineStr">
        <is>
          <t>Tradicional</t>
        </is>
      </c>
      <c r="C18" s="56" t="inlineStr">
        <is>
          <t>No aplica — vicio in procedendo (no es defecto de motivación)</t>
        </is>
      </c>
      <c r="D18" s="56" t="inlineStr">
        <is>
          <t>Nulidad por litisconsorcio necesario no incorporado: un arrendatario/poseedor del bien (con contrato vigente) no fue emplazado pese a tener interés directo, vulnerando su derecho de defensa.</t>
        </is>
      </c>
      <c r="E18" s="56" t="inlineStr">
        <is>
          <t>"se ha incurrido en la causal de nulidad insalvable, pues se ha vulnerado el contenido esencial de la garantía constitucional al derecho de defensa y con ello al debido proceso".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2026-09-24T01:27:54Z</dcterms:created>
  <dcterms:modified xsi:type="dcterms:W3CDTF">2026-09-24T01:34:52Z</dcterms:modified>
</cp:coreProperties>
</file>