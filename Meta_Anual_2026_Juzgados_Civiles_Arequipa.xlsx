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 2026" sheetId="1" state="visible" r:id="rId1"/>
    <sheet name="Parametros" sheetId="2" state="visible" r:id="rId2"/>
    <sheet name="Ingresos" sheetId="3" state="visible" r:id="rId3"/>
    <sheet name="Resueltos" sheetId="4" state="visible" r:id="rId4"/>
    <sheet name="Metodolog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-"/>
    <numFmt numFmtId="165" formatCode="0.0%"/>
  </numFmts>
  <fonts count="11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</font>
    <font>
      <name val="Arial"/>
    </font>
    <font>
      <name val="Arial"/>
      <i val="1"/>
      <color rgb="00595959"/>
    </font>
    <font>
      <name val="Arial"/>
      <color rgb="000000FF"/>
    </font>
    <font>
      <name val="Arial"/>
      <i val="1"/>
    </font>
    <font>
      <name val="Arial"/>
      <b val="1"/>
      <sz val="13"/>
    </font>
    <font>
      <name val="Arial"/>
      <b val="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E2EFDA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8" fillId="0" borderId="1" pivotButton="0" quotePrefix="0" xfId="0"/>
    <xf numFmtId="164" fontId="3" fillId="0" borderId="1" pivotButton="0" quotePrefix="0" xfId="0"/>
    <xf numFmtId="0" fontId="5" fillId="3" borderId="1" pivotButton="0" quotePrefix="0" xfId="0"/>
    <xf numFmtId="165" fontId="3" fillId="0" borderId="1" pivotButton="0" quotePrefix="0" xfId="0"/>
    <xf numFmtId="0" fontId="3" fillId="0" borderId="1" applyAlignment="1" pivotButton="0" quotePrefix="0" xfId="0">
      <alignment horizontal="center"/>
    </xf>
    <xf numFmtId="164" fontId="8" fillId="4" borderId="1" pivotButton="0" quotePrefix="0" xfId="0"/>
    <xf numFmtId="0" fontId="8" fillId="5" borderId="1" pivotButton="0" quotePrefix="0" xfId="0"/>
    <xf numFmtId="164" fontId="8" fillId="5" borderId="1" pivotButton="0" quotePrefix="0" xfId="0"/>
    <xf numFmtId="165" fontId="0" fillId="5" borderId="1" pivotButton="0" quotePrefix="0" xfId="0"/>
    <xf numFmtId="0" fontId="0" fillId="5" borderId="1" pivotButton="0" quotePrefix="0" xfId="0"/>
    <xf numFmtId="0" fontId="8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9" fontId="5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3" fillId="0" borderId="1" pivotButton="0" quotePrefix="0" xfId="0"/>
    <xf numFmtId="0" fontId="5" fillId="0" borderId="1" pivotButton="0" quotePrefix="0" xfId="0"/>
    <xf numFmtId="3" fontId="3" fillId="0" borderId="1" pivotButton="0" quotePrefix="0" xfId="0"/>
    <xf numFmtId="0" fontId="1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Claude</author>
  </authors>
  <commentList>
    <comment ref="D4" authorId="0" shapeId="0">
      <text>
        <t>Expedientes redistribuidos (remitidos a otros juzgados) durante 2026. No figuran en los reportes SIJ entregados: ingresar si se cuenta con el dato. La "carga neta" resta los redistribuidos (Anexo 2 y 3, nota).</t>
      </text>
    </comment>
    <comment ref="H4" authorId="0" shapeId="0">
      <text>
        <t>Igual que la columna D, para las demás subespecialidades.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4" customWidth="1" min="22" max="22"/>
  </cols>
  <sheetData>
    <row r="1">
      <c r="A1" s="1" t="inlineStr">
        <is>
          <t>META ANUAL 2026 – JUZGADOS CIVILES (MIXTOS SIN VIOLENCIA FAMILIAR) – SEDE CENTRAL CSJ AREQUIPA</t>
        </is>
      </c>
    </row>
    <row r="2">
      <c r="A2" s="2" t="inlineStr">
        <is>
          <t>Metodología: R.A. N.° 090-2025-CE-PJ, Anexo 3 (Meta = A + B). Datos: SIJ ene–set 2026 proyectados a diciembre.</t>
        </is>
      </c>
    </row>
    <row r="4" ht="60" customHeight="1">
      <c r="A4" s="3" t="inlineStr">
        <is>
          <t>Juzgado</t>
        </is>
      </c>
      <c r="B4" s="3" t="inlineStr">
        <is>
          <t>Pend. Civil-Civil</t>
        </is>
      </c>
      <c r="C4" s="3" t="inlineStr">
        <is>
          <t>Ingr. proy. Civil-Civil</t>
        </is>
      </c>
      <c r="D4" s="3" t="inlineStr">
        <is>
          <t>Redistrib. Civil-Civil (restar)</t>
        </is>
      </c>
      <c r="E4" s="3" t="inlineStr">
        <is>
          <t>CARGA NETA PROY. Civil-Civil</t>
        </is>
      </c>
      <c r="F4" s="3" t="inlineStr">
        <is>
          <t>Pend. Resto</t>
        </is>
      </c>
      <c r="G4" s="3" t="inlineStr">
        <is>
          <t>Ingr. proy. Resto</t>
        </is>
      </c>
      <c r="H4" s="3" t="inlineStr">
        <is>
          <t>Redistrib. Resto (restar)</t>
        </is>
      </c>
      <c r="I4" s="3" t="inlineStr">
        <is>
          <t>CARGA NETA PROY. Resto</t>
        </is>
      </c>
      <c r="J4" s="3" t="inlineStr">
        <is>
          <t>CARGA NETA PROY. TOTAL</t>
        </is>
      </c>
      <c r="K4" s="3" t="inlineStr">
        <is>
          <t>% Civil-Civil</t>
        </is>
      </c>
      <c r="L4" s="3" t="inlineStr">
        <is>
          <t>Caso Anexo 3</t>
        </is>
      </c>
      <c r="M4" s="3" t="inlineStr">
        <is>
          <t>A: Meta Civil-Civil</t>
        </is>
      </c>
      <c r="N4" s="3" t="inlineStr">
        <is>
          <t>B: Meta resto (77%)</t>
        </is>
      </c>
      <c r="O4" s="3" t="inlineStr">
        <is>
          <t>META ANUAL 2026 (A+B)</t>
        </is>
      </c>
      <c r="P4" s="3" t="inlineStr">
        <is>
          <t>Resueltos ene–set</t>
        </is>
      </c>
      <c r="Q4" s="3" t="inlineStr">
        <is>
          <t>% avance de meta</t>
        </is>
      </c>
      <c r="R4" s="3" t="inlineStr">
        <is>
          <t>Resueltos proyectados a dic.</t>
        </is>
      </c>
      <c r="S4" s="3" t="inlineStr">
        <is>
          <t>Brecha proyectada (proy. – meta)</t>
        </is>
      </c>
      <c r="T4" s="3" t="inlineStr">
        <is>
          <t>Faltan para meta</t>
        </is>
      </c>
      <c r="U4" s="3" t="inlineStr">
        <is>
          <t>Promedio mensual requerido oct–dic</t>
        </is>
      </c>
      <c r="V4" s="3" t="inlineStr">
        <is>
          <t>Situación</t>
        </is>
      </c>
    </row>
    <row r="5">
      <c r="A5" s="4" t="inlineStr">
        <is>
          <t>1º JUZGADO CIVIL</t>
        </is>
      </c>
      <c r="B5" s="5">
        <f>SUMIFS(Ingresos!$D$4:$D$53,Ingresos!$A$4:$A$53,$A5,Ingresos!$C$4:$C$53,"Civil-Civil")</f>
        <v/>
      </c>
      <c r="C5" s="5">
        <f>SUMIFS(Ingresos!$P$4:$P$53,Ingresos!$A$4:$A$53,$A5,Ingresos!$C$4:$C$53,"Civil-Civil")</f>
        <v/>
      </c>
      <c r="D5" s="6" t="n">
        <v>0</v>
      </c>
      <c r="E5" s="5">
        <f>B5+C5-D5</f>
        <v/>
      </c>
      <c r="F5" s="5">
        <f>SUMIFS(Ingresos!$D$4:$D$53,Ingresos!$A$4:$A$53,$A5,Ingresos!$C$4:$C$53,"Resto")</f>
        <v/>
      </c>
      <c r="G5" s="5">
        <f>SUMIFS(Ingresos!$P$4:$P$53,Ingresos!$A$4:$A$53,$A5,Ingresos!$C$4:$C$53,"Resto")</f>
        <v/>
      </c>
      <c r="H5" s="6" t="n">
        <v>0</v>
      </c>
      <c r="I5" s="5">
        <f>F5+G5-H5</f>
        <v/>
      </c>
      <c r="J5" s="5">
        <f>E5+I5</f>
        <v/>
      </c>
      <c r="K5" s="7">
        <f>IF(J5=0,0,E5/J5)</f>
        <v/>
      </c>
      <c r="L5" s="8">
        <f>IF(K5&gt;=Parametros!$B$4,"1 (≥75%)","2 (&lt;75%)")</f>
        <v/>
      </c>
      <c r="M5" s="5">
        <f>IF(K5&gt;=Parametros!$B$4,IF(E5&lt;Parametros!$B$6,ROUND(Parametros!$B$5*E5,0),Parametros!$B$7),IF(E5&lt;Parametros!$B$8,ROUND(Parametros!$B$5*E5,0),Parametros!$B$9))</f>
        <v/>
      </c>
      <c r="N5" s="5">
        <f>ROUND(Parametros!$B$5*I5,0)</f>
        <v/>
      </c>
      <c r="O5" s="9">
        <f>M5+N5</f>
        <v/>
      </c>
      <c r="P5" s="5">
        <f>SUMIFS(Resueltos!$L$4:$L$42,Resueltos!$A$4:$A$42,$A5)</f>
        <v/>
      </c>
      <c r="Q5" s="7">
        <f>IF(O5=0,0,P5/O5)</f>
        <v/>
      </c>
      <c r="R5" s="5">
        <f>P5*12/Parametros!$B$10</f>
        <v/>
      </c>
      <c r="S5" s="5">
        <f>R5-O5</f>
        <v/>
      </c>
      <c r="T5" s="5">
        <f>MAX(0,O5-P5)</f>
        <v/>
      </c>
      <c r="U5" s="5">
        <f>T5/(12-Parametros!$B$10)</f>
        <v/>
      </c>
      <c r="V5" s="8">
        <f>IF(P5&gt;=O5,"Meta cumplida",IF(R5&gt;=O5,"En ruta","Riesgo"))</f>
        <v/>
      </c>
    </row>
    <row r="6">
      <c r="A6" s="4" t="inlineStr">
        <is>
          <t>2º JUZGADO CIVIL</t>
        </is>
      </c>
      <c r="B6" s="5">
        <f>SUMIFS(Ingresos!$D$4:$D$53,Ingresos!$A$4:$A$53,$A6,Ingresos!$C$4:$C$53,"Civil-Civil")</f>
        <v/>
      </c>
      <c r="C6" s="5">
        <f>SUMIFS(Ingresos!$P$4:$P$53,Ingresos!$A$4:$A$53,$A6,Ingresos!$C$4:$C$53,"Civil-Civil")</f>
        <v/>
      </c>
      <c r="D6" s="6" t="n">
        <v>0</v>
      </c>
      <c r="E6" s="5">
        <f>B6+C6-D6</f>
        <v/>
      </c>
      <c r="F6" s="5">
        <f>SUMIFS(Ingresos!$D$4:$D$53,Ingresos!$A$4:$A$53,$A6,Ingresos!$C$4:$C$53,"Resto")</f>
        <v/>
      </c>
      <c r="G6" s="5">
        <f>SUMIFS(Ingresos!$P$4:$P$53,Ingresos!$A$4:$A$53,$A6,Ingresos!$C$4:$C$53,"Resto")</f>
        <v/>
      </c>
      <c r="H6" s="6" t="n">
        <v>0</v>
      </c>
      <c r="I6" s="5">
        <f>F6+G6-H6</f>
        <v/>
      </c>
      <c r="J6" s="5">
        <f>E6+I6</f>
        <v/>
      </c>
      <c r="K6" s="7">
        <f>IF(J6=0,0,E6/J6)</f>
        <v/>
      </c>
      <c r="L6" s="8">
        <f>IF(K6&gt;=Parametros!$B$4,"1 (≥75%)","2 (&lt;75%)")</f>
        <v/>
      </c>
      <c r="M6" s="5">
        <f>IF(K6&gt;=Parametros!$B$4,IF(E6&lt;Parametros!$B$6,ROUND(Parametros!$B$5*E6,0),Parametros!$B$7),IF(E6&lt;Parametros!$B$8,ROUND(Parametros!$B$5*E6,0),Parametros!$B$9))</f>
        <v/>
      </c>
      <c r="N6" s="5">
        <f>ROUND(Parametros!$B$5*I6,0)</f>
        <v/>
      </c>
      <c r="O6" s="9">
        <f>M6+N6</f>
        <v/>
      </c>
      <c r="P6" s="5">
        <f>SUMIFS(Resueltos!$L$4:$L$42,Resueltos!$A$4:$A$42,$A6)</f>
        <v/>
      </c>
      <c r="Q6" s="7">
        <f>IF(O6=0,0,P6/O6)</f>
        <v/>
      </c>
      <c r="R6" s="5">
        <f>P6*12/Parametros!$B$10</f>
        <v/>
      </c>
      <c r="S6" s="5">
        <f>R6-O6</f>
        <v/>
      </c>
      <c r="T6" s="5">
        <f>MAX(0,O6-P6)</f>
        <v/>
      </c>
      <c r="U6" s="5">
        <f>T6/(12-Parametros!$B$10)</f>
        <v/>
      </c>
      <c r="V6" s="8">
        <f>IF(P6&gt;=O6,"Meta cumplida",IF(R6&gt;=O6,"En ruta","Riesgo"))</f>
        <v/>
      </c>
    </row>
    <row r="7">
      <c r="A7" s="4" t="inlineStr">
        <is>
          <t>3º JUZGADO CIVIL</t>
        </is>
      </c>
      <c r="B7" s="5">
        <f>SUMIFS(Ingresos!$D$4:$D$53,Ingresos!$A$4:$A$53,$A7,Ingresos!$C$4:$C$53,"Civil-Civil")</f>
        <v/>
      </c>
      <c r="C7" s="5">
        <f>SUMIFS(Ingresos!$P$4:$P$53,Ingresos!$A$4:$A$53,$A7,Ingresos!$C$4:$C$53,"Civil-Civil")</f>
        <v/>
      </c>
      <c r="D7" s="6" t="n">
        <v>0</v>
      </c>
      <c r="E7" s="5">
        <f>B7+C7-D7</f>
        <v/>
      </c>
      <c r="F7" s="5">
        <f>SUMIFS(Ingresos!$D$4:$D$53,Ingresos!$A$4:$A$53,$A7,Ingresos!$C$4:$C$53,"Resto")</f>
        <v/>
      </c>
      <c r="G7" s="5">
        <f>SUMIFS(Ingresos!$P$4:$P$53,Ingresos!$A$4:$A$53,$A7,Ingresos!$C$4:$C$53,"Resto")</f>
        <v/>
      </c>
      <c r="H7" s="6" t="n">
        <v>0</v>
      </c>
      <c r="I7" s="5">
        <f>F7+G7-H7</f>
        <v/>
      </c>
      <c r="J7" s="5">
        <f>E7+I7</f>
        <v/>
      </c>
      <c r="K7" s="7">
        <f>IF(J7=0,0,E7/J7)</f>
        <v/>
      </c>
      <c r="L7" s="8">
        <f>IF(K7&gt;=Parametros!$B$4,"1 (≥75%)","2 (&lt;75%)")</f>
        <v/>
      </c>
      <c r="M7" s="5">
        <f>IF(K7&gt;=Parametros!$B$4,IF(E7&lt;Parametros!$B$6,ROUND(Parametros!$B$5*E7,0),Parametros!$B$7),IF(E7&lt;Parametros!$B$8,ROUND(Parametros!$B$5*E7,0),Parametros!$B$9))</f>
        <v/>
      </c>
      <c r="N7" s="5">
        <f>ROUND(Parametros!$B$5*I7,0)</f>
        <v/>
      </c>
      <c r="O7" s="9">
        <f>M7+N7</f>
        <v/>
      </c>
      <c r="P7" s="5">
        <f>SUMIFS(Resueltos!$L$4:$L$42,Resueltos!$A$4:$A$42,$A7)</f>
        <v/>
      </c>
      <c r="Q7" s="7">
        <f>IF(O7=0,0,P7/O7)</f>
        <v/>
      </c>
      <c r="R7" s="5">
        <f>P7*12/Parametros!$B$10</f>
        <v/>
      </c>
      <c r="S7" s="5">
        <f>R7-O7</f>
        <v/>
      </c>
      <c r="T7" s="5">
        <f>MAX(0,O7-P7)</f>
        <v/>
      </c>
      <c r="U7" s="5">
        <f>T7/(12-Parametros!$B$10)</f>
        <v/>
      </c>
      <c r="V7" s="8">
        <f>IF(P7&gt;=O7,"Meta cumplida",IF(R7&gt;=O7,"En ruta","Riesgo"))</f>
        <v/>
      </c>
    </row>
    <row r="8">
      <c r="A8" s="4" t="inlineStr">
        <is>
          <t>4º JUZGADO CIVIL</t>
        </is>
      </c>
      <c r="B8" s="5">
        <f>SUMIFS(Ingresos!$D$4:$D$53,Ingresos!$A$4:$A$53,$A8,Ingresos!$C$4:$C$53,"Civil-Civil")</f>
        <v/>
      </c>
      <c r="C8" s="5">
        <f>SUMIFS(Ingresos!$P$4:$P$53,Ingresos!$A$4:$A$53,$A8,Ingresos!$C$4:$C$53,"Civil-Civil")</f>
        <v/>
      </c>
      <c r="D8" s="6" t="n">
        <v>0</v>
      </c>
      <c r="E8" s="5">
        <f>B8+C8-D8</f>
        <v/>
      </c>
      <c r="F8" s="5">
        <f>SUMIFS(Ingresos!$D$4:$D$53,Ingresos!$A$4:$A$53,$A8,Ingresos!$C$4:$C$53,"Resto")</f>
        <v/>
      </c>
      <c r="G8" s="5">
        <f>SUMIFS(Ingresos!$P$4:$P$53,Ingresos!$A$4:$A$53,$A8,Ingresos!$C$4:$C$53,"Resto")</f>
        <v/>
      </c>
      <c r="H8" s="6" t="n">
        <v>0</v>
      </c>
      <c r="I8" s="5">
        <f>F8+G8-H8</f>
        <v/>
      </c>
      <c r="J8" s="5">
        <f>E8+I8</f>
        <v/>
      </c>
      <c r="K8" s="7">
        <f>IF(J8=0,0,E8/J8)</f>
        <v/>
      </c>
      <c r="L8" s="8">
        <f>IF(K8&gt;=Parametros!$B$4,"1 (≥75%)","2 (&lt;75%)")</f>
        <v/>
      </c>
      <c r="M8" s="5">
        <f>IF(K8&gt;=Parametros!$B$4,IF(E8&lt;Parametros!$B$6,ROUND(Parametros!$B$5*E8,0),Parametros!$B$7),IF(E8&lt;Parametros!$B$8,ROUND(Parametros!$B$5*E8,0),Parametros!$B$9))</f>
        <v/>
      </c>
      <c r="N8" s="5">
        <f>ROUND(Parametros!$B$5*I8,0)</f>
        <v/>
      </c>
      <c r="O8" s="9">
        <f>M8+N8</f>
        <v/>
      </c>
      <c r="P8" s="5">
        <f>SUMIFS(Resueltos!$L$4:$L$42,Resueltos!$A$4:$A$42,$A8)</f>
        <v/>
      </c>
      <c r="Q8" s="7">
        <f>IF(O8=0,0,P8/O8)</f>
        <v/>
      </c>
      <c r="R8" s="5">
        <f>P8*12/Parametros!$B$10</f>
        <v/>
      </c>
      <c r="S8" s="5">
        <f>R8-O8</f>
        <v/>
      </c>
      <c r="T8" s="5">
        <f>MAX(0,O8-P8)</f>
        <v/>
      </c>
      <c r="U8" s="5">
        <f>T8/(12-Parametros!$B$10)</f>
        <v/>
      </c>
      <c r="V8" s="8">
        <f>IF(P8&gt;=O8,"Meta cumplida",IF(R8&gt;=O8,"En ruta","Riesgo"))</f>
        <v/>
      </c>
    </row>
    <row r="9">
      <c r="A9" s="4" t="inlineStr">
        <is>
          <t>5º JUZGADO CIVIL</t>
        </is>
      </c>
      <c r="B9" s="5">
        <f>SUMIFS(Ingresos!$D$4:$D$53,Ingresos!$A$4:$A$53,$A9,Ingresos!$C$4:$C$53,"Civil-Civil")</f>
        <v/>
      </c>
      <c r="C9" s="5">
        <f>SUMIFS(Ingresos!$P$4:$P$53,Ingresos!$A$4:$A$53,$A9,Ingresos!$C$4:$C$53,"Civil-Civil")</f>
        <v/>
      </c>
      <c r="D9" s="6" t="n">
        <v>0</v>
      </c>
      <c r="E9" s="5">
        <f>B9+C9-D9</f>
        <v/>
      </c>
      <c r="F9" s="5">
        <f>SUMIFS(Ingresos!$D$4:$D$53,Ingresos!$A$4:$A$53,$A9,Ingresos!$C$4:$C$53,"Resto")</f>
        <v/>
      </c>
      <c r="G9" s="5">
        <f>SUMIFS(Ingresos!$P$4:$P$53,Ingresos!$A$4:$A$53,$A9,Ingresos!$C$4:$C$53,"Resto")</f>
        <v/>
      </c>
      <c r="H9" s="6" t="n">
        <v>0</v>
      </c>
      <c r="I9" s="5">
        <f>F9+G9-H9</f>
        <v/>
      </c>
      <c r="J9" s="5">
        <f>E9+I9</f>
        <v/>
      </c>
      <c r="K9" s="7">
        <f>IF(J9=0,0,E9/J9)</f>
        <v/>
      </c>
      <c r="L9" s="8">
        <f>IF(K9&gt;=Parametros!$B$4,"1 (≥75%)","2 (&lt;75%)")</f>
        <v/>
      </c>
      <c r="M9" s="5">
        <f>IF(K9&gt;=Parametros!$B$4,IF(E9&lt;Parametros!$B$6,ROUND(Parametros!$B$5*E9,0),Parametros!$B$7),IF(E9&lt;Parametros!$B$8,ROUND(Parametros!$B$5*E9,0),Parametros!$B$9))</f>
        <v/>
      </c>
      <c r="N9" s="5">
        <f>ROUND(Parametros!$B$5*I9,0)</f>
        <v/>
      </c>
      <c r="O9" s="9">
        <f>M9+N9</f>
        <v/>
      </c>
      <c r="P9" s="5">
        <f>SUMIFS(Resueltos!$L$4:$L$42,Resueltos!$A$4:$A$42,$A9)</f>
        <v/>
      </c>
      <c r="Q9" s="7">
        <f>IF(O9=0,0,P9/O9)</f>
        <v/>
      </c>
      <c r="R9" s="5">
        <f>P9*12/Parametros!$B$10</f>
        <v/>
      </c>
      <c r="S9" s="5">
        <f>R9-O9</f>
        <v/>
      </c>
      <c r="T9" s="5">
        <f>MAX(0,O9-P9)</f>
        <v/>
      </c>
      <c r="U9" s="5">
        <f>T9/(12-Parametros!$B$10)</f>
        <v/>
      </c>
      <c r="V9" s="8">
        <f>IF(P9&gt;=O9,"Meta cumplida",IF(R9&gt;=O9,"En ruta","Riesgo"))</f>
        <v/>
      </c>
    </row>
    <row r="10">
      <c r="A10" s="4" t="inlineStr">
        <is>
          <t>6º JUZGADO CIVIL</t>
        </is>
      </c>
      <c r="B10" s="5">
        <f>SUMIFS(Ingresos!$D$4:$D$53,Ingresos!$A$4:$A$53,$A10,Ingresos!$C$4:$C$53,"Civil-Civil")</f>
        <v/>
      </c>
      <c r="C10" s="5">
        <f>SUMIFS(Ingresos!$P$4:$P$53,Ingresos!$A$4:$A$53,$A10,Ingresos!$C$4:$C$53,"Civil-Civil")</f>
        <v/>
      </c>
      <c r="D10" s="6" t="n">
        <v>0</v>
      </c>
      <c r="E10" s="5">
        <f>B10+C10-D10</f>
        <v/>
      </c>
      <c r="F10" s="5">
        <f>SUMIFS(Ingresos!$D$4:$D$53,Ingresos!$A$4:$A$53,$A10,Ingresos!$C$4:$C$53,"Resto")</f>
        <v/>
      </c>
      <c r="G10" s="5">
        <f>SUMIFS(Ingresos!$P$4:$P$53,Ingresos!$A$4:$A$53,$A10,Ingresos!$C$4:$C$53,"Resto")</f>
        <v/>
      </c>
      <c r="H10" s="6" t="n">
        <v>0</v>
      </c>
      <c r="I10" s="5">
        <f>F10+G10-H10</f>
        <v/>
      </c>
      <c r="J10" s="5">
        <f>E10+I10</f>
        <v/>
      </c>
      <c r="K10" s="7">
        <f>IF(J10=0,0,E10/J10)</f>
        <v/>
      </c>
      <c r="L10" s="8">
        <f>IF(K10&gt;=Parametros!$B$4,"1 (≥75%)","2 (&lt;75%)")</f>
        <v/>
      </c>
      <c r="M10" s="5">
        <f>IF(K10&gt;=Parametros!$B$4,IF(E10&lt;Parametros!$B$6,ROUND(Parametros!$B$5*E10,0),Parametros!$B$7),IF(E10&lt;Parametros!$B$8,ROUND(Parametros!$B$5*E10,0),Parametros!$B$9))</f>
        <v/>
      </c>
      <c r="N10" s="5">
        <f>ROUND(Parametros!$B$5*I10,0)</f>
        <v/>
      </c>
      <c r="O10" s="9">
        <f>M10+N10</f>
        <v/>
      </c>
      <c r="P10" s="5">
        <f>SUMIFS(Resueltos!$L$4:$L$42,Resueltos!$A$4:$A$42,$A10)</f>
        <v/>
      </c>
      <c r="Q10" s="7">
        <f>IF(O10=0,0,P10/O10)</f>
        <v/>
      </c>
      <c r="R10" s="5">
        <f>P10*12/Parametros!$B$10</f>
        <v/>
      </c>
      <c r="S10" s="5">
        <f>R10-O10</f>
        <v/>
      </c>
      <c r="T10" s="5">
        <f>MAX(0,O10-P10)</f>
        <v/>
      </c>
      <c r="U10" s="5">
        <f>T10/(12-Parametros!$B$10)</f>
        <v/>
      </c>
      <c r="V10" s="8">
        <f>IF(P10&gt;=O10,"Meta cumplida",IF(R10&gt;=O10,"En ruta","Riesgo"))</f>
        <v/>
      </c>
    </row>
    <row r="11">
      <c r="A11" s="4" t="inlineStr">
        <is>
          <t>7º JUZGADO CIVIL</t>
        </is>
      </c>
      <c r="B11" s="5">
        <f>SUMIFS(Ingresos!$D$4:$D$53,Ingresos!$A$4:$A$53,$A11,Ingresos!$C$4:$C$53,"Civil-Civil")</f>
        <v/>
      </c>
      <c r="C11" s="5">
        <f>SUMIFS(Ingresos!$P$4:$P$53,Ingresos!$A$4:$A$53,$A11,Ingresos!$C$4:$C$53,"Civil-Civil")</f>
        <v/>
      </c>
      <c r="D11" s="6" t="n">
        <v>0</v>
      </c>
      <c r="E11" s="5">
        <f>B11+C11-D11</f>
        <v/>
      </c>
      <c r="F11" s="5">
        <f>SUMIFS(Ingresos!$D$4:$D$53,Ingresos!$A$4:$A$53,$A11,Ingresos!$C$4:$C$53,"Resto")</f>
        <v/>
      </c>
      <c r="G11" s="5">
        <f>SUMIFS(Ingresos!$P$4:$P$53,Ingresos!$A$4:$A$53,$A11,Ingresos!$C$4:$C$53,"Resto")</f>
        <v/>
      </c>
      <c r="H11" s="6" t="n">
        <v>0</v>
      </c>
      <c r="I11" s="5">
        <f>F11+G11-H11</f>
        <v/>
      </c>
      <c r="J11" s="5">
        <f>E11+I11</f>
        <v/>
      </c>
      <c r="K11" s="7">
        <f>IF(J11=0,0,E11/J11)</f>
        <v/>
      </c>
      <c r="L11" s="8">
        <f>IF(K11&gt;=Parametros!$B$4,"1 (≥75%)","2 (&lt;75%)")</f>
        <v/>
      </c>
      <c r="M11" s="5">
        <f>IF(K11&gt;=Parametros!$B$4,IF(E11&lt;Parametros!$B$6,ROUND(Parametros!$B$5*E11,0),Parametros!$B$7),IF(E11&lt;Parametros!$B$8,ROUND(Parametros!$B$5*E11,0),Parametros!$B$9))</f>
        <v/>
      </c>
      <c r="N11" s="5">
        <f>ROUND(Parametros!$B$5*I11,0)</f>
        <v/>
      </c>
      <c r="O11" s="9">
        <f>M11+N11</f>
        <v/>
      </c>
      <c r="P11" s="5">
        <f>SUMIFS(Resueltos!$L$4:$L$42,Resueltos!$A$4:$A$42,$A11)</f>
        <v/>
      </c>
      <c r="Q11" s="7">
        <f>IF(O11=0,0,P11/O11)</f>
        <v/>
      </c>
      <c r="R11" s="5">
        <f>P11*12/Parametros!$B$10</f>
        <v/>
      </c>
      <c r="S11" s="5">
        <f>R11-O11</f>
        <v/>
      </c>
      <c r="T11" s="5">
        <f>MAX(0,O11-P11)</f>
        <v/>
      </c>
      <c r="U11" s="5">
        <f>T11/(12-Parametros!$B$10)</f>
        <v/>
      </c>
      <c r="V11" s="8">
        <f>IF(P11&gt;=O11,"Meta cumplida",IF(R11&gt;=O11,"En ruta","Riesgo"))</f>
        <v/>
      </c>
    </row>
    <row r="12">
      <c r="A12" s="4" t="inlineStr">
        <is>
          <t>8º JUZGADO CIVIL</t>
        </is>
      </c>
      <c r="B12" s="5">
        <f>SUMIFS(Ingresos!$D$4:$D$53,Ingresos!$A$4:$A$53,$A12,Ingresos!$C$4:$C$53,"Civil-Civil")</f>
        <v/>
      </c>
      <c r="C12" s="5">
        <f>SUMIFS(Ingresos!$P$4:$P$53,Ingresos!$A$4:$A$53,$A12,Ingresos!$C$4:$C$53,"Civil-Civil")</f>
        <v/>
      </c>
      <c r="D12" s="6" t="n">
        <v>0</v>
      </c>
      <c r="E12" s="5">
        <f>B12+C12-D12</f>
        <v/>
      </c>
      <c r="F12" s="5">
        <f>SUMIFS(Ingresos!$D$4:$D$53,Ingresos!$A$4:$A$53,$A12,Ingresos!$C$4:$C$53,"Resto")</f>
        <v/>
      </c>
      <c r="G12" s="5">
        <f>SUMIFS(Ingresos!$P$4:$P$53,Ingresos!$A$4:$A$53,$A12,Ingresos!$C$4:$C$53,"Resto")</f>
        <v/>
      </c>
      <c r="H12" s="6" t="n">
        <v>0</v>
      </c>
      <c r="I12" s="5">
        <f>F12+G12-H12</f>
        <v/>
      </c>
      <c r="J12" s="5">
        <f>E12+I12</f>
        <v/>
      </c>
      <c r="K12" s="7">
        <f>IF(J12=0,0,E12/J12)</f>
        <v/>
      </c>
      <c r="L12" s="8">
        <f>IF(K12&gt;=Parametros!$B$4,"1 (≥75%)","2 (&lt;75%)")</f>
        <v/>
      </c>
      <c r="M12" s="5">
        <f>IF(K12&gt;=Parametros!$B$4,IF(E12&lt;Parametros!$B$6,ROUND(Parametros!$B$5*E12,0),Parametros!$B$7),IF(E12&lt;Parametros!$B$8,ROUND(Parametros!$B$5*E12,0),Parametros!$B$9))</f>
        <v/>
      </c>
      <c r="N12" s="5">
        <f>ROUND(Parametros!$B$5*I12,0)</f>
        <v/>
      </c>
      <c r="O12" s="9">
        <f>M12+N12</f>
        <v/>
      </c>
      <c r="P12" s="5">
        <f>SUMIFS(Resueltos!$L$4:$L$42,Resueltos!$A$4:$A$42,$A12)</f>
        <v/>
      </c>
      <c r="Q12" s="7">
        <f>IF(O12=0,0,P12/O12)</f>
        <v/>
      </c>
      <c r="R12" s="5">
        <f>P12*12/Parametros!$B$10</f>
        <v/>
      </c>
      <c r="S12" s="5">
        <f>R12-O12</f>
        <v/>
      </c>
      <c r="T12" s="5">
        <f>MAX(0,O12-P12)</f>
        <v/>
      </c>
      <c r="U12" s="5">
        <f>T12/(12-Parametros!$B$10)</f>
        <v/>
      </c>
      <c r="V12" s="8">
        <f>IF(P12&gt;=O12,"Meta cumplida",IF(R12&gt;=O12,"En ruta","Riesgo"))</f>
        <v/>
      </c>
    </row>
    <row r="13">
      <c r="A13" s="4" t="inlineStr">
        <is>
          <t>9º JUZGADO CIVIL</t>
        </is>
      </c>
      <c r="B13" s="5">
        <f>SUMIFS(Ingresos!$D$4:$D$53,Ingresos!$A$4:$A$53,$A13,Ingresos!$C$4:$C$53,"Civil-Civil")</f>
        <v/>
      </c>
      <c r="C13" s="5">
        <f>SUMIFS(Ingresos!$P$4:$P$53,Ingresos!$A$4:$A$53,$A13,Ingresos!$C$4:$C$53,"Civil-Civil")</f>
        <v/>
      </c>
      <c r="D13" s="6" t="n">
        <v>0</v>
      </c>
      <c r="E13" s="5">
        <f>B13+C13-D13</f>
        <v/>
      </c>
      <c r="F13" s="5">
        <f>SUMIFS(Ingresos!$D$4:$D$53,Ingresos!$A$4:$A$53,$A13,Ingresos!$C$4:$C$53,"Resto")</f>
        <v/>
      </c>
      <c r="G13" s="5">
        <f>SUMIFS(Ingresos!$P$4:$P$53,Ingresos!$A$4:$A$53,$A13,Ingresos!$C$4:$C$53,"Resto")</f>
        <v/>
      </c>
      <c r="H13" s="6" t="n">
        <v>0</v>
      </c>
      <c r="I13" s="5">
        <f>F13+G13-H13</f>
        <v/>
      </c>
      <c r="J13" s="5">
        <f>E13+I13</f>
        <v/>
      </c>
      <c r="K13" s="7">
        <f>IF(J13=0,0,E13/J13)</f>
        <v/>
      </c>
      <c r="L13" s="8">
        <f>IF(K13&gt;=Parametros!$B$4,"1 (≥75%)","2 (&lt;75%)")</f>
        <v/>
      </c>
      <c r="M13" s="5">
        <f>IF(K13&gt;=Parametros!$B$4,IF(E13&lt;Parametros!$B$6,ROUND(Parametros!$B$5*E13,0),Parametros!$B$7),IF(E13&lt;Parametros!$B$8,ROUND(Parametros!$B$5*E13,0),Parametros!$B$9))</f>
        <v/>
      </c>
      <c r="N13" s="5">
        <f>ROUND(Parametros!$B$5*I13,0)</f>
        <v/>
      </c>
      <c r="O13" s="9">
        <f>M13+N13</f>
        <v/>
      </c>
      <c r="P13" s="5">
        <f>SUMIFS(Resueltos!$L$4:$L$42,Resueltos!$A$4:$A$42,$A13)</f>
        <v/>
      </c>
      <c r="Q13" s="7">
        <f>IF(O13=0,0,P13/O13)</f>
        <v/>
      </c>
      <c r="R13" s="5">
        <f>P13*12/Parametros!$B$10</f>
        <v/>
      </c>
      <c r="S13" s="5">
        <f>R13-O13</f>
        <v/>
      </c>
      <c r="T13" s="5">
        <f>MAX(0,O13-P13)</f>
        <v/>
      </c>
      <c r="U13" s="5">
        <f>T13/(12-Parametros!$B$10)</f>
        <v/>
      </c>
      <c r="V13" s="8">
        <f>IF(P13&gt;=O13,"Meta cumplida",IF(R13&gt;=O13,"En ruta","Riesgo"))</f>
        <v/>
      </c>
    </row>
    <row r="14">
      <c r="A14" s="4" t="inlineStr">
        <is>
          <t>10º JUZGADO CIVIL</t>
        </is>
      </c>
      <c r="B14" s="5">
        <f>SUMIFS(Ingresos!$D$4:$D$53,Ingresos!$A$4:$A$53,$A14,Ingresos!$C$4:$C$53,"Civil-Civil")</f>
        <v/>
      </c>
      <c r="C14" s="5">
        <f>SUMIFS(Ingresos!$P$4:$P$53,Ingresos!$A$4:$A$53,$A14,Ingresos!$C$4:$C$53,"Civil-Civil")</f>
        <v/>
      </c>
      <c r="D14" s="6" t="n">
        <v>0</v>
      </c>
      <c r="E14" s="5">
        <f>B14+C14-D14</f>
        <v/>
      </c>
      <c r="F14" s="5">
        <f>SUMIFS(Ingresos!$D$4:$D$53,Ingresos!$A$4:$A$53,$A14,Ingresos!$C$4:$C$53,"Resto")</f>
        <v/>
      </c>
      <c r="G14" s="5">
        <f>SUMIFS(Ingresos!$P$4:$P$53,Ingresos!$A$4:$A$53,$A14,Ingresos!$C$4:$C$53,"Resto")</f>
        <v/>
      </c>
      <c r="H14" s="6" t="n">
        <v>0</v>
      </c>
      <c r="I14" s="5">
        <f>F14+G14-H14</f>
        <v/>
      </c>
      <c r="J14" s="5">
        <f>E14+I14</f>
        <v/>
      </c>
      <c r="K14" s="7">
        <f>IF(J14=0,0,E14/J14)</f>
        <v/>
      </c>
      <c r="L14" s="8">
        <f>IF(K14&gt;=Parametros!$B$4,"1 (≥75%)","2 (&lt;75%)")</f>
        <v/>
      </c>
      <c r="M14" s="5">
        <f>IF(K14&gt;=Parametros!$B$4,IF(E14&lt;Parametros!$B$6,ROUND(Parametros!$B$5*E14,0),Parametros!$B$7),IF(E14&lt;Parametros!$B$8,ROUND(Parametros!$B$5*E14,0),Parametros!$B$9))</f>
        <v/>
      </c>
      <c r="N14" s="5">
        <f>ROUND(Parametros!$B$5*I14,0)</f>
        <v/>
      </c>
      <c r="O14" s="9">
        <f>M14+N14</f>
        <v/>
      </c>
      <c r="P14" s="5">
        <f>SUMIFS(Resueltos!$L$4:$L$42,Resueltos!$A$4:$A$42,$A14)</f>
        <v/>
      </c>
      <c r="Q14" s="7">
        <f>IF(O14=0,0,P14/O14)</f>
        <v/>
      </c>
      <c r="R14" s="5">
        <f>P14*12/Parametros!$B$10</f>
        <v/>
      </c>
      <c r="S14" s="5">
        <f>R14-O14</f>
        <v/>
      </c>
      <c r="T14" s="5">
        <f>MAX(0,O14-P14)</f>
        <v/>
      </c>
      <c r="U14" s="5">
        <f>T14/(12-Parametros!$B$10)</f>
        <v/>
      </c>
      <c r="V14" s="8">
        <f>IF(P14&gt;=O14,"Meta cumplida",IF(R14&gt;=O14,"En ruta","Riesgo"))</f>
        <v/>
      </c>
    </row>
    <row r="15">
      <c r="A15" s="4" t="inlineStr">
        <is>
          <t>11° JUZGADO CIVIL</t>
        </is>
      </c>
      <c r="B15" s="5">
        <f>SUMIFS(Ingresos!$D$4:$D$53,Ingresos!$A$4:$A$53,$A15,Ingresos!$C$4:$C$53,"Civil-Civil")</f>
        <v/>
      </c>
      <c r="C15" s="5">
        <f>SUMIFS(Ingresos!$P$4:$P$53,Ingresos!$A$4:$A$53,$A15,Ingresos!$C$4:$C$53,"Civil-Civil")</f>
        <v/>
      </c>
      <c r="D15" s="6" t="n">
        <v>0</v>
      </c>
      <c r="E15" s="5">
        <f>B15+C15-D15</f>
        <v/>
      </c>
      <c r="F15" s="5">
        <f>SUMIFS(Ingresos!$D$4:$D$53,Ingresos!$A$4:$A$53,$A15,Ingresos!$C$4:$C$53,"Resto")</f>
        <v/>
      </c>
      <c r="G15" s="5">
        <f>SUMIFS(Ingresos!$P$4:$P$53,Ingresos!$A$4:$A$53,$A15,Ingresos!$C$4:$C$53,"Resto")</f>
        <v/>
      </c>
      <c r="H15" s="6" t="n">
        <v>0</v>
      </c>
      <c r="I15" s="5">
        <f>F15+G15-H15</f>
        <v/>
      </c>
      <c r="J15" s="5">
        <f>E15+I15</f>
        <v/>
      </c>
      <c r="K15" s="7">
        <f>IF(J15=0,0,E15/J15)</f>
        <v/>
      </c>
      <c r="L15" s="8">
        <f>IF(K15&gt;=Parametros!$B$4,"1 (≥75%)","2 (&lt;75%)")</f>
        <v/>
      </c>
      <c r="M15" s="5">
        <f>IF(K15&gt;=Parametros!$B$4,IF(E15&lt;Parametros!$B$6,ROUND(Parametros!$B$5*E15,0),Parametros!$B$7),IF(E15&lt;Parametros!$B$8,ROUND(Parametros!$B$5*E15,0),Parametros!$B$9))</f>
        <v/>
      </c>
      <c r="N15" s="5">
        <f>ROUND(Parametros!$B$5*I15,0)</f>
        <v/>
      </c>
      <c r="O15" s="9">
        <f>M15+N15</f>
        <v/>
      </c>
      <c r="P15" s="5">
        <f>SUMIFS(Resueltos!$L$4:$L$42,Resueltos!$A$4:$A$42,$A15)</f>
        <v/>
      </c>
      <c r="Q15" s="7">
        <f>IF(O15=0,0,P15/O15)</f>
        <v/>
      </c>
      <c r="R15" s="5">
        <f>P15*12/Parametros!$B$10</f>
        <v/>
      </c>
      <c r="S15" s="5">
        <f>R15-O15</f>
        <v/>
      </c>
      <c r="T15" s="5">
        <f>MAX(0,O15-P15)</f>
        <v/>
      </c>
      <c r="U15" s="5">
        <f>T15/(12-Parametros!$B$10)</f>
        <v/>
      </c>
      <c r="V15" s="8">
        <f>IF(P15&gt;=O15,"Meta cumplida",IF(R15&gt;=O15,"En ruta","Riesgo"))</f>
        <v/>
      </c>
    </row>
    <row r="16">
      <c r="A16" s="4" t="inlineStr">
        <is>
          <t>1° JUZGADO CIVIL TRANSITORIO</t>
        </is>
      </c>
      <c r="B16" s="5">
        <f>SUMIFS(Ingresos!$D$4:$D$53,Ingresos!$A$4:$A$53,$A16,Ingresos!$C$4:$C$53,"Civil-Civil")</f>
        <v/>
      </c>
      <c r="C16" s="5">
        <f>SUMIFS(Ingresos!$P$4:$P$53,Ingresos!$A$4:$A$53,$A16,Ingresos!$C$4:$C$53,"Civil-Civil")</f>
        <v/>
      </c>
      <c r="D16" s="6" t="n">
        <v>0</v>
      </c>
      <c r="E16" s="5">
        <f>B16+C16-D16</f>
        <v/>
      </c>
      <c r="F16" s="5">
        <f>SUMIFS(Ingresos!$D$4:$D$53,Ingresos!$A$4:$A$53,$A16,Ingresos!$C$4:$C$53,"Resto")</f>
        <v/>
      </c>
      <c r="G16" s="5">
        <f>SUMIFS(Ingresos!$P$4:$P$53,Ingresos!$A$4:$A$53,$A16,Ingresos!$C$4:$C$53,"Resto")</f>
        <v/>
      </c>
      <c r="H16" s="6" t="n">
        <v>0</v>
      </c>
      <c r="I16" s="5">
        <f>F16+G16-H16</f>
        <v/>
      </c>
      <c r="J16" s="5">
        <f>E16+I16</f>
        <v/>
      </c>
      <c r="K16" s="7">
        <f>IF(J16=0,0,E16/J16)</f>
        <v/>
      </c>
      <c r="L16" s="8">
        <f>IF(K16&gt;=Parametros!$B$4,"1 (≥75%)","2 (&lt;75%)")</f>
        <v/>
      </c>
      <c r="M16" s="5">
        <f>IF(K16&gt;=Parametros!$B$4,IF(E16&lt;Parametros!$B$6,ROUND(Parametros!$B$5*E16,0),Parametros!$B$7),IF(E16&lt;Parametros!$B$8,ROUND(Parametros!$B$5*E16,0),Parametros!$B$9))</f>
        <v/>
      </c>
      <c r="N16" s="5">
        <f>ROUND(Parametros!$B$5*I16,0)</f>
        <v/>
      </c>
      <c r="O16" s="9">
        <f>M16+N16</f>
        <v/>
      </c>
      <c r="P16" s="5">
        <f>SUMIFS(Resueltos!$L$4:$L$42,Resueltos!$A$4:$A$42,$A16)</f>
        <v/>
      </c>
      <c r="Q16" s="7">
        <f>IF(O16=0,0,P16/O16)</f>
        <v/>
      </c>
      <c r="R16" s="5">
        <f>P16*12/Parametros!$B$10</f>
        <v/>
      </c>
      <c r="S16" s="5">
        <f>R16-O16</f>
        <v/>
      </c>
      <c r="T16" s="5">
        <f>MAX(0,O16-P16)</f>
        <v/>
      </c>
      <c r="U16" s="5">
        <f>T16/(12-Parametros!$B$10)</f>
        <v/>
      </c>
      <c r="V16" s="8">
        <f>IF(P16&gt;=O16,"Meta cumplida",IF(R16&gt;=O16,"En ruta","Riesgo"))</f>
        <v/>
      </c>
    </row>
    <row r="17">
      <c r="A17" s="4" t="inlineStr">
        <is>
          <t>2° JUZGADO CIVIL TRANSITORIO</t>
        </is>
      </c>
      <c r="B17" s="5">
        <f>SUMIFS(Ingresos!$D$4:$D$53,Ingresos!$A$4:$A$53,$A17,Ingresos!$C$4:$C$53,"Civil-Civil")</f>
        <v/>
      </c>
      <c r="C17" s="5">
        <f>SUMIFS(Ingresos!$P$4:$P$53,Ingresos!$A$4:$A$53,$A17,Ingresos!$C$4:$C$53,"Civil-Civil")</f>
        <v/>
      </c>
      <c r="D17" s="6" t="n">
        <v>0</v>
      </c>
      <c r="E17" s="5">
        <f>B17+C17-D17</f>
        <v/>
      </c>
      <c r="F17" s="5">
        <f>SUMIFS(Ingresos!$D$4:$D$53,Ingresos!$A$4:$A$53,$A17,Ingresos!$C$4:$C$53,"Resto")</f>
        <v/>
      </c>
      <c r="G17" s="5">
        <f>SUMIFS(Ingresos!$P$4:$P$53,Ingresos!$A$4:$A$53,$A17,Ingresos!$C$4:$C$53,"Resto")</f>
        <v/>
      </c>
      <c r="H17" s="6" t="n">
        <v>0</v>
      </c>
      <c r="I17" s="5">
        <f>F17+G17-H17</f>
        <v/>
      </c>
      <c r="J17" s="5">
        <f>E17+I17</f>
        <v/>
      </c>
      <c r="K17" s="7">
        <f>IF(J17=0,0,E17/J17)</f>
        <v/>
      </c>
      <c r="L17" s="8">
        <f>IF(K17&gt;=Parametros!$B$4,"1 (≥75%)","2 (&lt;75%)")</f>
        <v/>
      </c>
      <c r="M17" s="5">
        <f>IF(K17&gt;=Parametros!$B$4,IF(E17&lt;Parametros!$B$6,ROUND(Parametros!$B$5*E17,0),Parametros!$B$7),IF(E17&lt;Parametros!$B$8,ROUND(Parametros!$B$5*E17,0),Parametros!$B$9))</f>
        <v/>
      </c>
      <c r="N17" s="5">
        <f>ROUND(Parametros!$B$5*I17,0)</f>
        <v/>
      </c>
      <c r="O17" s="9">
        <f>M17+N17</f>
        <v/>
      </c>
      <c r="P17" s="5">
        <f>SUMIFS(Resueltos!$L$4:$L$42,Resueltos!$A$4:$A$42,$A17)</f>
        <v/>
      </c>
      <c r="Q17" s="7">
        <f>IF(O17=0,0,P17/O17)</f>
        <v/>
      </c>
      <c r="R17" s="5">
        <f>P17*12/Parametros!$B$10</f>
        <v/>
      </c>
      <c r="S17" s="5">
        <f>R17-O17</f>
        <v/>
      </c>
      <c r="T17" s="5">
        <f>MAX(0,O17-P17)</f>
        <v/>
      </c>
      <c r="U17" s="5">
        <f>T17/(12-Parametros!$B$10)</f>
        <v/>
      </c>
      <c r="V17" s="8">
        <f>IF(P17&gt;=O17,"Meta cumplida",IF(R17&gt;=O17,"En ruta","Riesgo"))</f>
        <v/>
      </c>
    </row>
    <row r="18">
      <c r="A18" s="10" t="inlineStr">
        <is>
          <t>TOTAL</t>
        </is>
      </c>
      <c r="B18" s="11">
        <f>SUM(B5:B17)</f>
        <v/>
      </c>
      <c r="C18" s="11">
        <f>SUM(C5:C17)</f>
        <v/>
      </c>
      <c r="D18" s="11">
        <f>SUM(D5:D17)</f>
        <v/>
      </c>
      <c r="E18" s="11">
        <f>SUM(E5:E17)</f>
        <v/>
      </c>
      <c r="F18" s="11">
        <f>SUM(F5:F17)</f>
        <v/>
      </c>
      <c r="G18" s="11">
        <f>SUM(G5:G17)</f>
        <v/>
      </c>
      <c r="H18" s="11">
        <f>SUM(H5:H17)</f>
        <v/>
      </c>
      <c r="I18" s="11">
        <f>SUM(I5:I17)</f>
        <v/>
      </c>
      <c r="J18" s="11">
        <f>SUM(J5:J17)</f>
        <v/>
      </c>
      <c r="K18" s="12">
        <f>E18/J18</f>
        <v/>
      </c>
      <c r="L18" s="13" t="n"/>
      <c r="M18" s="11">
        <f>SUM(M5:M17)</f>
        <v/>
      </c>
      <c r="N18" s="11">
        <f>SUM(N5:N17)</f>
        <v/>
      </c>
      <c r="O18" s="11">
        <f>SUM(O5:O17)</f>
        <v/>
      </c>
      <c r="P18" s="11">
        <f>SUM(P5:P17)</f>
        <v/>
      </c>
      <c r="Q18" s="12">
        <f>P18/O18</f>
        <v/>
      </c>
      <c r="R18" s="11">
        <f>SUM(R5:R17)</f>
        <v/>
      </c>
      <c r="S18" s="11">
        <f>SUM(S5:S17)</f>
        <v/>
      </c>
      <c r="T18" s="11">
        <f>SUM(T5:T17)</f>
        <v/>
      </c>
      <c r="U18" s="11">
        <f>SUM(U5:U17)</f>
        <v/>
      </c>
      <c r="V18" s="13" t="n"/>
    </row>
    <row r="20" ht="15" customHeight="1">
      <c r="A20" s="14" t="inlineStr">
        <is>
          <t>NOTAS</t>
        </is>
      </c>
    </row>
    <row r="21" ht="28" customHeight="1">
      <c r="A21" s="15" t="inlineStr">
        <is>
          <t>1. Carga neta proyectada = pendientes al cierre 2025 + ingresos 2026 proyectados a diciembre – expedientes redistribuidos (R.A. 090-2025-CE-PJ, Anexo 3, nota).</t>
        </is>
      </c>
    </row>
    <row r="22" ht="28" customHeight="1">
      <c r="A22" s="15" t="inlineStr">
        <is>
          <t>2. Caso 1 (Civil-Civil ≥ 75% de la carga total): A = 77% de la carga Civil-Civil si es &lt; 455; si es ≥ 455, A = 350. Caso 2 (&lt; 75%): límite 390, meta fija 300. B = 77% de la carga de las demás subespecialidades (comercial, contencioso, constitucional, familia civil, etc.).</t>
        </is>
      </c>
    </row>
    <row r="23" ht="28" customHeight="1">
      <c r="A23" s="15" t="inlineStr">
        <is>
          <t>3. Es la META PRELIMINAR (con carga proyectada). La META FINAL se recalcula con la carga neta real al cierre del año judicial que remite la Subgerencia de Estadística.</t>
        </is>
      </c>
    </row>
    <row r="24" ht="28" customHeight="1">
      <c r="A24" s="15" t="inlineStr">
        <is>
          <t>4. Los juzgados 11° Civil y 1° Civil Transitorio registran solo 1 resuelto en ene–set: verificar si iniciaron funciones en 2026 o si su producción está registrada en otro órgano; su meta debe prorratearse según los meses efectivos de funcionamiento.</t>
        </is>
      </c>
    </row>
    <row r="25" ht="28" customHeight="1">
      <c r="A25" s="15" t="inlineStr">
        <is>
          <t>5. Los "resueltos proyectados" suponen el mismo ritmo mensual promedio de ene–set (incluye febrero, mes de vacaciones).</t>
        </is>
      </c>
    </row>
  </sheetData>
  <mergeCells count="6">
    <mergeCell ref="A23:V23"/>
    <mergeCell ref="A22:V22"/>
    <mergeCell ref="A21:V21"/>
    <mergeCell ref="A25:V25"/>
    <mergeCell ref="A20:V20"/>
    <mergeCell ref="A24:V24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70" customWidth="1" min="1" max="1"/>
    <col width="12" customWidth="1" min="2" max="2"/>
    <col width="60" customWidth="1" min="3" max="3"/>
  </cols>
  <sheetData>
    <row r="1">
      <c r="A1" s="16" t="inlineStr">
        <is>
          <t>PARÁMETROS DE CÁLCULO – META ANUAL 2026 (R.A. 090-2025-CE-PJ, Anexos 1 y 3)</t>
        </is>
      </c>
    </row>
    <row r="2" ht="20" customHeight="1">
      <c r="A2" s="3" t="inlineStr">
        <is>
          <t>Parámetro</t>
        </is>
      </c>
      <c r="B2" s="3" t="inlineStr">
        <is>
          <t>Valor</t>
        </is>
      </c>
      <c r="C2" s="3" t="inlineStr">
        <is>
          <t>Fuente</t>
        </is>
      </c>
    </row>
    <row r="3">
      <c r="A3" s="17" t="inlineStr">
        <is>
          <t>Estándar anual – Juzgado Civil Mixto (sin Violencia Familiar Ley 30364), Zona A</t>
        </is>
      </c>
      <c r="B3" s="18" t="n">
        <v>600</v>
      </c>
      <c r="C3" s="19" t="inlineStr">
        <is>
          <t>R.A. 090-2025-CE-PJ, Anexo 1 (Juzgados Especializados o Mixtos, Civil)</t>
        </is>
      </c>
    </row>
    <row r="4">
      <c r="A4" s="17" t="inlineStr">
        <is>
          <t>Umbral de participación Civil-Civil sobre la carga total en trámite</t>
        </is>
      </c>
      <c r="B4" s="20" t="n">
        <v>0.75</v>
      </c>
      <c r="C4" s="19" t="inlineStr">
        <is>
          <t>R.A. 090-2025-CE-PJ, Anexo 3</t>
        </is>
      </c>
    </row>
    <row r="5">
      <c r="A5" s="17" t="inlineStr">
        <is>
          <t>Factor (77% de la carga procesal neta proyectada)</t>
        </is>
      </c>
      <c r="B5" s="20" t="n">
        <v>0.77</v>
      </c>
      <c r="C5" s="19" t="inlineStr">
        <is>
          <t>R.A. 090-2025-CE-PJ, Anexo 3 y art. 4</t>
        </is>
      </c>
    </row>
    <row r="6">
      <c r="A6" s="17" t="inlineStr">
        <is>
          <t>Caso 1 (Civil-Civil ≥ 75%): límite de carga Civil-Civil</t>
        </is>
      </c>
      <c r="B6" s="18" t="n">
        <v>455</v>
      </c>
      <c r="C6" s="19" t="inlineStr">
        <is>
          <t>Anexo 3, cuadro 1</t>
        </is>
      </c>
    </row>
    <row r="7">
      <c r="A7" s="17" t="inlineStr">
        <is>
          <t>Caso 1: meta fija Civil-Civil si carga ≥ límite</t>
        </is>
      </c>
      <c r="B7" s="18" t="n">
        <v>350</v>
      </c>
      <c r="C7" s="19" t="inlineStr">
        <is>
          <t>Anexo 3, cuadro 1</t>
        </is>
      </c>
    </row>
    <row r="8">
      <c r="A8" s="17" t="inlineStr">
        <is>
          <t>Caso 2 (Civil-Civil &lt; 75%): límite de carga Civil-Civil</t>
        </is>
      </c>
      <c r="B8" s="18" t="n">
        <v>390</v>
      </c>
      <c r="C8" s="19" t="inlineStr">
        <is>
          <t>Anexo 3, cuadro 2</t>
        </is>
      </c>
    </row>
    <row r="9">
      <c r="A9" s="17" t="inlineStr">
        <is>
          <t>Caso 2: meta fija Civil-Civil si carga ≥ límite</t>
        </is>
      </c>
      <c r="B9" s="18" t="n">
        <v>300</v>
      </c>
      <c r="C9" s="19" t="inlineStr">
        <is>
          <t>Anexo 3, cuadro 2</t>
        </is>
      </c>
    </row>
    <row r="10">
      <c r="A10" s="17" t="inlineStr">
        <is>
          <t>Meses con información (enero–setiembre 2026)</t>
        </is>
      </c>
      <c r="B10" s="18" t="n">
        <v>9</v>
      </c>
      <c r="C10" s="19" t="inlineStr">
        <is>
          <t>Reportes SIJ, corte 01/10/2026</t>
        </is>
      </c>
    </row>
    <row r="11">
      <c r="A11" s="17" t="inlineStr">
        <is>
          <t>Método de proyección de ingresos a diciembre (1 = lineal ×12/9; 2 = acumulado + 3 × promedio mensual sin febrero)</t>
        </is>
      </c>
      <c r="B11" s="21" t="n">
        <v>1</v>
      </c>
      <c r="C11" s="19" t="inlineStr">
        <is>
          <t>Supuesto: ver hoja Metodologia</t>
        </is>
      </c>
    </row>
    <row r="12">
      <c r="A12" s="17" t="inlineStr">
        <is>
          <t>Carga procesal mínima (Estándar × 1.3)</t>
        </is>
      </c>
      <c r="B12" s="17">
        <f>B3*1.3</f>
        <v/>
      </c>
      <c r="C12" s="19" t="inlineStr">
        <is>
          <t>R.A. 395-2020-CE-PJ (estándares de carga) / R.A. 090-2025 art. 5</t>
        </is>
      </c>
    </row>
    <row r="13">
      <c r="A13" s="17" t="inlineStr">
        <is>
          <t>Carga procesal máxima (Estándar × 1.7)</t>
        </is>
      </c>
      <c r="B13" s="17">
        <f>B3*1.7</f>
        <v/>
      </c>
      <c r="C13" s="19" t="inlineStr">
        <is>
          <t>Ídem</t>
        </is>
      </c>
    </row>
    <row r="15">
      <c r="A15" s="2" t="inlineStr">
        <is>
          <t>Celdas en azul = datos/parámetros editables. Celda amarilla = elección del método de proyección.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36" customWidth="1" min="2" max="2"/>
    <col width="12" customWidth="1" min="3" max="3"/>
    <col width="12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11" customWidth="1" min="14" max="14"/>
    <col width="11" customWidth="1" min="15" max="15"/>
    <col width="13" customWidth="1" min="16" max="16"/>
  </cols>
  <sheetData>
    <row r="1">
      <c r="A1" s="16" t="inlineStr">
        <is>
          <t>INGRESOS Y PENDIENTES – TRÁMITE – JUZGADOS CIVILES SEDE CENTRAL AREQUIPA (SIJ, ene–set 2026)</t>
        </is>
      </c>
    </row>
    <row r="3" ht="45" customHeight="1">
      <c r="A3" s="3" t="inlineStr">
        <is>
          <t>Juzgado</t>
        </is>
      </c>
      <c r="B3" s="3" t="inlineStr">
        <is>
          <t>Subespecialidad</t>
        </is>
      </c>
      <c r="C3" s="3" t="inlineStr">
        <is>
          <t>Grupo</t>
        </is>
      </c>
      <c r="D3" s="3" t="inlineStr">
        <is>
          <t>Pendientes año anterior</t>
        </is>
      </c>
      <c r="E3" s="3" t="inlineStr">
        <is>
          <t>Ene</t>
        </is>
      </c>
      <c r="F3" s="3" t="inlineStr">
        <is>
          <t>Feb</t>
        </is>
      </c>
      <c r="G3" s="3" t="inlineStr">
        <is>
          <t>Mar</t>
        </is>
      </c>
      <c r="H3" s="3" t="inlineStr">
        <is>
          <t>Abr</t>
        </is>
      </c>
      <c r="I3" s="3" t="inlineStr">
        <is>
          <t>May</t>
        </is>
      </c>
      <c r="J3" s="3" t="inlineStr">
        <is>
          <t>Jun</t>
        </is>
      </c>
      <c r="K3" s="3" t="inlineStr">
        <is>
          <t>Jul</t>
        </is>
      </c>
      <c r="L3" s="3" t="inlineStr">
        <is>
          <t>Ago</t>
        </is>
      </c>
      <c r="M3" s="3" t="inlineStr">
        <is>
          <t>Set</t>
        </is>
      </c>
      <c r="N3" s="3" t="inlineStr">
        <is>
          <t>Ingresos ene–set</t>
        </is>
      </c>
      <c r="O3" s="3" t="inlineStr">
        <is>
          <t>Ingresos sin febrero</t>
        </is>
      </c>
      <c r="P3" s="3" t="inlineStr">
        <is>
          <t>Ingresos proyectados a diciembre</t>
        </is>
      </c>
    </row>
    <row r="4">
      <c r="A4" s="22" t="inlineStr">
        <is>
          <t>1º JUZGADO CIVIL</t>
        </is>
      </c>
      <c r="B4" s="22" t="inlineStr">
        <is>
          <t>CIVIL - CIVIL</t>
        </is>
      </c>
      <c r="C4" s="22" t="inlineStr">
        <is>
          <t>Civil-Civil</t>
        </is>
      </c>
      <c r="D4" s="23" t="n">
        <v>409</v>
      </c>
      <c r="E4" s="23" t="n">
        <v>53</v>
      </c>
      <c r="F4" s="23" t="n">
        <v>1</v>
      </c>
      <c r="G4" s="23" t="n">
        <v>48</v>
      </c>
      <c r="H4" s="23" t="n">
        <v>62</v>
      </c>
      <c r="I4" s="23" t="n">
        <v>47</v>
      </c>
      <c r="J4" s="23" t="n">
        <v>49</v>
      </c>
      <c r="K4" s="23" t="n">
        <v>52</v>
      </c>
      <c r="L4" s="23" t="n">
        <v>46</v>
      </c>
      <c r="M4" s="23" t="n">
        <v>50</v>
      </c>
      <c r="N4" s="24">
        <f>SUM(E4:M4)</f>
        <v/>
      </c>
      <c r="O4" s="24">
        <f>N4-F4</f>
        <v/>
      </c>
      <c r="P4" s="24">
        <f>IF(Parametros!$B$11=1,N4*12/Parametros!$B$10,N4+3*O4/(Parametros!$B$10-1))</f>
        <v/>
      </c>
    </row>
    <row r="5">
      <c r="A5" s="22" t="inlineStr">
        <is>
          <t>1º JUZGADO CIVIL</t>
        </is>
      </c>
      <c r="B5" s="22" t="inlineStr">
        <is>
          <t>CIVIL - COMERCIAL</t>
        </is>
      </c>
      <c r="C5" s="22" t="inlineStr">
        <is>
          <t>Resto</t>
        </is>
      </c>
      <c r="D5" s="23" t="n">
        <v>85</v>
      </c>
      <c r="E5" s="23" t="n">
        <v>9</v>
      </c>
      <c r="F5" s="23" t="n">
        <v>0</v>
      </c>
      <c r="G5" s="23" t="n">
        <v>10</v>
      </c>
      <c r="H5" s="23" t="n">
        <v>9</v>
      </c>
      <c r="I5" s="23" t="n">
        <v>8</v>
      </c>
      <c r="J5" s="23" t="n">
        <v>8</v>
      </c>
      <c r="K5" s="23" t="n">
        <v>5</v>
      </c>
      <c r="L5" s="23" t="n">
        <v>4</v>
      </c>
      <c r="M5" s="23" t="n">
        <v>6</v>
      </c>
      <c r="N5" s="24">
        <f>SUM(E5:M5)</f>
        <v/>
      </c>
      <c r="O5" s="24">
        <f>N5-F5</f>
        <v/>
      </c>
      <c r="P5" s="24">
        <f>IF(Parametros!$B$11=1,N5*12/Parametros!$B$10,N5+3*O5/(Parametros!$B$10-1))</f>
        <v/>
      </c>
    </row>
    <row r="6">
      <c r="A6" s="22" t="inlineStr">
        <is>
          <t>1º JUZGADO CIVIL</t>
        </is>
      </c>
      <c r="B6" s="22" t="inlineStr">
        <is>
          <t>FAMILIA - FAMILIA CIVIL</t>
        </is>
      </c>
      <c r="C6" s="22" t="inlineStr">
        <is>
          <t>Resto</t>
        </is>
      </c>
      <c r="D6" s="23" t="n">
        <v>0</v>
      </c>
      <c r="E6" s="23" t="n">
        <v>0</v>
      </c>
      <c r="F6" s="23" t="n">
        <v>0</v>
      </c>
      <c r="G6" s="23" t="n">
        <v>1</v>
      </c>
      <c r="H6" s="23" t="n">
        <v>0</v>
      </c>
      <c r="I6" s="23" t="n">
        <v>0</v>
      </c>
      <c r="J6" s="23" t="n">
        <v>0</v>
      </c>
      <c r="K6" s="23" t="n">
        <v>0</v>
      </c>
      <c r="L6" s="23" t="n">
        <v>0</v>
      </c>
      <c r="M6" s="23" t="n">
        <v>0</v>
      </c>
      <c r="N6" s="24">
        <f>SUM(E6:M6)</f>
        <v/>
      </c>
      <c r="O6" s="24">
        <f>N6-F6</f>
        <v/>
      </c>
      <c r="P6" s="24">
        <f>IF(Parametros!$B$11=1,N6*12/Parametros!$B$10,N6+3*O6/(Parametros!$B$10-1))</f>
        <v/>
      </c>
    </row>
    <row r="7">
      <c r="A7" s="22" t="inlineStr">
        <is>
          <t>1º JUZGADO CIVIL</t>
        </is>
      </c>
      <c r="B7" s="22" t="inlineStr">
        <is>
          <t>CIVIL - CONTENCIOSO ADMINISTRATIVO</t>
        </is>
      </c>
      <c r="C7" s="22" t="inlineStr">
        <is>
          <t>Resto</t>
        </is>
      </c>
      <c r="D7" s="23" t="n">
        <v>35</v>
      </c>
      <c r="E7" s="23" t="n">
        <v>5</v>
      </c>
      <c r="F7" s="23" t="n">
        <v>0</v>
      </c>
      <c r="G7" s="23" t="n">
        <v>5</v>
      </c>
      <c r="H7" s="23" t="n">
        <v>2</v>
      </c>
      <c r="I7" s="23" t="n">
        <v>5</v>
      </c>
      <c r="J7" s="23" t="n">
        <v>1</v>
      </c>
      <c r="K7" s="23" t="n">
        <v>2</v>
      </c>
      <c r="L7" s="23" t="n">
        <v>5</v>
      </c>
      <c r="M7" s="23" t="n">
        <v>4</v>
      </c>
      <c r="N7" s="24">
        <f>SUM(E7:M7)</f>
        <v/>
      </c>
      <c r="O7" s="24">
        <f>N7-F7</f>
        <v/>
      </c>
      <c r="P7" s="24">
        <f>IF(Parametros!$B$11=1,N7*12/Parametros!$B$10,N7+3*O7/(Parametros!$B$10-1))</f>
        <v/>
      </c>
    </row>
    <row r="8">
      <c r="A8" s="22" t="inlineStr">
        <is>
          <t>2º JUZGADO CIVIL</t>
        </is>
      </c>
      <c r="B8" s="22" t="inlineStr">
        <is>
          <t>CIVIL - CIVIL</t>
        </is>
      </c>
      <c r="C8" s="22" t="inlineStr">
        <is>
          <t>Civil-Civil</t>
        </is>
      </c>
      <c r="D8" s="23" t="n">
        <v>501</v>
      </c>
      <c r="E8" s="23" t="n">
        <v>50</v>
      </c>
      <c r="F8" s="23" t="n">
        <v>2</v>
      </c>
      <c r="G8" s="23" t="n">
        <v>33</v>
      </c>
      <c r="H8" s="23" t="n">
        <v>60</v>
      </c>
      <c r="I8" s="23" t="n">
        <v>51</v>
      </c>
      <c r="J8" s="23" t="n">
        <v>38</v>
      </c>
      <c r="K8" s="23" t="n">
        <v>18</v>
      </c>
      <c r="L8" s="23" t="n">
        <v>37</v>
      </c>
      <c r="M8" s="23" t="n">
        <v>58</v>
      </c>
      <c r="N8" s="24">
        <f>SUM(E8:M8)</f>
        <v/>
      </c>
      <c r="O8" s="24">
        <f>N8-F8</f>
        <v/>
      </c>
      <c r="P8" s="24">
        <f>IF(Parametros!$B$11=1,N8*12/Parametros!$B$10,N8+3*O8/(Parametros!$B$10-1))</f>
        <v/>
      </c>
    </row>
    <row r="9">
      <c r="A9" s="22" t="inlineStr">
        <is>
          <t>2º JUZGADO CIVIL</t>
        </is>
      </c>
      <c r="B9" s="22" t="inlineStr">
        <is>
          <t>CIVIL - COMERCIAL</t>
        </is>
      </c>
      <c r="C9" s="22" t="inlineStr">
        <is>
          <t>Resto</t>
        </is>
      </c>
      <c r="D9" s="23" t="n">
        <v>35</v>
      </c>
      <c r="E9" s="23" t="n">
        <v>12</v>
      </c>
      <c r="F9" s="23" t="n">
        <v>0</v>
      </c>
      <c r="G9" s="23" t="n">
        <v>10</v>
      </c>
      <c r="H9" s="23" t="n">
        <v>13</v>
      </c>
      <c r="I9" s="23" t="n">
        <v>15</v>
      </c>
      <c r="J9" s="23" t="n">
        <v>18</v>
      </c>
      <c r="K9" s="23" t="n">
        <v>7</v>
      </c>
      <c r="L9" s="23" t="n">
        <v>4</v>
      </c>
      <c r="M9" s="23" t="n">
        <v>14</v>
      </c>
      <c r="N9" s="24">
        <f>SUM(E9:M9)</f>
        <v/>
      </c>
      <c r="O9" s="24">
        <f>N9-F9</f>
        <v/>
      </c>
      <c r="P9" s="24">
        <f>IF(Parametros!$B$11=1,N9*12/Parametros!$B$10,N9+3*O9/(Parametros!$B$10-1))</f>
        <v/>
      </c>
    </row>
    <row r="10">
      <c r="A10" s="22" t="inlineStr">
        <is>
          <t>2º JUZGADO CIVIL</t>
        </is>
      </c>
      <c r="B10" s="22" t="inlineStr">
        <is>
          <t>FAMILIA - FAMILIA CIVIL</t>
        </is>
      </c>
      <c r="C10" s="22" t="inlineStr">
        <is>
          <t>Resto</t>
        </is>
      </c>
      <c r="D10" s="23" t="n">
        <v>1</v>
      </c>
      <c r="E10" s="23" t="n">
        <v>0</v>
      </c>
      <c r="F10" s="23" t="n">
        <v>0</v>
      </c>
      <c r="G10" s="23" t="n">
        <v>0</v>
      </c>
      <c r="H10" s="23" t="n">
        <v>0</v>
      </c>
      <c r="I10" s="23" t="n">
        <v>0</v>
      </c>
      <c r="J10" s="23" t="n">
        <v>0</v>
      </c>
      <c r="K10" s="23" t="n">
        <v>0</v>
      </c>
      <c r="L10" s="23" t="n">
        <v>0</v>
      </c>
      <c r="M10" s="23" t="n">
        <v>0</v>
      </c>
      <c r="N10" s="24">
        <f>SUM(E10:M10)</f>
        <v/>
      </c>
      <c r="O10" s="24">
        <f>N10-F10</f>
        <v/>
      </c>
      <c r="P10" s="24">
        <f>IF(Parametros!$B$11=1,N10*12/Parametros!$B$10,N10+3*O10/(Parametros!$B$10-1))</f>
        <v/>
      </c>
    </row>
    <row r="11">
      <c r="A11" s="22" t="inlineStr">
        <is>
          <t>2º JUZGADO CIVIL</t>
        </is>
      </c>
      <c r="B11" s="22" t="inlineStr">
        <is>
          <t>CIVIL - CONSTITUCIONAL</t>
        </is>
      </c>
      <c r="C11" s="22" t="inlineStr">
        <is>
          <t>Resto</t>
        </is>
      </c>
      <c r="D11" s="23" t="n">
        <v>1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1</v>
      </c>
      <c r="N11" s="24">
        <f>SUM(E11:M11)</f>
        <v/>
      </c>
      <c r="O11" s="24">
        <f>N11-F11</f>
        <v/>
      </c>
      <c r="P11" s="24">
        <f>IF(Parametros!$B$11=1,N11*12/Parametros!$B$10,N11+3*O11/(Parametros!$B$10-1))</f>
        <v/>
      </c>
    </row>
    <row r="12">
      <c r="A12" s="22" t="inlineStr">
        <is>
          <t>2º JUZGADO CIVIL</t>
        </is>
      </c>
      <c r="B12" s="22" t="inlineStr">
        <is>
          <t>CIVIL - CONTENCIOSO ADMINISTRATIVO</t>
        </is>
      </c>
      <c r="C12" s="22" t="inlineStr">
        <is>
          <t>Resto</t>
        </is>
      </c>
      <c r="D12" s="23" t="n">
        <v>22</v>
      </c>
      <c r="E12" s="23" t="n">
        <v>3</v>
      </c>
      <c r="F12" s="23" t="n">
        <v>0</v>
      </c>
      <c r="G12" s="23" t="n">
        <v>5</v>
      </c>
      <c r="H12" s="23" t="n">
        <v>3</v>
      </c>
      <c r="I12" s="23" t="n">
        <v>3</v>
      </c>
      <c r="J12" s="23" t="n">
        <v>5</v>
      </c>
      <c r="K12" s="23" t="n">
        <v>1</v>
      </c>
      <c r="L12" s="23" t="n">
        <v>1</v>
      </c>
      <c r="M12" s="23" t="n">
        <v>6</v>
      </c>
      <c r="N12" s="24">
        <f>SUM(E12:M12)</f>
        <v/>
      </c>
      <c r="O12" s="24">
        <f>N12-F12</f>
        <v/>
      </c>
      <c r="P12" s="24">
        <f>IF(Parametros!$B$11=1,N12*12/Parametros!$B$10,N12+3*O12/(Parametros!$B$10-1))</f>
        <v/>
      </c>
    </row>
    <row r="13">
      <c r="A13" s="22" t="inlineStr">
        <is>
          <t>3º JUZGADO CIVIL</t>
        </is>
      </c>
      <c r="B13" s="22" t="inlineStr">
        <is>
          <t>CIVIL - CIVIL</t>
        </is>
      </c>
      <c r="C13" s="22" t="inlineStr">
        <is>
          <t>Civil-Civil</t>
        </is>
      </c>
      <c r="D13" s="23" t="n">
        <v>428</v>
      </c>
      <c r="E13" s="23" t="n">
        <v>49</v>
      </c>
      <c r="F13" s="23" t="n">
        <v>0</v>
      </c>
      <c r="G13" s="23" t="n">
        <v>36</v>
      </c>
      <c r="H13" s="23" t="n">
        <v>70</v>
      </c>
      <c r="I13" s="23" t="n">
        <v>37</v>
      </c>
      <c r="J13" s="23" t="n">
        <v>29</v>
      </c>
      <c r="K13" s="23" t="n">
        <v>64</v>
      </c>
      <c r="L13" s="23" t="n">
        <v>29</v>
      </c>
      <c r="M13" s="23" t="n">
        <v>39</v>
      </c>
      <c r="N13" s="24">
        <f>SUM(E13:M13)</f>
        <v/>
      </c>
      <c r="O13" s="24">
        <f>N13-F13</f>
        <v/>
      </c>
      <c r="P13" s="24">
        <f>IF(Parametros!$B$11=1,N13*12/Parametros!$B$10,N13+3*O13/(Parametros!$B$10-1))</f>
        <v/>
      </c>
    </row>
    <row r="14">
      <c r="A14" s="22" t="inlineStr">
        <is>
          <t>3º JUZGADO CIVIL</t>
        </is>
      </c>
      <c r="B14" s="22" t="inlineStr">
        <is>
          <t>CIVIL - COMERCIAL</t>
        </is>
      </c>
      <c r="C14" s="22" t="inlineStr">
        <is>
          <t>Resto</t>
        </is>
      </c>
      <c r="D14" s="23" t="n">
        <v>42</v>
      </c>
      <c r="E14" s="23" t="n">
        <v>7</v>
      </c>
      <c r="F14" s="23" t="n">
        <v>0</v>
      </c>
      <c r="G14" s="23" t="n">
        <v>8</v>
      </c>
      <c r="H14" s="23" t="n">
        <v>10</v>
      </c>
      <c r="I14" s="23" t="n">
        <v>8</v>
      </c>
      <c r="J14" s="23" t="n">
        <v>6</v>
      </c>
      <c r="K14" s="23" t="n">
        <v>2</v>
      </c>
      <c r="L14" s="23" t="n">
        <v>6</v>
      </c>
      <c r="M14" s="23" t="n">
        <v>8</v>
      </c>
      <c r="N14" s="24">
        <f>SUM(E14:M14)</f>
        <v/>
      </c>
      <c r="O14" s="24">
        <f>N14-F14</f>
        <v/>
      </c>
      <c r="P14" s="24">
        <f>IF(Parametros!$B$11=1,N14*12/Parametros!$B$10,N14+3*O14/(Parametros!$B$10-1))</f>
        <v/>
      </c>
    </row>
    <row r="15">
      <c r="A15" s="22" t="inlineStr">
        <is>
          <t>3º JUZGADO CIVIL</t>
        </is>
      </c>
      <c r="B15" s="22" t="inlineStr">
        <is>
          <t>CIVIL - CONSTITUCIONAL</t>
        </is>
      </c>
      <c r="C15" s="22" t="inlineStr">
        <is>
          <t>Resto</t>
        </is>
      </c>
      <c r="D15" s="23" t="n">
        <v>1</v>
      </c>
      <c r="E15" s="23" t="n">
        <v>0</v>
      </c>
      <c r="F15" s="23" t="n">
        <v>0</v>
      </c>
      <c r="G15" s="23" t="n">
        <v>0</v>
      </c>
      <c r="H15" s="23" t="n">
        <v>0</v>
      </c>
      <c r="I15" s="23" t="n">
        <v>0</v>
      </c>
      <c r="J15" s="23" t="n">
        <v>0</v>
      </c>
      <c r="K15" s="23" t="n">
        <v>0</v>
      </c>
      <c r="L15" s="23" t="n">
        <v>0</v>
      </c>
      <c r="M15" s="23" t="n">
        <v>0</v>
      </c>
      <c r="N15" s="24">
        <f>SUM(E15:M15)</f>
        <v/>
      </c>
      <c r="O15" s="24">
        <f>N15-F15</f>
        <v/>
      </c>
      <c r="P15" s="24">
        <f>IF(Parametros!$B$11=1,N15*12/Parametros!$B$10,N15+3*O15/(Parametros!$B$10-1))</f>
        <v/>
      </c>
    </row>
    <row r="16">
      <c r="A16" s="22" t="inlineStr">
        <is>
          <t>3º JUZGADO CIVIL</t>
        </is>
      </c>
      <c r="B16" s="22" t="inlineStr">
        <is>
          <t>CIVIL - CONTENCIOSO ADMINISTRATIVO</t>
        </is>
      </c>
      <c r="C16" s="22" t="inlineStr">
        <is>
          <t>Resto</t>
        </is>
      </c>
      <c r="D16" s="23" t="n">
        <v>28</v>
      </c>
      <c r="E16" s="23" t="n">
        <v>5</v>
      </c>
      <c r="F16" s="23" t="n">
        <v>0</v>
      </c>
      <c r="G16" s="23" t="n">
        <v>15</v>
      </c>
      <c r="H16" s="23" t="n">
        <v>6</v>
      </c>
      <c r="I16" s="23" t="n">
        <v>0</v>
      </c>
      <c r="J16" s="23" t="n">
        <v>0</v>
      </c>
      <c r="K16" s="23" t="n">
        <v>3</v>
      </c>
      <c r="L16" s="23" t="n">
        <v>2</v>
      </c>
      <c r="M16" s="23" t="n">
        <v>1</v>
      </c>
      <c r="N16" s="24">
        <f>SUM(E16:M16)</f>
        <v/>
      </c>
      <c r="O16" s="24">
        <f>N16-F16</f>
        <v/>
      </c>
      <c r="P16" s="24">
        <f>IF(Parametros!$B$11=1,N16*12/Parametros!$B$10,N16+3*O16/(Parametros!$B$10-1))</f>
        <v/>
      </c>
    </row>
    <row r="17">
      <c r="A17" s="22" t="inlineStr">
        <is>
          <t>4º JUZGADO CIVIL</t>
        </is>
      </c>
      <c r="B17" s="22" t="inlineStr">
        <is>
          <t>CIVIL - CIVIL</t>
        </is>
      </c>
      <c r="C17" s="22" t="inlineStr">
        <is>
          <t>Civil-Civil</t>
        </is>
      </c>
      <c r="D17" s="23" t="n">
        <v>606</v>
      </c>
      <c r="E17" s="23" t="n">
        <v>39</v>
      </c>
      <c r="F17" s="23" t="n">
        <v>20</v>
      </c>
      <c r="G17" s="23" t="n">
        <v>49</v>
      </c>
      <c r="H17" s="23" t="n">
        <v>34</v>
      </c>
      <c r="I17" s="23" t="n">
        <v>35</v>
      </c>
      <c r="J17" s="23" t="n">
        <v>34</v>
      </c>
      <c r="K17" s="23" t="n">
        <v>42</v>
      </c>
      <c r="L17" s="23" t="n">
        <v>49</v>
      </c>
      <c r="M17" s="23" t="n">
        <v>32</v>
      </c>
      <c r="N17" s="24">
        <f>SUM(E17:M17)</f>
        <v/>
      </c>
      <c r="O17" s="24">
        <f>N17-F17</f>
        <v/>
      </c>
      <c r="P17" s="24">
        <f>IF(Parametros!$B$11=1,N17*12/Parametros!$B$10,N17+3*O17/(Parametros!$B$10-1))</f>
        <v/>
      </c>
    </row>
    <row r="18">
      <c r="A18" s="22" t="inlineStr">
        <is>
          <t>4º JUZGADO CIVIL</t>
        </is>
      </c>
      <c r="B18" s="22" t="inlineStr">
        <is>
          <t>CIVIL - COMERCIAL</t>
        </is>
      </c>
      <c r="C18" s="22" t="inlineStr">
        <is>
          <t>Resto</t>
        </is>
      </c>
      <c r="D18" s="23" t="n">
        <v>45</v>
      </c>
      <c r="E18" s="23" t="n">
        <v>16</v>
      </c>
      <c r="F18" s="23" t="n">
        <v>4</v>
      </c>
      <c r="G18" s="23" t="n">
        <v>12</v>
      </c>
      <c r="H18" s="23" t="n">
        <v>17</v>
      </c>
      <c r="I18" s="23" t="n">
        <v>9</v>
      </c>
      <c r="J18" s="23" t="n">
        <v>3</v>
      </c>
      <c r="K18" s="23" t="n">
        <v>14</v>
      </c>
      <c r="L18" s="23" t="n">
        <v>11</v>
      </c>
      <c r="M18" s="23" t="n">
        <v>8</v>
      </c>
      <c r="N18" s="24">
        <f>SUM(E18:M18)</f>
        <v/>
      </c>
      <c r="O18" s="24">
        <f>N18-F18</f>
        <v/>
      </c>
      <c r="P18" s="24">
        <f>IF(Parametros!$B$11=1,N18*12/Parametros!$B$10,N18+3*O18/(Parametros!$B$10-1))</f>
        <v/>
      </c>
    </row>
    <row r="19">
      <c r="A19" s="22" t="inlineStr">
        <is>
          <t>4º JUZGADO CIVIL</t>
        </is>
      </c>
      <c r="B19" s="22" t="inlineStr">
        <is>
          <t>CIVIL - CONSTITUCIONAL</t>
        </is>
      </c>
      <c r="C19" s="22" t="inlineStr">
        <is>
          <t>Resto</t>
        </is>
      </c>
      <c r="D19" s="23" t="n">
        <v>2</v>
      </c>
      <c r="E19" s="23" t="n">
        <v>0</v>
      </c>
      <c r="F19" s="23" t="n">
        <v>0</v>
      </c>
      <c r="G19" s="23" t="n">
        <v>0</v>
      </c>
      <c r="H19" s="23" t="n">
        <v>0</v>
      </c>
      <c r="I19" s="23" t="n">
        <v>0</v>
      </c>
      <c r="J19" s="23" t="n">
        <v>0</v>
      </c>
      <c r="K19" s="23" t="n">
        <v>0</v>
      </c>
      <c r="L19" s="23" t="n">
        <v>0</v>
      </c>
      <c r="M19" s="23" t="n">
        <v>0</v>
      </c>
      <c r="N19" s="24">
        <f>SUM(E19:M19)</f>
        <v/>
      </c>
      <c r="O19" s="24">
        <f>N19-F19</f>
        <v/>
      </c>
      <c r="P19" s="24">
        <f>IF(Parametros!$B$11=1,N19*12/Parametros!$B$10,N19+3*O19/(Parametros!$B$10-1))</f>
        <v/>
      </c>
    </row>
    <row r="20">
      <c r="A20" s="22" t="inlineStr">
        <is>
          <t>4º JUZGADO CIVIL</t>
        </is>
      </c>
      <c r="B20" s="22" t="inlineStr">
        <is>
          <t>CIVIL - CONTENCIOSO ADMINISTRATIVO</t>
        </is>
      </c>
      <c r="C20" s="22" t="inlineStr">
        <is>
          <t>Resto</t>
        </is>
      </c>
      <c r="D20" s="23" t="n">
        <v>23</v>
      </c>
      <c r="E20" s="23" t="n">
        <v>3</v>
      </c>
      <c r="F20" s="23" t="n">
        <v>0</v>
      </c>
      <c r="G20" s="23" t="n">
        <v>3</v>
      </c>
      <c r="H20" s="23" t="n">
        <v>4</v>
      </c>
      <c r="I20" s="23" t="n">
        <v>1</v>
      </c>
      <c r="J20" s="23" t="n">
        <v>5</v>
      </c>
      <c r="K20" s="23" t="n">
        <v>7</v>
      </c>
      <c r="L20" s="23" t="n">
        <v>8</v>
      </c>
      <c r="M20" s="23" t="n">
        <v>3</v>
      </c>
      <c r="N20" s="24">
        <f>SUM(E20:M20)</f>
        <v/>
      </c>
      <c r="O20" s="24">
        <f>N20-F20</f>
        <v/>
      </c>
      <c r="P20" s="24">
        <f>IF(Parametros!$B$11=1,N20*12/Parametros!$B$10,N20+3*O20/(Parametros!$B$10-1))</f>
        <v/>
      </c>
    </row>
    <row r="21">
      <c r="A21" s="22" t="inlineStr">
        <is>
          <t>5º JUZGADO CIVIL</t>
        </is>
      </c>
      <c r="B21" s="22" t="inlineStr">
        <is>
          <t>CIVIL - CIVIL</t>
        </is>
      </c>
      <c r="C21" s="22" t="inlineStr">
        <is>
          <t>Civil-Civil</t>
        </is>
      </c>
      <c r="D21" s="23" t="n">
        <v>585</v>
      </c>
      <c r="E21" s="23" t="n">
        <v>43</v>
      </c>
      <c r="F21" s="23" t="n">
        <v>0</v>
      </c>
      <c r="G21" s="23" t="n">
        <v>54</v>
      </c>
      <c r="H21" s="23" t="n">
        <v>45</v>
      </c>
      <c r="I21" s="23" t="n">
        <v>58</v>
      </c>
      <c r="J21" s="23" t="n">
        <v>46</v>
      </c>
      <c r="K21" s="23" t="n">
        <v>52</v>
      </c>
      <c r="L21" s="23" t="n">
        <v>36</v>
      </c>
      <c r="M21" s="23" t="n">
        <v>24</v>
      </c>
      <c r="N21" s="24">
        <f>SUM(E21:M21)</f>
        <v/>
      </c>
      <c r="O21" s="24">
        <f>N21-F21</f>
        <v/>
      </c>
      <c r="P21" s="24">
        <f>IF(Parametros!$B$11=1,N21*12/Parametros!$B$10,N21+3*O21/(Parametros!$B$10-1))</f>
        <v/>
      </c>
    </row>
    <row r="22">
      <c r="A22" s="22" t="inlineStr">
        <is>
          <t>5º JUZGADO CIVIL</t>
        </is>
      </c>
      <c r="B22" s="22" t="inlineStr">
        <is>
          <t>LABORAL - LABORAL</t>
        </is>
      </c>
      <c r="C22" s="22" t="inlineStr">
        <is>
          <t>Resto</t>
        </is>
      </c>
      <c r="D22" s="23" t="n">
        <v>0</v>
      </c>
      <c r="E22" s="23" t="n">
        <v>0</v>
      </c>
      <c r="F22" s="23" t="n">
        <v>0</v>
      </c>
      <c r="G22" s="23" t="n">
        <v>0</v>
      </c>
      <c r="H22" s="23" t="n">
        <v>0</v>
      </c>
      <c r="I22" s="23" t="n">
        <v>0</v>
      </c>
      <c r="J22" s="23" t="n">
        <v>0</v>
      </c>
      <c r="K22" s="23" t="n">
        <v>0</v>
      </c>
      <c r="L22" s="23" t="n">
        <v>0</v>
      </c>
      <c r="M22" s="23" t="n">
        <v>1</v>
      </c>
      <c r="N22" s="24">
        <f>SUM(E22:M22)</f>
        <v/>
      </c>
      <c r="O22" s="24">
        <f>N22-F22</f>
        <v/>
      </c>
      <c r="P22" s="24">
        <f>IF(Parametros!$B$11=1,N22*12/Parametros!$B$10,N22+3*O22/(Parametros!$B$10-1))</f>
        <v/>
      </c>
    </row>
    <row r="23">
      <c r="A23" s="22" t="inlineStr">
        <is>
          <t>5º JUZGADO CIVIL</t>
        </is>
      </c>
      <c r="B23" s="22" t="inlineStr">
        <is>
          <t>CIVIL - COMERCIAL</t>
        </is>
      </c>
      <c r="C23" s="22" t="inlineStr">
        <is>
          <t>Resto</t>
        </is>
      </c>
      <c r="D23" s="23" t="n">
        <v>46</v>
      </c>
      <c r="E23" s="23" t="n">
        <v>4</v>
      </c>
      <c r="F23" s="23" t="n">
        <v>0</v>
      </c>
      <c r="G23" s="23" t="n">
        <v>11</v>
      </c>
      <c r="H23" s="23" t="n">
        <v>12</v>
      </c>
      <c r="I23" s="23" t="n">
        <v>14</v>
      </c>
      <c r="J23" s="23" t="n">
        <v>11</v>
      </c>
      <c r="K23" s="23" t="n">
        <v>9</v>
      </c>
      <c r="L23" s="23" t="n">
        <v>12</v>
      </c>
      <c r="M23" s="23" t="n">
        <v>7</v>
      </c>
      <c r="N23" s="24">
        <f>SUM(E23:M23)</f>
        <v/>
      </c>
      <c r="O23" s="24">
        <f>N23-F23</f>
        <v/>
      </c>
      <c r="P23" s="24">
        <f>IF(Parametros!$B$11=1,N23*12/Parametros!$B$10,N23+3*O23/(Parametros!$B$10-1))</f>
        <v/>
      </c>
    </row>
    <row r="24">
      <c r="A24" s="22" t="inlineStr">
        <is>
          <t>5º JUZGADO CIVIL</t>
        </is>
      </c>
      <c r="B24" s="22" t="inlineStr">
        <is>
          <t>CIVIL - CONSTITUCIONAL</t>
        </is>
      </c>
      <c r="C24" s="22" t="inlineStr">
        <is>
          <t>Resto</t>
        </is>
      </c>
      <c r="D24" s="23" t="n">
        <v>3</v>
      </c>
      <c r="E24" s="23" t="n">
        <v>0</v>
      </c>
      <c r="F24" s="23" t="n">
        <v>0</v>
      </c>
      <c r="G24" s="23" t="n">
        <v>0</v>
      </c>
      <c r="H24" s="23" t="n">
        <v>0</v>
      </c>
      <c r="I24" s="23" t="n">
        <v>0</v>
      </c>
      <c r="J24" s="23" t="n">
        <v>0</v>
      </c>
      <c r="K24" s="23" t="n">
        <v>0</v>
      </c>
      <c r="L24" s="23" t="n">
        <v>0</v>
      </c>
      <c r="M24" s="23" t="n">
        <v>1</v>
      </c>
      <c r="N24" s="24">
        <f>SUM(E24:M24)</f>
        <v/>
      </c>
      <c r="O24" s="24">
        <f>N24-F24</f>
        <v/>
      </c>
      <c r="P24" s="24">
        <f>IF(Parametros!$B$11=1,N24*12/Parametros!$B$10,N24+3*O24/(Parametros!$B$10-1))</f>
        <v/>
      </c>
    </row>
    <row r="25">
      <c r="A25" s="22" t="inlineStr">
        <is>
          <t>5º JUZGADO CIVIL</t>
        </is>
      </c>
      <c r="B25" s="22" t="inlineStr">
        <is>
          <t>CIVIL - CONTENCIOSO ADMINISTRATIVO</t>
        </is>
      </c>
      <c r="C25" s="22" t="inlineStr">
        <is>
          <t>Resto</t>
        </is>
      </c>
      <c r="D25" s="23" t="n">
        <v>33</v>
      </c>
      <c r="E25" s="23" t="n">
        <v>2</v>
      </c>
      <c r="F25" s="23" t="n">
        <v>0</v>
      </c>
      <c r="G25" s="23" t="n">
        <v>5</v>
      </c>
      <c r="H25" s="23" t="n">
        <v>6</v>
      </c>
      <c r="I25" s="23" t="n">
        <v>3</v>
      </c>
      <c r="J25" s="23" t="n">
        <v>5</v>
      </c>
      <c r="K25" s="23" t="n">
        <v>2</v>
      </c>
      <c r="L25" s="23" t="n">
        <v>9</v>
      </c>
      <c r="M25" s="23" t="n">
        <v>3</v>
      </c>
      <c r="N25" s="24">
        <f>SUM(E25:M25)</f>
        <v/>
      </c>
      <c r="O25" s="24">
        <f>N25-F25</f>
        <v/>
      </c>
      <c r="P25" s="24">
        <f>IF(Parametros!$B$11=1,N25*12/Parametros!$B$10,N25+3*O25/(Parametros!$B$10-1))</f>
        <v/>
      </c>
    </row>
    <row r="26">
      <c r="A26" s="22" t="inlineStr">
        <is>
          <t>6º JUZGADO CIVIL</t>
        </is>
      </c>
      <c r="B26" s="22" t="inlineStr">
        <is>
          <t>CIVIL - CIVIL</t>
        </is>
      </c>
      <c r="C26" s="22" t="inlineStr">
        <is>
          <t>Civil-Civil</t>
        </is>
      </c>
      <c r="D26" s="23" t="n">
        <v>577</v>
      </c>
      <c r="E26" s="23" t="n">
        <v>40</v>
      </c>
      <c r="F26" s="23" t="n">
        <v>1</v>
      </c>
      <c r="G26" s="23" t="n">
        <v>45</v>
      </c>
      <c r="H26" s="23" t="n">
        <v>44</v>
      </c>
      <c r="I26" s="23" t="n">
        <v>48</v>
      </c>
      <c r="J26" s="23" t="n">
        <v>39</v>
      </c>
      <c r="K26" s="23" t="n">
        <v>43</v>
      </c>
      <c r="L26" s="23" t="n">
        <v>43</v>
      </c>
      <c r="M26" s="23" t="n">
        <v>37</v>
      </c>
      <c r="N26" s="24">
        <f>SUM(E26:M26)</f>
        <v/>
      </c>
      <c r="O26" s="24">
        <f>N26-F26</f>
        <v/>
      </c>
      <c r="P26" s="24">
        <f>IF(Parametros!$B$11=1,N26*12/Parametros!$B$10,N26+3*O26/(Parametros!$B$10-1))</f>
        <v/>
      </c>
    </row>
    <row r="27">
      <c r="A27" s="22" t="inlineStr">
        <is>
          <t>6º JUZGADO CIVIL</t>
        </is>
      </c>
      <c r="B27" s="22" t="inlineStr">
        <is>
          <t>LABORAL - LABORAL</t>
        </is>
      </c>
      <c r="C27" s="22" t="inlineStr">
        <is>
          <t>Resto</t>
        </is>
      </c>
      <c r="D27" s="23" t="n">
        <v>1</v>
      </c>
      <c r="E27" s="23" t="n">
        <v>0</v>
      </c>
      <c r="F27" s="23" t="n">
        <v>0</v>
      </c>
      <c r="G27" s="23" t="n">
        <v>0</v>
      </c>
      <c r="H27" s="23" t="n">
        <v>0</v>
      </c>
      <c r="I27" s="23" t="n">
        <v>0</v>
      </c>
      <c r="J27" s="23" t="n">
        <v>0</v>
      </c>
      <c r="K27" s="23" t="n">
        <v>0</v>
      </c>
      <c r="L27" s="23" t="n">
        <v>0</v>
      </c>
      <c r="M27" s="23" t="n">
        <v>0</v>
      </c>
      <c r="N27" s="24">
        <f>SUM(E27:M27)</f>
        <v/>
      </c>
      <c r="O27" s="24">
        <f>N27-F27</f>
        <v/>
      </c>
      <c r="P27" s="24">
        <f>IF(Parametros!$B$11=1,N27*12/Parametros!$B$10,N27+3*O27/(Parametros!$B$10-1))</f>
        <v/>
      </c>
    </row>
    <row r="28">
      <c r="A28" s="22" t="inlineStr">
        <is>
          <t>6º JUZGADO CIVIL</t>
        </is>
      </c>
      <c r="B28" s="22" t="inlineStr">
        <is>
          <t>CIVIL - COMERCIAL</t>
        </is>
      </c>
      <c r="C28" s="22" t="inlineStr">
        <is>
          <t>Resto</t>
        </is>
      </c>
      <c r="D28" s="23" t="n">
        <v>24</v>
      </c>
      <c r="E28" s="23" t="n">
        <v>8</v>
      </c>
      <c r="F28" s="23" t="n">
        <v>0</v>
      </c>
      <c r="G28" s="23" t="n">
        <v>17</v>
      </c>
      <c r="H28" s="23" t="n">
        <v>13</v>
      </c>
      <c r="I28" s="23" t="n">
        <v>8</v>
      </c>
      <c r="J28" s="23" t="n">
        <v>8</v>
      </c>
      <c r="K28" s="23" t="n">
        <v>7</v>
      </c>
      <c r="L28" s="23" t="n">
        <v>6</v>
      </c>
      <c r="M28" s="23" t="n">
        <v>14</v>
      </c>
      <c r="N28" s="24">
        <f>SUM(E28:M28)</f>
        <v/>
      </c>
      <c r="O28" s="24">
        <f>N28-F28</f>
        <v/>
      </c>
      <c r="P28" s="24">
        <f>IF(Parametros!$B$11=1,N28*12/Parametros!$B$10,N28+3*O28/(Parametros!$B$10-1))</f>
        <v/>
      </c>
    </row>
    <row r="29">
      <c r="A29" s="22" t="inlineStr">
        <is>
          <t>6º JUZGADO CIVIL</t>
        </is>
      </c>
      <c r="B29" s="22" t="inlineStr">
        <is>
          <t>CIVIL - CONTENCIOSO ADMINISTRATIVO</t>
        </is>
      </c>
      <c r="C29" s="22" t="inlineStr">
        <is>
          <t>Resto</t>
        </is>
      </c>
      <c r="D29" s="23" t="n">
        <v>40</v>
      </c>
      <c r="E29" s="23" t="n">
        <v>3</v>
      </c>
      <c r="F29" s="23" t="n">
        <v>0</v>
      </c>
      <c r="G29" s="23" t="n">
        <v>5</v>
      </c>
      <c r="H29" s="23" t="n">
        <v>6</v>
      </c>
      <c r="I29" s="23" t="n">
        <v>3</v>
      </c>
      <c r="J29" s="23" t="n">
        <v>6</v>
      </c>
      <c r="K29" s="23" t="n">
        <v>3</v>
      </c>
      <c r="L29" s="23" t="n">
        <v>2</v>
      </c>
      <c r="M29" s="23" t="n">
        <v>2</v>
      </c>
      <c r="N29" s="24">
        <f>SUM(E29:M29)</f>
        <v/>
      </c>
      <c r="O29" s="24">
        <f>N29-F29</f>
        <v/>
      </c>
      <c r="P29" s="24">
        <f>IF(Parametros!$B$11=1,N29*12/Parametros!$B$10,N29+3*O29/(Parametros!$B$10-1))</f>
        <v/>
      </c>
    </row>
    <row r="30">
      <c r="A30" s="22" t="inlineStr">
        <is>
          <t>7º JUZGADO CIVIL</t>
        </is>
      </c>
      <c r="B30" s="22" t="inlineStr">
        <is>
          <t>CIVIL - CIVIL</t>
        </is>
      </c>
      <c r="C30" s="22" t="inlineStr">
        <is>
          <t>Civil-Civil</t>
        </is>
      </c>
      <c r="D30" s="23" t="n">
        <v>470</v>
      </c>
      <c r="E30" s="23" t="n">
        <v>43</v>
      </c>
      <c r="F30" s="23" t="n">
        <v>2</v>
      </c>
      <c r="G30" s="23" t="n">
        <v>53</v>
      </c>
      <c r="H30" s="23" t="n">
        <v>47</v>
      </c>
      <c r="I30" s="23" t="n">
        <v>44</v>
      </c>
      <c r="J30" s="23" t="n">
        <v>46</v>
      </c>
      <c r="K30" s="23" t="n">
        <v>49</v>
      </c>
      <c r="L30" s="23" t="n">
        <v>33</v>
      </c>
      <c r="M30" s="23" t="n">
        <v>28</v>
      </c>
      <c r="N30" s="24">
        <f>SUM(E30:M30)</f>
        <v/>
      </c>
      <c r="O30" s="24">
        <f>N30-F30</f>
        <v/>
      </c>
      <c r="P30" s="24">
        <f>IF(Parametros!$B$11=1,N30*12/Parametros!$B$10,N30+3*O30/(Parametros!$B$10-1))</f>
        <v/>
      </c>
    </row>
    <row r="31">
      <c r="A31" s="22" t="inlineStr">
        <is>
          <t>7º JUZGADO CIVIL</t>
        </is>
      </c>
      <c r="B31" s="22" t="inlineStr">
        <is>
          <t>CIVIL - COMERCIAL</t>
        </is>
      </c>
      <c r="C31" s="22" t="inlineStr">
        <is>
          <t>Resto</t>
        </is>
      </c>
      <c r="D31" s="23" t="n">
        <v>31</v>
      </c>
      <c r="E31" s="23" t="n">
        <v>6</v>
      </c>
      <c r="F31" s="23" t="n">
        <v>0</v>
      </c>
      <c r="G31" s="23" t="n">
        <v>11</v>
      </c>
      <c r="H31" s="23" t="n">
        <v>16</v>
      </c>
      <c r="I31" s="23" t="n">
        <v>10</v>
      </c>
      <c r="J31" s="23" t="n">
        <v>4</v>
      </c>
      <c r="K31" s="23" t="n">
        <v>8</v>
      </c>
      <c r="L31" s="23" t="n">
        <v>6</v>
      </c>
      <c r="M31" s="23" t="n">
        <v>10</v>
      </c>
      <c r="N31" s="24">
        <f>SUM(E31:M31)</f>
        <v/>
      </c>
      <c r="O31" s="24">
        <f>N31-F31</f>
        <v/>
      </c>
      <c r="P31" s="24">
        <f>IF(Parametros!$B$11=1,N31*12/Parametros!$B$10,N31+3*O31/(Parametros!$B$10-1))</f>
        <v/>
      </c>
    </row>
    <row r="32">
      <c r="A32" s="22" t="inlineStr">
        <is>
          <t>7º JUZGADO CIVIL</t>
        </is>
      </c>
      <c r="B32" s="22" t="inlineStr">
        <is>
          <t>CIVIL - CONTENCIOSO ADMINISTRATIVO</t>
        </is>
      </c>
      <c r="C32" s="22" t="inlineStr">
        <is>
          <t>Resto</t>
        </is>
      </c>
      <c r="D32" s="23" t="n">
        <v>29</v>
      </c>
      <c r="E32" s="23" t="n">
        <v>4</v>
      </c>
      <c r="F32" s="23" t="n">
        <v>0</v>
      </c>
      <c r="G32" s="23" t="n">
        <v>2</v>
      </c>
      <c r="H32" s="23" t="n">
        <v>4</v>
      </c>
      <c r="I32" s="23" t="n">
        <v>3</v>
      </c>
      <c r="J32" s="23" t="n">
        <v>5</v>
      </c>
      <c r="K32" s="23" t="n">
        <v>3</v>
      </c>
      <c r="L32" s="23" t="n">
        <v>3</v>
      </c>
      <c r="M32" s="23" t="n">
        <v>5</v>
      </c>
      <c r="N32" s="24">
        <f>SUM(E32:M32)</f>
        <v/>
      </c>
      <c r="O32" s="24">
        <f>N32-F32</f>
        <v/>
      </c>
      <c r="P32" s="24">
        <f>IF(Parametros!$B$11=1,N32*12/Parametros!$B$10,N32+3*O32/(Parametros!$B$10-1))</f>
        <v/>
      </c>
    </row>
    <row r="33">
      <c r="A33" s="22" t="inlineStr">
        <is>
          <t>8º JUZGADO CIVIL</t>
        </is>
      </c>
      <c r="B33" s="22" t="inlineStr">
        <is>
          <t>CIVIL - CIVIL</t>
        </is>
      </c>
      <c r="C33" s="22" t="inlineStr">
        <is>
          <t>Civil-Civil</t>
        </is>
      </c>
      <c r="D33" s="23" t="n">
        <v>519</v>
      </c>
      <c r="E33" s="23" t="n">
        <v>43</v>
      </c>
      <c r="F33" s="23" t="n">
        <v>1</v>
      </c>
      <c r="G33" s="23" t="n">
        <v>33</v>
      </c>
      <c r="H33" s="23" t="n">
        <v>40</v>
      </c>
      <c r="I33" s="23" t="n">
        <v>46</v>
      </c>
      <c r="J33" s="23" t="n">
        <v>43</v>
      </c>
      <c r="K33" s="23" t="n">
        <v>28</v>
      </c>
      <c r="L33" s="23" t="n">
        <v>38</v>
      </c>
      <c r="M33" s="23" t="n">
        <v>46</v>
      </c>
      <c r="N33" s="24">
        <f>SUM(E33:M33)</f>
        <v/>
      </c>
      <c r="O33" s="24">
        <f>N33-F33</f>
        <v/>
      </c>
      <c r="P33" s="24">
        <f>IF(Parametros!$B$11=1,N33*12/Parametros!$B$10,N33+3*O33/(Parametros!$B$10-1))</f>
        <v/>
      </c>
    </row>
    <row r="34">
      <c r="A34" s="22" t="inlineStr">
        <is>
          <t>8º JUZGADO CIVIL</t>
        </is>
      </c>
      <c r="B34" s="22" t="inlineStr">
        <is>
          <t>CIVIL - COMERCIAL</t>
        </is>
      </c>
      <c r="C34" s="22" t="inlineStr">
        <is>
          <t>Resto</t>
        </is>
      </c>
      <c r="D34" s="23" t="n">
        <v>49</v>
      </c>
      <c r="E34" s="23" t="n">
        <v>5</v>
      </c>
      <c r="F34" s="23" t="n">
        <v>0</v>
      </c>
      <c r="G34" s="23" t="n">
        <v>16</v>
      </c>
      <c r="H34" s="23" t="n">
        <v>3</v>
      </c>
      <c r="I34" s="23" t="n">
        <v>14</v>
      </c>
      <c r="J34" s="23" t="n">
        <v>18</v>
      </c>
      <c r="K34" s="23" t="n">
        <v>2</v>
      </c>
      <c r="L34" s="23" t="n">
        <v>4</v>
      </c>
      <c r="M34" s="23" t="n">
        <v>17</v>
      </c>
      <c r="N34" s="24">
        <f>SUM(E34:M34)</f>
        <v/>
      </c>
      <c r="O34" s="24">
        <f>N34-F34</f>
        <v/>
      </c>
      <c r="P34" s="24">
        <f>IF(Parametros!$B$11=1,N34*12/Parametros!$B$10,N34+3*O34/(Parametros!$B$10-1))</f>
        <v/>
      </c>
    </row>
    <row r="35">
      <c r="A35" s="22" t="inlineStr">
        <is>
          <t>8º JUZGADO CIVIL</t>
        </is>
      </c>
      <c r="B35" s="22" t="inlineStr">
        <is>
          <t>CIVIL - CONTENCIOSO ADMINISTRATIVO</t>
        </is>
      </c>
      <c r="C35" s="22" t="inlineStr">
        <is>
          <t>Resto</t>
        </is>
      </c>
      <c r="D35" s="23" t="n">
        <v>32</v>
      </c>
      <c r="E35" s="23" t="n">
        <v>3</v>
      </c>
      <c r="F35" s="23" t="n">
        <v>0</v>
      </c>
      <c r="G35" s="23" t="n">
        <v>6</v>
      </c>
      <c r="H35" s="23" t="n">
        <v>7</v>
      </c>
      <c r="I35" s="23" t="n">
        <v>0</v>
      </c>
      <c r="J35" s="23" t="n">
        <v>8</v>
      </c>
      <c r="K35" s="23" t="n">
        <v>2</v>
      </c>
      <c r="L35" s="23" t="n">
        <v>3</v>
      </c>
      <c r="M35" s="23" t="n">
        <v>6</v>
      </c>
      <c r="N35" s="24">
        <f>SUM(E35:M35)</f>
        <v/>
      </c>
      <c r="O35" s="24">
        <f>N35-F35</f>
        <v/>
      </c>
      <c r="P35" s="24">
        <f>IF(Parametros!$B$11=1,N35*12/Parametros!$B$10,N35+3*O35/(Parametros!$B$10-1))</f>
        <v/>
      </c>
    </row>
    <row r="36">
      <c r="A36" s="22" t="inlineStr">
        <is>
          <t>9º JUZGADO CIVIL</t>
        </is>
      </c>
      <c r="B36" s="22" t="inlineStr">
        <is>
          <t>CIVIL - CIVIL</t>
        </is>
      </c>
      <c r="C36" s="22" t="inlineStr">
        <is>
          <t>Civil-Civil</t>
        </is>
      </c>
      <c r="D36" s="23" t="n">
        <v>497</v>
      </c>
      <c r="E36" s="23" t="n">
        <v>34</v>
      </c>
      <c r="F36" s="23" t="n">
        <v>0</v>
      </c>
      <c r="G36" s="23" t="n">
        <v>26</v>
      </c>
      <c r="H36" s="23" t="n">
        <v>42</v>
      </c>
      <c r="I36" s="23" t="n">
        <v>47</v>
      </c>
      <c r="J36" s="23" t="n">
        <v>35</v>
      </c>
      <c r="K36" s="23" t="n">
        <v>48</v>
      </c>
      <c r="L36" s="23" t="n">
        <v>62</v>
      </c>
      <c r="M36" s="23" t="n">
        <v>58</v>
      </c>
      <c r="N36" s="24">
        <f>SUM(E36:M36)</f>
        <v/>
      </c>
      <c r="O36" s="24">
        <f>N36-F36</f>
        <v/>
      </c>
      <c r="P36" s="24">
        <f>IF(Parametros!$B$11=1,N36*12/Parametros!$B$10,N36+3*O36/(Parametros!$B$10-1))</f>
        <v/>
      </c>
    </row>
    <row r="37">
      <c r="A37" s="22" t="inlineStr">
        <is>
          <t>9º JUZGADO CIVIL</t>
        </is>
      </c>
      <c r="B37" s="22" t="inlineStr">
        <is>
          <t>CIVIL - COMERCIAL</t>
        </is>
      </c>
      <c r="C37" s="22" t="inlineStr">
        <is>
          <t>Resto</t>
        </is>
      </c>
      <c r="D37" s="23" t="n">
        <v>51</v>
      </c>
      <c r="E37" s="23" t="n">
        <v>5</v>
      </c>
      <c r="F37" s="23" t="n">
        <v>0</v>
      </c>
      <c r="G37" s="23" t="n">
        <v>9</v>
      </c>
      <c r="H37" s="23" t="n">
        <v>12</v>
      </c>
      <c r="I37" s="23" t="n">
        <v>6</v>
      </c>
      <c r="J37" s="23" t="n">
        <v>10</v>
      </c>
      <c r="K37" s="23" t="n">
        <v>4</v>
      </c>
      <c r="L37" s="23" t="n">
        <v>14</v>
      </c>
      <c r="M37" s="23" t="n">
        <v>5</v>
      </c>
      <c r="N37" s="24">
        <f>SUM(E37:M37)</f>
        <v/>
      </c>
      <c r="O37" s="24">
        <f>N37-F37</f>
        <v/>
      </c>
      <c r="P37" s="24">
        <f>IF(Parametros!$B$11=1,N37*12/Parametros!$B$10,N37+3*O37/(Parametros!$B$10-1))</f>
        <v/>
      </c>
    </row>
    <row r="38">
      <c r="A38" s="22" t="inlineStr">
        <is>
          <t>9º JUZGADO CIVIL</t>
        </is>
      </c>
      <c r="B38" s="22" t="inlineStr">
        <is>
          <t>CIVIL - CONTENCIOSO ADMINISTRATIVO</t>
        </is>
      </c>
      <c r="C38" s="22" t="inlineStr">
        <is>
          <t>Resto</t>
        </is>
      </c>
      <c r="D38" s="23" t="n">
        <v>34</v>
      </c>
      <c r="E38" s="23" t="n">
        <v>5</v>
      </c>
      <c r="F38" s="23" t="n">
        <v>0</v>
      </c>
      <c r="G38" s="23" t="n">
        <v>1</v>
      </c>
      <c r="H38" s="23" t="n">
        <v>1</v>
      </c>
      <c r="I38" s="23" t="n">
        <v>3</v>
      </c>
      <c r="J38" s="23" t="n">
        <v>4</v>
      </c>
      <c r="K38" s="23" t="n">
        <v>1</v>
      </c>
      <c r="L38" s="23" t="n">
        <v>6</v>
      </c>
      <c r="M38" s="23" t="n">
        <v>0</v>
      </c>
      <c r="N38" s="24">
        <f>SUM(E38:M38)</f>
        <v/>
      </c>
      <c r="O38" s="24">
        <f>N38-F38</f>
        <v/>
      </c>
      <c r="P38" s="24">
        <f>IF(Parametros!$B$11=1,N38*12/Parametros!$B$10,N38+3*O38/(Parametros!$B$10-1))</f>
        <v/>
      </c>
    </row>
    <row r="39">
      <c r="A39" s="22" t="inlineStr">
        <is>
          <t>9º JUZGADO CIVIL</t>
        </is>
      </c>
      <c r="B39" s="22" t="inlineStr">
        <is>
          <t>LABORAL - CONTENCIOSO ADMINISTRATIVO</t>
        </is>
      </c>
      <c r="C39" s="22" t="inlineStr">
        <is>
          <t>Resto</t>
        </is>
      </c>
      <c r="D39" s="23" t="n">
        <v>0</v>
      </c>
      <c r="E39" s="23" t="n">
        <v>0</v>
      </c>
      <c r="F39" s="23" t="n">
        <v>0</v>
      </c>
      <c r="G39" s="23" t="n">
        <v>0</v>
      </c>
      <c r="H39" s="23" t="n">
        <v>0</v>
      </c>
      <c r="I39" s="23" t="n">
        <v>0</v>
      </c>
      <c r="J39" s="23" t="n">
        <v>0</v>
      </c>
      <c r="K39" s="23" t="n">
        <v>0</v>
      </c>
      <c r="L39" s="23" t="n">
        <v>1</v>
      </c>
      <c r="M39" s="23" t="n">
        <v>0</v>
      </c>
      <c r="N39" s="24">
        <f>SUM(E39:M39)</f>
        <v/>
      </c>
      <c r="O39" s="24">
        <f>N39-F39</f>
        <v/>
      </c>
      <c r="P39" s="24">
        <f>IF(Parametros!$B$11=1,N39*12/Parametros!$B$10,N39+3*O39/(Parametros!$B$10-1))</f>
        <v/>
      </c>
    </row>
    <row r="40">
      <c r="A40" s="22" t="inlineStr">
        <is>
          <t>10º JUZGADO CIVIL</t>
        </is>
      </c>
      <c r="B40" s="22" t="inlineStr">
        <is>
          <t>CIVIL - CIVIL</t>
        </is>
      </c>
      <c r="C40" s="22" t="inlineStr">
        <is>
          <t>Civil-Civil</t>
        </is>
      </c>
      <c r="D40" s="23" t="n">
        <v>444</v>
      </c>
      <c r="E40" s="23" t="n">
        <v>36</v>
      </c>
      <c r="F40" s="23" t="n">
        <v>0</v>
      </c>
      <c r="G40" s="23" t="n">
        <v>45</v>
      </c>
      <c r="H40" s="23" t="n">
        <v>52</v>
      </c>
      <c r="I40" s="23" t="n">
        <v>45</v>
      </c>
      <c r="J40" s="23" t="n">
        <v>54</v>
      </c>
      <c r="K40" s="23" t="n">
        <v>40</v>
      </c>
      <c r="L40" s="23" t="n">
        <v>44</v>
      </c>
      <c r="M40" s="23" t="n">
        <v>62</v>
      </c>
      <c r="N40" s="24">
        <f>SUM(E40:M40)</f>
        <v/>
      </c>
      <c r="O40" s="24">
        <f>N40-F40</f>
        <v/>
      </c>
      <c r="P40" s="24">
        <f>IF(Parametros!$B$11=1,N40*12/Parametros!$B$10,N40+3*O40/(Parametros!$B$10-1))</f>
        <v/>
      </c>
    </row>
    <row r="41">
      <c r="A41" s="22" t="inlineStr">
        <is>
          <t>10º JUZGADO CIVIL</t>
        </is>
      </c>
      <c r="B41" s="22" t="inlineStr">
        <is>
          <t>CIVIL - COMERCIAL</t>
        </is>
      </c>
      <c r="C41" s="22" t="inlineStr">
        <is>
          <t>Resto</t>
        </is>
      </c>
      <c r="D41" s="23" t="n">
        <v>35</v>
      </c>
      <c r="E41" s="23" t="n">
        <v>3</v>
      </c>
      <c r="F41" s="23" t="n">
        <v>0</v>
      </c>
      <c r="G41" s="23" t="n">
        <v>21</v>
      </c>
      <c r="H41" s="23" t="n">
        <v>10</v>
      </c>
      <c r="I41" s="23" t="n">
        <v>11</v>
      </c>
      <c r="J41" s="23" t="n">
        <v>7</v>
      </c>
      <c r="K41" s="23" t="n">
        <v>6</v>
      </c>
      <c r="L41" s="23" t="n">
        <v>8</v>
      </c>
      <c r="M41" s="23" t="n">
        <v>2</v>
      </c>
      <c r="N41" s="24">
        <f>SUM(E41:M41)</f>
        <v/>
      </c>
      <c r="O41" s="24">
        <f>N41-F41</f>
        <v/>
      </c>
      <c r="P41" s="24">
        <f>IF(Parametros!$B$11=1,N41*12/Parametros!$B$10,N41+3*O41/(Parametros!$B$10-1))</f>
        <v/>
      </c>
    </row>
    <row r="42">
      <c r="A42" s="22" t="inlineStr">
        <is>
          <t>10º JUZGADO CIVIL</t>
        </is>
      </c>
      <c r="B42" s="22" t="inlineStr">
        <is>
          <t>CIVIL - CONSTITUCIONAL</t>
        </is>
      </c>
      <c r="C42" s="22" t="inlineStr">
        <is>
          <t>Resto</t>
        </is>
      </c>
      <c r="D42" s="23" t="n">
        <v>1</v>
      </c>
      <c r="E42" s="23" t="n">
        <v>1</v>
      </c>
      <c r="F42" s="23" t="n">
        <v>0</v>
      </c>
      <c r="G42" s="23" t="n">
        <v>0</v>
      </c>
      <c r="H42" s="23" t="n">
        <v>0</v>
      </c>
      <c r="I42" s="23" t="n">
        <v>0</v>
      </c>
      <c r="J42" s="23" t="n">
        <v>0</v>
      </c>
      <c r="K42" s="23" t="n">
        <v>0</v>
      </c>
      <c r="L42" s="23" t="n">
        <v>0</v>
      </c>
      <c r="M42" s="23" t="n">
        <v>0</v>
      </c>
      <c r="N42" s="24">
        <f>SUM(E42:M42)</f>
        <v/>
      </c>
      <c r="O42" s="24">
        <f>N42-F42</f>
        <v/>
      </c>
      <c r="P42" s="24">
        <f>IF(Parametros!$B$11=1,N42*12/Parametros!$B$10,N42+3*O42/(Parametros!$B$10-1))</f>
        <v/>
      </c>
    </row>
    <row r="43">
      <c r="A43" s="22" t="inlineStr">
        <is>
          <t>10º JUZGADO CIVIL</t>
        </is>
      </c>
      <c r="B43" s="22" t="inlineStr">
        <is>
          <t>CIVIL - CONTENCIOSO ADMINISTRATIVO</t>
        </is>
      </c>
      <c r="C43" s="22" t="inlineStr">
        <is>
          <t>Resto</t>
        </is>
      </c>
      <c r="D43" s="23" t="n">
        <v>38</v>
      </c>
      <c r="E43" s="23" t="n">
        <v>6</v>
      </c>
      <c r="F43" s="23" t="n">
        <v>0</v>
      </c>
      <c r="G43" s="23" t="n">
        <v>3</v>
      </c>
      <c r="H43" s="23" t="n">
        <v>7</v>
      </c>
      <c r="I43" s="23" t="n">
        <v>5</v>
      </c>
      <c r="J43" s="23" t="n">
        <v>4</v>
      </c>
      <c r="K43" s="23" t="n">
        <v>2</v>
      </c>
      <c r="L43" s="23" t="n">
        <v>4</v>
      </c>
      <c r="M43" s="23" t="n">
        <v>5</v>
      </c>
      <c r="N43" s="24">
        <f>SUM(E43:M43)</f>
        <v/>
      </c>
      <c r="O43" s="24">
        <f>N43-F43</f>
        <v/>
      </c>
      <c r="P43" s="24">
        <f>IF(Parametros!$B$11=1,N43*12/Parametros!$B$10,N43+3*O43/(Parametros!$B$10-1))</f>
        <v/>
      </c>
    </row>
    <row r="44">
      <c r="A44" s="22" t="inlineStr">
        <is>
          <t>11° JUZGADO CIVIL</t>
        </is>
      </c>
      <c r="B44" s="22" t="inlineStr">
        <is>
          <t>CIVIL - CIVIL</t>
        </is>
      </c>
      <c r="C44" s="22" t="inlineStr">
        <is>
          <t>Civil-Civil</t>
        </is>
      </c>
      <c r="D44" s="23" t="n">
        <v>105</v>
      </c>
      <c r="E44" s="23" t="n">
        <v>17</v>
      </c>
      <c r="F44" s="23" t="n">
        <v>5</v>
      </c>
      <c r="G44" s="23" t="n">
        <v>15</v>
      </c>
      <c r="H44" s="23" t="n">
        <v>5</v>
      </c>
      <c r="I44" s="23" t="n">
        <v>3</v>
      </c>
      <c r="J44" s="23" t="n">
        <v>4</v>
      </c>
      <c r="K44" s="23" t="n">
        <v>6</v>
      </c>
      <c r="L44" s="23" t="n">
        <v>7</v>
      </c>
      <c r="M44" s="23" t="n">
        <v>4</v>
      </c>
      <c r="N44" s="24">
        <f>SUM(E44:M44)</f>
        <v/>
      </c>
      <c r="O44" s="24">
        <f>N44-F44</f>
        <v/>
      </c>
      <c r="P44" s="24">
        <f>IF(Parametros!$B$11=1,N44*12/Parametros!$B$10,N44+3*O44/(Parametros!$B$10-1))</f>
        <v/>
      </c>
    </row>
    <row r="45">
      <c r="A45" s="22" t="inlineStr">
        <is>
          <t>11° JUZGADO CIVIL</t>
        </is>
      </c>
      <c r="B45" s="22" t="inlineStr">
        <is>
          <t>CIVIL - COMERCIAL</t>
        </is>
      </c>
      <c r="C45" s="22" t="inlineStr">
        <is>
          <t>Resto</t>
        </is>
      </c>
      <c r="D45" s="23" t="n">
        <v>2</v>
      </c>
      <c r="E45" s="23" t="n">
        <v>4</v>
      </c>
      <c r="F45" s="23" t="n">
        <v>0</v>
      </c>
      <c r="G45" s="23" t="n">
        <v>2</v>
      </c>
      <c r="H45" s="23" t="n">
        <v>3</v>
      </c>
      <c r="I45" s="23" t="n">
        <v>2</v>
      </c>
      <c r="J45" s="23" t="n">
        <v>0</v>
      </c>
      <c r="K45" s="23" t="n">
        <v>0</v>
      </c>
      <c r="L45" s="23" t="n">
        <v>1</v>
      </c>
      <c r="M45" s="23" t="n">
        <v>0</v>
      </c>
      <c r="N45" s="24">
        <f>SUM(E45:M45)</f>
        <v/>
      </c>
      <c r="O45" s="24">
        <f>N45-F45</f>
        <v/>
      </c>
      <c r="P45" s="24">
        <f>IF(Parametros!$B$11=1,N45*12/Parametros!$B$10,N45+3*O45/(Parametros!$B$10-1))</f>
        <v/>
      </c>
    </row>
    <row r="46">
      <c r="A46" s="22" t="inlineStr">
        <is>
          <t>11° JUZGADO CIVIL</t>
        </is>
      </c>
      <c r="B46" s="22" t="inlineStr">
        <is>
          <t>CIVIL - CONTENCIOSO ADMINISTRATIVO</t>
        </is>
      </c>
      <c r="C46" s="22" t="inlineStr">
        <is>
          <t>Resto</t>
        </is>
      </c>
      <c r="D46" s="23" t="n">
        <v>3</v>
      </c>
      <c r="E46" s="23" t="n">
        <v>0</v>
      </c>
      <c r="F46" s="23" t="n">
        <v>0</v>
      </c>
      <c r="G46" s="23" t="n">
        <v>0</v>
      </c>
      <c r="H46" s="23" t="n">
        <v>2</v>
      </c>
      <c r="I46" s="23" t="n">
        <v>0</v>
      </c>
      <c r="J46" s="23" t="n">
        <v>1</v>
      </c>
      <c r="K46" s="23" t="n">
        <v>0</v>
      </c>
      <c r="L46" s="23" t="n">
        <v>0</v>
      </c>
      <c r="M46" s="23" t="n">
        <v>0</v>
      </c>
      <c r="N46" s="24">
        <f>SUM(E46:M46)</f>
        <v/>
      </c>
      <c r="O46" s="24">
        <f>N46-F46</f>
        <v/>
      </c>
      <c r="P46" s="24">
        <f>IF(Parametros!$B$11=1,N46*12/Parametros!$B$10,N46+3*O46/(Parametros!$B$10-1))</f>
        <v/>
      </c>
    </row>
    <row r="47">
      <c r="A47" s="22" t="inlineStr">
        <is>
          <t>1° JUZGADO CIVIL TRANSITORIO</t>
        </is>
      </c>
      <c r="B47" s="22" t="inlineStr">
        <is>
          <t>CIVIL - CIVIL</t>
        </is>
      </c>
      <c r="C47" s="22" t="inlineStr">
        <is>
          <t>Civil-Civil</t>
        </is>
      </c>
      <c r="D47" s="23" t="n">
        <v>17</v>
      </c>
      <c r="E47" s="23" t="n">
        <v>13</v>
      </c>
      <c r="F47" s="23" t="n">
        <v>0</v>
      </c>
      <c r="G47" s="23" t="n">
        <v>4</v>
      </c>
      <c r="H47" s="23" t="n">
        <v>5</v>
      </c>
      <c r="I47" s="23" t="n">
        <v>2</v>
      </c>
      <c r="J47" s="23" t="n">
        <v>0</v>
      </c>
      <c r="K47" s="23" t="n">
        <v>4</v>
      </c>
      <c r="L47" s="23" t="n">
        <v>2</v>
      </c>
      <c r="M47" s="23" t="n">
        <v>1</v>
      </c>
      <c r="N47" s="24">
        <f>SUM(E47:M47)</f>
        <v/>
      </c>
      <c r="O47" s="24">
        <f>N47-F47</f>
        <v/>
      </c>
      <c r="P47" s="24">
        <f>IF(Parametros!$B$11=1,N47*12/Parametros!$B$10,N47+3*O47/(Parametros!$B$10-1))</f>
        <v/>
      </c>
    </row>
    <row r="48">
      <c r="A48" s="22" t="inlineStr">
        <is>
          <t>1° JUZGADO CIVIL TRANSITORIO</t>
        </is>
      </c>
      <c r="B48" s="22" t="inlineStr">
        <is>
          <t>CIVIL - COMERCIAL</t>
        </is>
      </c>
      <c r="C48" s="22" t="inlineStr">
        <is>
          <t>Resto</t>
        </is>
      </c>
      <c r="D48" s="23" t="n">
        <v>0</v>
      </c>
      <c r="E48" s="23" t="n">
        <v>0</v>
      </c>
      <c r="F48" s="23" t="n">
        <v>0</v>
      </c>
      <c r="G48" s="23" t="n">
        <v>0</v>
      </c>
      <c r="H48" s="23" t="n">
        <v>2</v>
      </c>
      <c r="I48" s="23" t="n">
        <v>0</v>
      </c>
      <c r="J48" s="23" t="n">
        <v>0</v>
      </c>
      <c r="K48" s="23" t="n">
        <v>3</v>
      </c>
      <c r="L48" s="23" t="n">
        <v>0</v>
      </c>
      <c r="M48" s="23" t="n">
        <v>0</v>
      </c>
      <c r="N48" s="24">
        <f>SUM(E48:M48)</f>
        <v/>
      </c>
      <c r="O48" s="24">
        <f>N48-F48</f>
        <v/>
      </c>
      <c r="P48" s="24">
        <f>IF(Parametros!$B$11=1,N48*12/Parametros!$B$10,N48+3*O48/(Parametros!$B$10-1))</f>
        <v/>
      </c>
    </row>
    <row r="49">
      <c r="A49" s="22" t="inlineStr">
        <is>
          <t>1° JUZGADO CIVIL TRANSITORIO</t>
        </is>
      </c>
      <c r="B49" s="22" t="inlineStr">
        <is>
          <t>LABORAL - CONTENCIOSO ADMINISTRATIVO</t>
        </is>
      </c>
      <c r="C49" s="22" t="inlineStr">
        <is>
          <t>Resto</t>
        </is>
      </c>
      <c r="D49" s="23" t="n">
        <v>1</v>
      </c>
      <c r="E49" s="23" t="n">
        <v>0</v>
      </c>
      <c r="F49" s="23" t="n">
        <v>0</v>
      </c>
      <c r="G49" s="23" t="n">
        <v>0</v>
      </c>
      <c r="H49" s="23" t="n">
        <v>0</v>
      </c>
      <c r="I49" s="23" t="n">
        <v>0</v>
      </c>
      <c r="J49" s="23" t="n">
        <v>0</v>
      </c>
      <c r="K49" s="23" t="n">
        <v>0</v>
      </c>
      <c r="L49" s="23" t="n">
        <v>0</v>
      </c>
      <c r="M49" s="23" t="n">
        <v>0</v>
      </c>
      <c r="N49" s="24">
        <f>SUM(E49:M49)</f>
        <v/>
      </c>
      <c r="O49" s="24">
        <f>N49-F49</f>
        <v/>
      </c>
      <c r="P49" s="24">
        <f>IF(Parametros!$B$11=1,N49*12/Parametros!$B$10,N49+3*O49/(Parametros!$B$10-1))</f>
        <v/>
      </c>
    </row>
    <row r="50">
      <c r="A50" s="22" t="inlineStr">
        <is>
          <t>2° JUZGADO CIVIL TRANSITORIO</t>
        </is>
      </c>
      <c r="B50" s="22" t="inlineStr">
        <is>
          <t>CIVIL - CIVIL</t>
        </is>
      </c>
      <c r="C50" s="22" t="inlineStr">
        <is>
          <t>Civil-Civil</t>
        </is>
      </c>
      <c r="D50" s="23" t="n">
        <v>430</v>
      </c>
      <c r="E50" s="23" t="n">
        <v>2</v>
      </c>
      <c r="F50" s="23" t="n">
        <v>0</v>
      </c>
      <c r="G50" s="23" t="n">
        <v>229</v>
      </c>
      <c r="H50" s="23" t="n">
        <v>208</v>
      </c>
      <c r="I50" s="23" t="n">
        <v>10</v>
      </c>
      <c r="J50" s="23" t="n">
        <v>14</v>
      </c>
      <c r="K50" s="23" t="n">
        <v>11</v>
      </c>
      <c r="L50" s="23" t="n">
        <v>4</v>
      </c>
      <c r="M50" s="23" t="n">
        <v>6</v>
      </c>
      <c r="N50" s="24">
        <f>SUM(E50:M50)</f>
        <v/>
      </c>
      <c r="O50" s="24">
        <f>N50-F50</f>
        <v/>
      </c>
      <c r="P50" s="24">
        <f>IF(Parametros!$B$11=1,N50*12/Parametros!$B$10,N50+3*O50/(Parametros!$B$10-1))</f>
        <v/>
      </c>
    </row>
    <row r="51">
      <c r="A51" s="22" t="inlineStr">
        <is>
          <t>2° JUZGADO CIVIL TRANSITORIO</t>
        </is>
      </c>
      <c r="B51" s="22" t="inlineStr">
        <is>
          <t>CIVIL - COMERCIAL</t>
        </is>
      </c>
      <c r="C51" s="22" t="inlineStr">
        <is>
          <t>Resto</t>
        </is>
      </c>
      <c r="D51" s="23" t="n">
        <v>2</v>
      </c>
      <c r="E51" s="23" t="n">
        <v>0</v>
      </c>
      <c r="F51" s="23" t="n">
        <v>0</v>
      </c>
      <c r="G51" s="23" t="n">
        <v>0</v>
      </c>
      <c r="H51" s="23" t="n">
        <v>1</v>
      </c>
      <c r="I51" s="23" t="n">
        <v>0</v>
      </c>
      <c r="J51" s="23" t="n">
        <v>0</v>
      </c>
      <c r="K51" s="23" t="n">
        <v>0</v>
      </c>
      <c r="L51" s="23" t="n">
        <v>0</v>
      </c>
      <c r="M51" s="23" t="n">
        <v>0</v>
      </c>
      <c r="N51" s="24">
        <f>SUM(E51:M51)</f>
        <v/>
      </c>
      <c r="O51" s="24">
        <f>N51-F51</f>
        <v/>
      </c>
      <c r="P51" s="24">
        <f>IF(Parametros!$B$11=1,N51*12/Parametros!$B$10,N51+3*O51/(Parametros!$B$10-1))</f>
        <v/>
      </c>
    </row>
    <row r="52">
      <c r="A52" s="22" t="inlineStr">
        <is>
          <t>2° JUZGADO CIVIL TRANSITORIO</t>
        </is>
      </c>
      <c r="B52" s="22" t="inlineStr">
        <is>
          <t>CIVIL - CONSTITUCIONAL</t>
        </is>
      </c>
      <c r="C52" s="22" t="inlineStr">
        <is>
          <t>Resto</t>
        </is>
      </c>
      <c r="D52" s="23" t="n">
        <v>2</v>
      </c>
      <c r="E52" s="23" t="n">
        <v>0</v>
      </c>
      <c r="F52" s="23" t="n">
        <v>0</v>
      </c>
      <c r="G52" s="23" t="n">
        <v>0</v>
      </c>
      <c r="H52" s="23" t="n">
        <v>0</v>
      </c>
      <c r="I52" s="23" t="n">
        <v>0</v>
      </c>
      <c r="J52" s="23" t="n">
        <v>0</v>
      </c>
      <c r="K52" s="23" t="n">
        <v>0</v>
      </c>
      <c r="L52" s="23" t="n">
        <v>0</v>
      </c>
      <c r="M52" s="23" t="n">
        <v>1</v>
      </c>
      <c r="N52" s="24">
        <f>SUM(E52:M52)</f>
        <v/>
      </c>
      <c r="O52" s="24">
        <f>N52-F52</f>
        <v/>
      </c>
      <c r="P52" s="24">
        <f>IF(Parametros!$B$11=1,N52*12/Parametros!$B$10,N52+3*O52/(Parametros!$B$10-1))</f>
        <v/>
      </c>
    </row>
    <row r="53">
      <c r="A53" s="22" t="inlineStr">
        <is>
          <t>2° JUZGADO CIVIL TRANSITORIO</t>
        </is>
      </c>
      <c r="B53" s="22" t="inlineStr">
        <is>
          <t>CIVIL - CONTENCIOSO ADMINISTRATIVO</t>
        </is>
      </c>
      <c r="C53" s="22" t="inlineStr">
        <is>
          <t>Resto</t>
        </is>
      </c>
      <c r="D53" s="23" t="n">
        <v>56</v>
      </c>
      <c r="E53" s="23" t="n">
        <v>0</v>
      </c>
      <c r="F53" s="23" t="n">
        <v>0</v>
      </c>
      <c r="G53" s="23" t="n">
        <v>1</v>
      </c>
      <c r="H53" s="23" t="n">
        <v>2</v>
      </c>
      <c r="I53" s="23" t="n">
        <v>2</v>
      </c>
      <c r="J53" s="23" t="n">
        <v>0</v>
      </c>
      <c r="K53" s="23" t="n">
        <v>0</v>
      </c>
      <c r="L53" s="23" t="n">
        <v>0</v>
      </c>
      <c r="M53" s="23" t="n">
        <v>1</v>
      </c>
      <c r="N53" s="24">
        <f>SUM(E53:M53)</f>
        <v/>
      </c>
      <c r="O53" s="24">
        <f>N53-F53</f>
        <v/>
      </c>
      <c r="P53" s="24">
        <f>IF(Parametros!$B$11=1,N53*12/Parametros!$B$10,N53+3*O53/(Parametros!$B$10-1))</f>
        <v/>
      </c>
    </row>
    <row r="55">
      <c r="A55" s="2" t="inlineStr">
        <is>
          <t>Fuente: Ingresos_Tramite_ene-set_2026_jec_ci.xlsx (Poder Judicial – SIJ, F. centralización 01/10/26).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3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12" customWidth="1" min="12" max="12"/>
  </cols>
  <sheetData>
    <row r="1">
      <c r="A1" s="16" t="inlineStr">
        <is>
          <t>EXPEDIENTES PRINCIPALES RESUELTOS – TRÁMITE (SIJ, ene–set 2026)</t>
        </is>
      </c>
    </row>
    <row r="3" ht="45" customHeight="1">
      <c r="A3" s="3" t="inlineStr">
        <is>
          <t>Juzgado</t>
        </is>
      </c>
      <c r="B3" s="3" t="inlineStr">
        <is>
          <t>Subespecialidad</t>
        </is>
      </c>
      <c r="C3" s="3" t="inlineStr">
        <is>
          <t>Ene</t>
        </is>
      </c>
      <c r="D3" s="3" t="inlineStr">
        <is>
          <t>Feb</t>
        </is>
      </c>
      <c r="E3" s="3" t="inlineStr">
        <is>
          <t>Mar</t>
        </is>
      </c>
      <c r="F3" s="3" t="inlineStr">
        <is>
          <t>Abr</t>
        </is>
      </c>
      <c r="G3" s="3" t="inlineStr">
        <is>
          <t>May</t>
        </is>
      </c>
      <c r="H3" s="3" t="inlineStr">
        <is>
          <t>Jun</t>
        </is>
      </c>
      <c r="I3" s="3" t="inlineStr">
        <is>
          <t>Jul</t>
        </is>
      </c>
      <c r="J3" s="3" t="inlineStr">
        <is>
          <t>Ago</t>
        </is>
      </c>
      <c r="K3" s="3" t="inlineStr">
        <is>
          <t>Set</t>
        </is>
      </c>
      <c r="L3" s="3" t="inlineStr">
        <is>
          <t>Resueltos ene–set</t>
        </is>
      </c>
    </row>
    <row r="4">
      <c r="A4" s="22" t="inlineStr">
        <is>
          <t>1º JUZGADO CIVIL</t>
        </is>
      </c>
      <c r="B4" s="22" t="inlineStr">
        <is>
          <t>CIVIL - CIVIL</t>
        </is>
      </c>
      <c r="C4" s="23" t="n">
        <v>47</v>
      </c>
      <c r="D4" s="23" t="n">
        <v>0</v>
      </c>
      <c r="E4" s="23" t="n">
        <v>43</v>
      </c>
      <c r="F4" s="23" t="n">
        <v>43</v>
      </c>
      <c r="G4" s="23" t="n">
        <v>45</v>
      </c>
      <c r="H4" s="23" t="n">
        <v>43</v>
      </c>
      <c r="I4" s="23" t="n">
        <v>48</v>
      </c>
      <c r="J4" s="23" t="n">
        <v>47</v>
      </c>
      <c r="K4" s="23" t="n">
        <v>50</v>
      </c>
      <c r="L4" s="22">
        <f>SUM(C4:K4)</f>
        <v/>
      </c>
    </row>
    <row r="5">
      <c r="A5" s="22" t="inlineStr">
        <is>
          <t>1º JUZGADO CIVIL</t>
        </is>
      </c>
      <c r="B5" s="22" t="inlineStr">
        <is>
          <t>CIVIL - COMERCIAL</t>
        </is>
      </c>
      <c r="C5" s="23" t="n">
        <v>18</v>
      </c>
      <c r="D5" s="23" t="n">
        <v>0</v>
      </c>
      <c r="E5" s="23" t="n">
        <v>17</v>
      </c>
      <c r="F5" s="23" t="n">
        <v>14</v>
      </c>
      <c r="G5" s="23" t="n">
        <v>9</v>
      </c>
      <c r="H5" s="23" t="n">
        <v>14</v>
      </c>
      <c r="I5" s="23" t="n">
        <v>7</v>
      </c>
      <c r="J5" s="23" t="n">
        <v>5</v>
      </c>
      <c r="K5" s="23" t="n">
        <v>7</v>
      </c>
      <c r="L5" s="22">
        <f>SUM(C5:K5)</f>
        <v/>
      </c>
    </row>
    <row r="6">
      <c r="A6" s="22" t="inlineStr">
        <is>
          <t>1º JUZGADO CIVIL</t>
        </is>
      </c>
      <c r="B6" s="22" t="inlineStr">
        <is>
          <t>FAMILIA - FAMILIA CIVIL</t>
        </is>
      </c>
      <c r="C6" s="23" t="n">
        <v>0</v>
      </c>
      <c r="D6" s="23" t="n">
        <v>0</v>
      </c>
      <c r="E6" s="23" t="n">
        <v>1</v>
      </c>
      <c r="F6" s="23" t="n">
        <v>0</v>
      </c>
      <c r="G6" s="23" t="n">
        <v>0</v>
      </c>
      <c r="H6" s="23" t="n">
        <v>0</v>
      </c>
      <c r="I6" s="23" t="n">
        <v>0</v>
      </c>
      <c r="J6" s="23" t="n">
        <v>0</v>
      </c>
      <c r="K6" s="23" t="n">
        <v>0</v>
      </c>
      <c r="L6" s="22">
        <f>SUM(C6:K6)</f>
        <v/>
      </c>
    </row>
    <row r="7">
      <c r="A7" s="22" t="inlineStr">
        <is>
          <t>1º JUZGADO CIVIL</t>
        </is>
      </c>
      <c r="B7" s="22" t="inlineStr">
        <is>
          <t>CIVIL - CONTENCIOSO ADMINISTRATIVO</t>
        </is>
      </c>
      <c r="C7" s="23" t="n">
        <v>7</v>
      </c>
      <c r="D7" s="23" t="n">
        <v>0</v>
      </c>
      <c r="E7" s="23" t="n">
        <v>4</v>
      </c>
      <c r="F7" s="23" t="n">
        <v>3</v>
      </c>
      <c r="G7" s="23" t="n">
        <v>6</v>
      </c>
      <c r="H7" s="23" t="n">
        <v>0</v>
      </c>
      <c r="I7" s="23" t="n">
        <v>5</v>
      </c>
      <c r="J7" s="23" t="n">
        <v>5</v>
      </c>
      <c r="K7" s="23" t="n">
        <v>1</v>
      </c>
      <c r="L7" s="22">
        <f>SUM(C7:K7)</f>
        <v/>
      </c>
    </row>
    <row r="8">
      <c r="A8" s="22" t="inlineStr">
        <is>
          <t>2º JUZGADO CIVIL</t>
        </is>
      </c>
      <c r="B8" s="22" t="inlineStr">
        <is>
          <t>CIVIL - CIVIL</t>
        </is>
      </c>
      <c r="C8" s="23" t="n">
        <v>38</v>
      </c>
      <c r="D8" s="23" t="n">
        <v>0</v>
      </c>
      <c r="E8" s="23" t="n">
        <v>39</v>
      </c>
      <c r="F8" s="23" t="n">
        <v>40</v>
      </c>
      <c r="G8" s="23" t="n">
        <v>40</v>
      </c>
      <c r="H8" s="23" t="n">
        <v>40</v>
      </c>
      <c r="I8" s="23" t="n">
        <v>24</v>
      </c>
      <c r="J8" s="23" t="n">
        <v>24</v>
      </c>
      <c r="K8" s="23" t="n">
        <v>37</v>
      </c>
      <c r="L8" s="22">
        <f>SUM(C8:K8)</f>
        <v/>
      </c>
    </row>
    <row r="9">
      <c r="A9" s="22" t="inlineStr">
        <is>
          <t>2º JUZGADO CIVIL</t>
        </is>
      </c>
      <c r="B9" s="22" t="inlineStr">
        <is>
          <t>CIVIL - COMERCIAL</t>
        </is>
      </c>
      <c r="C9" s="23" t="n">
        <v>8</v>
      </c>
      <c r="D9" s="23" t="n">
        <v>0</v>
      </c>
      <c r="E9" s="23" t="n">
        <v>10</v>
      </c>
      <c r="F9" s="23" t="n">
        <v>12</v>
      </c>
      <c r="G9" s="23" t="n">
        <v>12</v>
      </c>
      <c r="H9" s="23" t="n">
        <v>9</v>
      </c>
      <c r="I9" s="23" t="n">
        <v>17</v>
      </c>
      <c r="J9" s="23" t="n">
        <v>7</v>
      </c>
      <c r="K9" s="23" t="n">
        <v>17</v>
      </c>
      <c r="L9" s="22">
        <f>SUM(C9:K9)</f>
        <v/>
      </c>
    </row>
    <row r="10">
      <c r="A10" s="22" t="inlineStr">
        <is>
          <t>2º JUZGADO CIVIL</t>
        </is>
      </c>
      <c r="B10" s="22" t="inlineStr">
        <is>
          <t>CIVIL - CONSTITUCIONAL</t>
        </is>
      </c>
      <c r="C10" s="23" t="n">
        <v>0</v>
      </c>
      <c r="D10" s="23" t="n">
        <v>0</v>
      </c>
      <c r="E10" s="23" t="n">
        <v>0</v>
      </c>
      <c r="F10" s="23" t="n">
        <v>0</v>
      </c>
      <c r="G10" s="23" t="n">
        <v>0</v>
      </c>
      <c r="H10" s="23" t="n">
        <v>0</v>
      </c>
      <c r="I10" s="23" t="n">
        <v>0</v>
      </c>
      <c r="J10" s="23" t="n">
        <v>0</v>
      </c>
      <c r="K10" s="23" t="n">
        <v>1</v>
      </c>
      <c r="L10" s="22">
        <f>SUM(C10:K10)</f>
        <v/>
      </c>
    </row>
    <row r="11">
      <c r="A11" s="22" t="inlineStr">
        <is>
          <t>2º JUZGADO CIVIL</t>
        </is>
      </c>
      <c r="B11" s="22" t="inlineStr">
        <is>
          <t>CIVIL - CONTENCIOSO ADMINISTRATIVO</t>
        </is>
      </c>
      <c r="C11" s="23" t="n">
        <v>0</v>
      </c>
      <c r="D11" s="23" t="n">
        <v>0</v>
      </c>
      <c r="E11" s="23" t="n">
        <v>4</v>
      </c>
      <c r="F11" s="23" t="n">
        <v>2</v>
      </c>
      <c r="G11" s="23" t="n">
        <v>5</v>
      </c>
      <c r="H11" s="23" t="n">
        <v>1</v>
      </c>
      <c r="I11" s="23" t="n">
        <v>1</v>
      </c>
      <c r="J11" s="23" t="n">
        <v>2</v>
      </c>
      <c r="K11" s="23" t="n">
        <v>7</v>
      </c>
      <c r="L11" s="22">
        <f>SUM(C11:K11)</f>
        <v/>
      </c>
    </row>
    <row r="12">
      <c r="A12" s="22" t="inlineStr">
        <is>
          <t>3º JUZGADO CIVIL</t>
        </is>
      </c>
      <c r="B12" s="22" t="inlineStr">
        <is>
          <t>CIVIL - CIVIL</t>
        </is>
      </c>
      <c r="C12" s="23" t="n">
        <v>68</v>
      </c>
      <c r="D12" s="23" t="n">
        <v>0</v>
      </c>
      <c r="E12" s="23" t="n">
        <v>44</v>
      </c>
      <c r="F12" s="23" t="n">
        <v>62</v>
      </c>
      <c r="G12" s="23" t="n">
        <v>49</v>
      </c>
      <c r="H12" s="23" t="n">
        <v>41</v>
      </c>
      <c r="I12" s="23" t="n">
        <v>55</v>
      </c>
      <c r="J12" s="23" t="n">
        <v>44</v>
      </c>
      <c r="K12" s="23" t="n">
        <v>51</v>
      </c>
      <c r="L12" s="22">
        <f>SUM(C12:K12)</f>
        <v/>
      </c>
    </row>
    <row r="13">
      <c r="A13" s="22" t="inlineStr">
        <is>
          <t>3º JUZGADO CIVIL</t>
        </is>
      </c>
      <c r="B13" s="22" t="inlineStr">
        <is>
          <t>CIVIL - COMERCIAL</t>
        </is>
      </c>
      <c r="C13" s="23" t="n">
        <v>20</v>
      </c>
      <c r="D13" s="23" t="n">
        <v>0</v>
      </c>
      <c r="E13" s="23" t="n">
        <v>12</v>
      </c>
      <c r="F13" s="23" t="n">
        <v>10</v>
      </c>
      <c r="G13" s="23" t="n">
        <v>12</v>
      </c>
      <c r="H13" s="23" t="n">
        <v>7</v>
      </c>
      <c r="I13" s="23" t="n">
        <v>2</v>
      </c>
      <c r="J13" s="23" t="n">
        <v>6</v>
      </c>
      <c r="K13" s="23" t="n">
        <v>10</v>
      </c>
      <c r="L13" s="22">
        <f>SUM(C13:K13)</f>
        <v/>
      </c>
    </row>
    <row r="14">
      <c r="A14" s="22" t="inlineStr">
        <is>
          <t>3º JUZGADO CIVIL</t>
        </is>
      </c>
      <c r="B14" s="22" t="inlineStr">
        <is>
          <t>CIVIL - CONTENCIOSO ADMINISTRATIVO</t>
        </is>
      </c>
      <c r="C14" s="23" t="n">
        <v>2</v>
      </c>
      <c r="D14" s="23" t="n">
        <v>0</v>
      </c>
      <c r="E14" s="23" t="n">
        <v>4</v>
      </c>
      <c r="F14" s="23" t="n">
        <v>5</v>
      </c>
      <c r="G14" s="23" t="n">
        <v>1</v>
      </c>
      <c r="H14" s="23" t="n">
        <v>3</v>
      </c>
      <c r="I14" s="23" t="n">
        <v>4</v>
      </c>
      <c r="J14" s="23" t="n">
        <v>2</v>
      </c>
      <c r="K14" s="23" t="n">
        <v>1</v>
      </c>
      <c r="L14" s="22">
        <f>SUM(C14:K14)</f>
        <v/>
      </c>
    </row>
    <row r="15">
      <c r="A15" s="22" t="inlineStr">
        <is>
          <t>4º JUZGADO CIVIL</t>
        </is>
      </c>
      <c r="B15" s="22" t="inlineStr">
        <is>
          <t>CIVIL - CIVIL</t>
        </is>
      </c>
      <c r="C15" s="23" t="n">
        <v>22</v>
      </c>
      <c r="D15" s="23" t="n">
        <v>13</v>
      </c>
      <c r="E15" s="23" t="n">
        <v>29</v>
      </c>
      <c r="F15" s="23" t="n">
        <v>41</v>
      </c>
      <c r="G15" s="23" t="n">
        <v>40</v>
      </c>
      <c r="H15" s="23" t="n">
        <v>41</v>
      </c>
      <c r="I15" s="23" t="n">
        <v>47</v>
      </c>
      <c r="J15" s="23" t="n">
        <v>29</v>
      </c>
      <c r="K15" s="23" t="n">
        <v>45</v>
      </c>
      <c r="L15" s="22">
        <f>SUM(C15:K15)</f>
        <v/>
      </c>
    </row>
    <row r="16">
      <c r="A16" s="22" t="inlineStr">
        <is>
          <t>4º JUZGADO CIVIL</t>
        </is>
      </c>
      <c r="B16" s="22" t="inlineStr">
        <is>
          <t>CIVIL - COMERCIAL</t>
        </is>
      </c>
      <c r="C16" s="23" t="n">
        <v>16</v>
      </c>
      <c r="D16" s="23" t="n">
        <v>1</v>
      </c>
      <c r="E16" s="23" t="n">
        <v>12</v>
      </c>
      <c r="F16" s="23" t="n">
        <v>19</v>
      </c>
      <c r="G16" s="23" t="n">
        <v>12</v>
      </c>
      <c r="H16" s="23" t="n">
        <v>13</v>
      </c>
      <c r="I16" s="23" t="n">
        <v>8</v>
      </c>
      <c r="J16" s="23" t="n">
        <v>8</v>
      </c>
      <c r="K16" s="23" t="n">
        <v>10</v>
      </c>
      <c r="L16" s="22">
        <f>SUM(C16:K16)</f>
        <v/>
      </c>
    </row>
    <row r="17">
      <c r="A17" s="22" t="inlineStr">
        <is>
          <t>4º JUZGADO CIVIL</t>
        </is>
      </c>
      <c r="B17" s="22" t="inlineStr">
        <is>
          <t>CIVIL - CONTENCIOSO ADMINISTRATIVO</t>
        </is>
      </c>
      <c r="C17" s="23" t="n">
        <v>1</v>
      </c>
      <c r="D17" s="23" t="n">
        <v>0</v>
      </c>
      <c r="E17" s="23" t="n">
        <v>0</v>
      </c>
      <c r="F17" s="23" t="n">
        <v>2</v>
      </c>
      <c r="G17" s="23" t="n">
        <v>1</v>
      </c>
      <c r="H17" s="23" t="n">
        <v>2</v>
      </c>
      <c r="I17" s="23" t="n">
        <v>6</v>
      </c>
      <c r="J17" s="23" t="n">
        <v>4</v>
      </c>
      <c r="K17" s="23" t="n">
        <v>4</v>
      </c>
      <c r="L17" s="22">
        <f>SUM(C17:K17)</f>
        <v/>
      </c>
    </row>
    <row r="18">
      <c r="A18" s="22" t="inlineStr">
        <is>
          <t>5º JUZGADO CIVIL</t>
        </is>
      </c>
      <c r="B18" s="22" t="inlineStr">
        <is>
          <t>CIVIL - CIVIL</t>
        </is>
      </c>
      <c r="C18" s="23" t="n">
        <v>32</v>
      </c>
      <c r="D18" s="23" t="n">
        <v>0</v>
      </c>
      <c r="E18" s="23" t="n">
        <v>37</v>
      </c>
      <c r="F18" s="23" t="n">
        <v>32</v>
      </c>
      <c r="G18" s="23" t="n">
        <v>44</v>
      </c>
      <c r="H18" s="23" t="n">
        <v>49</v>
      </c>
      <c r="I18" s="23" t="n">
        <v>47</v>
      </c>
      <c r="J18" s="23" t="n">
        <v>38</v>
      </c>
      <c r="K18" s="23" t="n">
        <v>20</v>
      </c>
      <c r="L18" s="22">
        <f>SUM(C18:K18)</f>
        <v/>
      </c>
    </row>
    <row r="19">
      <c r="A19" s="22" t="inlineStr">
        <is>
          <t>5º JUZGADO CIVIL</t>
        </is>
      </c>
      <c r="B19" s="22" t="inlineStr">
        <is>
          <t>CIVIL - COMERCIAL</t>
        </is>
      </c>
      <c r="C19" s="23" t="n">
        <v>13</v>
      </c>
      <c r="D19" s="23" t="n">
        <v>0</v>
      </c>
      <c r="E19" s="23" t="n">
        <v>17</v>
      </c>
      <c r="F19" s="23" t="n">
        <v>15</v>
      </c>
      <c r="G19" s="23" t="n">
        <v>9</v>
      </c>
      <c r="H19" s="23" t="n">
        <v>7</v>
      </c>
      <c r="I19" s="23" t="n">
        <v>13</v>
      </c>
      <c r="J19" s="23" t="n">
        <v>12</v>
      </c>
      <c r="K19" s="23" t="n">
        <v>0</v>
      </c>
      <c r="L19" s="22">
        <f>SUM(C19:K19)</f>
        <v/>
      </c>
    </row>
    <row r="20">
      <c r="A20" s="22" t="inlineStr">
        <is>
          <t>5º JUZGADO CIVIL</t>
        </is>
      </c>
      <c r="B20" s="22" t="inlineStr">
        <is>
          <t>CIVIL - CONTENCIOSO ADMINISTRATIVO</t>
        </is>
      </c>
      <c r="C20" s="23" t="n">
        <v>2</v>
      </c>
      <c r="D20" s="23" t="n">
        <v>0</v>
      </c>
      <c r="E20" s="23" t="n">
        <v>2</v>
      </c>
      <c r="F20" s="23" t="n">
        <v>3</v>
      </c>
      <c r="G20" s="23" t="n">
        <v>4</v>
      </c>
      <c r="H20" s="23" t="n">
        <v>2</v>
      </c>
      <c r="I20" s="23" t="n">
        <v>0</v>
      </c>
      <c r="J20" s="23" t="n">
        <v>7</v>
      </c>
      <c r="K20" s="23" t="n">
        <v>1</v>
      </c>
      <c r="L20" s="22">
        <f>SUM(C20:K20)</f>
        <v/>
      </c>
    </row>
    <row r="21">
      <c r="A21" s="22" t="inlineStr">
        <is>
          <t>6º JUZGADO CIVIL</t>
        </is>
      </c>
      <c r="B21" s="22" t="inlineStr">
        <is>
          <t>CIVIL - CIVIL</t>
        </is>
      </c>
      <c r="C21" s="23" t="n">
        <v>39</v>
      </c>
      <c r="D21" s="23" t="n">
        <v>0</v>
      </c>
      <c r="E21" s="23" t="n">
        <v>51</v>
      </c>
      <c r="F21" s="23" t="n">
        <v>43</v>
      </c>
      <c r="G21" s="23" t="n">
        <v>43</v>
      </c>
      <c r="H21" s="23" t="n">
        <v>35</v>
      </c>
      <c r="I21" s="23" t="n">
        <v>27</v>
      </c>
      <c r="J21" s="23" t="n">
        <v>50</v>
      </c>
      <c r="K21" s="23" t="n">
        <v>44</v>
      </c>
      <c r="L21" s="22">
        <f>SUM(C21:K21)</f>
        <v/>
      </c>
    </row>
    <row r="22">
      <c r="A22" s="22" t="inlineStr">
        <is>
          <t>6º JUZGADO CIVIL</t>
        </is>
      </c>
      <c r="B22" s="22" t="inlineStr">
        <is>
          <t>CIVIL - COMERCIAL</t>
        </is>
      </c>
      <c r="C22" s="23" t="n">
        <v>9</v>
      </c>
      <c r="D22" s="23" t="n">
        <v>0</v>
      </c>
      <c r="E22" s="23" t="n">
        <v>15</v>
      </c>
      <c r="F22" s="23" t="n">
        <v>9</v>
      </c>
      <c r="G22" s="23" t="n">
        <v>11</v>
      </c>
      <c r="H22" s="23" t="n">
        <v>10</v>
      </c>
      <c r="I22" s="23" t="n">
        <v>9</v>
      </c>
      <c r="J22" s="23" t="n">
        <v>3</v>
      </c>
      <c r="K22" s="23" t="n">
        <v>13</v>
      </c>
      <c r="L22" s="22">
        <f>SUM(C22:K22)</f>
        <v/>
      </c>
    </row>
    <row r="23">
      <c r="A23" s="22" t="inlineStr">
        <is>
          <t>6º JUZGADO CIVIL</t>
        </is>
      </c>
      <c r="B23" s="22" t="inlineStr">
        <is>
          <t>CIVIL - CONTENCIOSO ADMINISTRATIVO</t>
        </is>
      </c>
      <c r="C23" s="23" t="n">
        <v>6</v>
      </c>
      <c r="D23" s="23" t="n">
        <v>0</v>
      </c>
      <c r="E23" s="23" t="n">
        <v>1</v>
      </c>
      <c r="F23" s="23" t="n">
        <v>6</v>
      </c>
      <c r="G23" s="23" t="n">
        <v>2</v>
      </c>
      <c r="H23" s="23" t="n">
        <v>5</v>
      </c>
      <c r="I23" s="23" t="n">
        <v>4</v>
      </c>
      <c r="J23" s="23" t="n">
        <v>2</v>
      </c>
      <c r="K23" s="23" t="n">
        <v>3</v>
      </c>
      <c r="L23" s="22">
        <f>SUM(C23:K23)</f>
        <v/>
      </c>
    </row>
    <row r="24">
      <c r="A24" s="22" t="inlineStr">
        <is>
          <t>7º JUZGADO CIVIL</t>
        </is>
      </c>
      <c r="B24" s="22" t="inlineStr">
        <is>
          <t>CIVIL - CIVIL</t>
        </is>
      </c>
      <c r="C24" s="23" t="n">
        <v>36</v>
      </c>
      <c r="D24" s="23" t="n">
        <v>0</v>
      </c>
      <c r="E24" s="23" t="n">
        <v>44</v>
      </c>
      <c r="F24" s="23" t="n">
        <v>40</v>
      </c>
      <c r="G24" s="23" t="n">
        <v>40</v>
      </c>
      <c r="H24" s="23" t="n">
        <v>40</v>
      </c>
      <c r="I24" s="23" t="n">
        <v>52</v>
      </c>
      <c r="J24" s="23" t="n">
        <v>21</v>
      </c>
      <c r="K24" s="23" t="n">
        <v>24</v>
      </c>
      <c r="L24" s="22">
        <f>SUM(C24:K24)</f>
        <v/>
      </c>
    </row>
    <row r="25">
      <c r="A25" s="22" t="inlineStr">
        <is>
          <t>7º JUZGADO CIVIL</t>
        </is>
      </c>
      <c r="B25" s="22" t="inlineStr">
        <is>
          <t>CIVIL - COMERCIAL</t>
        </is>
      </c>
      <c r="C25" s="23" t="n">
        <v>11</v>
      </c>
      <c r="D25" s="23" t="n">
        <v>0</v>
      </c>
      <c r="E25" s="23" t="n">
        <v>9</v>
      </c>
      <c r="F25" s="23" t="n">
        <v>10</v>
      </c>
      <c r="G25" s="23" t="n">
        <v>6</v>
      </c>
      <c r="H25" s="23" t="n">
        <v>10</v>
      </c>
      <c r="I25" s="23" t="n">
        <v>6</v>
      </c>
      <c r="J25" s="23" t="n">
        <v>6</v>
      </c>
      <c r="K25" s="23" t="n">
        <v>6</v>
      </c>
      <c r="L25" s="22">
        <f>SUM(C25:K25)</f>
        <v/>
      </c>
    </row>
    <row r="26">
      <c r="A26" s="22" t="inlineStr">
        <is>
          <t>7º JUZGADO CIVIL</t>
        </is>
      </c>
      <c r="B26" s="22" t="inlineStr">
        <is>
          <t>CIVIL - CONTENCIOSO ADMINISTRATIVO</t>
        </is>
      </c>
      <c r="C26" s="23" t="n">
        <v>1</v>
      </c>
      <c r="D26" s="23" t="n">
        <v>0</v>
      </c>
      <c r="E26" s="23" t="n">
        <v>1</v>
      </c>
      <c r="F26" s="23" t="n">
        <v>4</v>
      </c>
      <c r="G26" s="23" t="n">
        <v>3</v>
      </c>
      <c r="H26" s="23" t="n">
        <v>2</v>
      </c>
      <c r="I26" s="23" t="n">
        <v>1</v>
      </c>
      <c r="J26" s="23" t="n">
        <v>4</v>
      </c>
      <c r="K26" s="23" t="n">
        <v>0</v>
      </c>
      <c r="L26" s="22">
        <f>SUM(C26:K26)</f>
        <v/>
      </c>
    </row>
    <row r="27">
      <c r="A27" s="22" t="inlineStr">
        <is>
          <t>8º JUZGADO CIVIL</t>
        </is>
      </c>
      <c r="B27" s="22" t="inlineStr">
        <is>
          <t>CIVIL - CIVIL</t>
        </is>
      </c>
      <c r="C27" s="23" t="n">
        <v>37</v>
      </c>
      <c r="D27" s="23" t="n">
        <v>0</v>
      </c>
      <c r="E27" s="23" t="n">
        <v>40</v>
      </c>
      <c r="F27" s="23" t="n">
        <v>45</v>
      </c>
      <c r="G27" s="23" t="n">
        <v>58</v>
      </c>
      <c r="H27" s="23" t="n">
        <v>38</v>
      </c>
      <c r="I27" s="23" t="n">
        <v>35</v>
      </c>
      <c r="J27" s="23" t="n">
        <v>39</v>
      </c>
      <c r="K27" s="23" t="n">
        <v>39</v>
      </c>
      <c r="L27" s="22">
        <f>SUM(C27:K27)</f>
        <v/>
      </c>
    </row>
    <row r="28">
      <c r="A28" s="22" t="inlineStr">
        <is>
          <t>8º JUZGADO CIVIL</t>
        </is>
      </c>
      <c r="B28" s="22" t="inlineStr">
        <is>
          <t>CIVIL - COMERCIAL</t>
        </is>
      </c>
      <c r="C28" s="23" t="n">
        <v>4</v>
      </c>
      <c r="D28" s="23" t="n">
        <v>0</v>
      </c>
      <c r="E28" s="23" t="n">
        <v>20</v>
      </c>
      <c r="F28" s="23" t="n">
        <v>14</v>
      </c>
      <c r="G28" s="23" t="n">
        <v>9</v>
      </c>
      <c r="H28" s="23" t="n">
        <v>11</v>
      </c>
      <c r="I28" s="23" t="n">
        <v>11</v>
      </c>
      <c r="J28" s="23" t="n">
        <v>3</v>
      </c>
      <c r="K28" s="23" t="n">
        <v>3</v>
      </c>
      <c r="L28" s="22">
        <f>SUM(C28:K28)</f>
        <v/>
      </c>
    </row>
    <row r="29">
      <c r="A29" s="22" t="inlineStr">
        <is>
          <t>8º JUZGADO CIVIL</t>
        </is>
      </c>
      <c r="B29" s="22" t="inlineStr">
        <is>
          <t>CIVIL - CONTENCIOSO ADMINISTRATIVO</t>
        </is>
      </c>
      <c r="C29" s="23" t="n">
        <v>2</v>
      </c>
      <c r="D29" s="23" t="n">
        <v>0</v>
      </c>
      <c r="E29" s="23" t="n">
        <v>5</v>
      </c>
      <c r="F29" s="23" t="n">
        <v>2</v>
      </c>
      <c r="G29" s="23" t="n">
        <v>1</v>
      </c>
      <c r="H29" s="23" t="n">
        <v>5</v>
      </c>
      <c r="I29" s="23" t="n">
        <v>3</v>
      </c>
      <c r="J29" s="23" t="n">
        <v>2</v>
      </c>
      <c r="K29" s="23" t="n">
        <v>0</v>
      </c>
      <c r="L29" s="22">
        <f>SUM(C29:K29)</f>
        <v/>
      </c>
    </row>
    <row r="30">
      <c r="A30" s="22" t="inlineStr">
        <is>
          <t>9º JUZGADO CIVIL</t>
        </is>
      </c>
      <c r="B30" s="22" t="inlineStr">
        <is>
          <t>CIVIL - CIVIL</t>
        </is>
      </c>
      <c r="C30" s="23" t="n">
        <v>44</v>
      </c>
      <c r="D30" s="23" t="n">
        <v>0</v>
      </c>
      <c r="E30" s="23" t="n">
        <v>44</v>
      </c>
      <c r="F30" s="23" t="n">
        <v>47</v>
      </c>
      <c r="G30" s="23" t="n">
        <v>41</v>
      </c>
      <c r="H30" s="23" t="n">
        <v>41</v>
      </c>
      <c r="I30" s="23" t="n">
        <v>28</v>
      </c>
      <c r="J30" s="23" t="n">
        <v>48</v>
      </c>
      <c r="K30" s="23" t="n">
        <v>39</v>
      </c>
      <c r="L30" s="22">
        <f>SUM(C30:K30)</f>
        <v/>
      </c>
    </row>
    <row r="31">
      <c r="A31" s="22" t="inlineStr">
        <is>
          <t>9º JUZGADO CIVIL</t>
        </is>
      </c>
      <c r="B31" s="22" t="inlineStr">
        <is>
          <t>CIVIL - COMERCIAL</t>
        </is>
      </c>
      <c r="C31" s="23" t="n">
        <v>18</v>
      </c>
      <c r="D31" s="23" t="n">
        <v>0</v>
      </c>
      <c r="E31" s="23" t="n">
        <v>16</v>
      </c>
      <c r="F31" s="23" t="n">
        <v>8</v>
      </c>
      <c r="G31" s="23" t="n">
        <v>9</v>
      </c>
      <c r="H31" s="23" t="n">
        <v>11</v>
      </c>
      <c r="I31" s="23" t="n">
        <v>3</v>
      </c>
      <c r="J31" s="23" t="n">
        <v>8</v>
      </c>
      <c r="K31" s="23" t="n">
        <v>14</v>
      </c>
      <c r="L31" s="22">
        <f>SUM(C31:K31)</f>
        <v/>
      </c>
    </row>
    <row r="32">
      <c r="A32" s="22" t="inlineStr">
        <is>
          <t>9º JUZGADO CIVIL</t>
        </is>
      </c>
      <c r="B32" s="22" t="inlineStr">
        <is>
          <t>CIVIL - CONTENCIOSO ADMINISTRATIVO</t>
        </is>
      </c>
      <c r="C32" s="23" t="n">
        <v>6</v>
      </c>
      <c r="D32" s="23" t="n">
        <v>0</v>
      </c>
      <c r="E32" s="23" t="n">
        <v>0</v>
      </c>
      <c r="F32" s="23" t="n">
        <v>3</v>
      </c>
      <c r="G32" s="23" t="n">
        <v>4</v>
      </c>
      <c r="H32" s="23" t="n">
        <v>4</v>
      </c>
      <c r="I32" s="23" t="n">
        <v>3</v>
      </c>
      <c r="J32" s="23" t="n">
        <v>4</v>
      </c>
      <c r="K32" s="23" t="n">
        <v>1</v>
      </c>
      <c r="L32" s="22">
        <f>SUM(C32:K32)</f>
        <v/>
      </c>
    </row>
    <row r="33">
      <c r="A33" s="22" t="inlineStr">
        <is>
          <t>9º JUZGADO CIVIL</t>
        </is>
      </c>
      <c r="B33" s="22" t="inlineStr">
        <is>
          <t>LABORAL - CONTENCIOSO ADMINISTRATIVO</t>
        </is>
      </c>
      <c r="C33" s="23" t="n">
        <v>0</v>
      </c>
      <c r="D33" s="23" t="n">
        <v>0</v>
      </c>
      <c r="E33" s="23" t="n">
        <v>0</v>
      </c>
      <c r="F33" s="23" t="n">
        <v>0</v>
      </c>
      <c r="G33" s="23" t="n">
        <v>0</v>
      </c>
      <c r="H33" s="23" t="n">
        <v>0</v>
      </c>
      <c r="I33" s="23" t="n">
        <v>0</v>
      </c>
      <c r="J33" s="23" t="n">
        <v>1</v>
      </c>
      <c r="K33" s="23" t="n">
        <v>0</v>
      </c>
      <c r="L33" s="22">
        <f>SUM(C33:K33)</f>
        <v/>
      </c>
    </row>
    <row r="34">
      <c r="A34" s="22" t="inlineStr">
        <is>
          <t>10º JUZGADO CIVIL</t>
        </is>
      </c>
      <c r="B34" s="22" t="inlineStr">
        <is>
          <t>CIVIL - CIVIL</t>
        </is>
      </c>
      <c r="C34" s="23" t="n">
        <v>53</v>
      </c>
      <c r="D34" s="23" t="n">
        <v>0</v>
      </c>
      <c r="E34" s="23" t="n">
        <v>45</v>
      </c>
      <c r="F34" s="23" t="n">
        <v>42</v>
      </c>
      <c r="G34" s="23" t="n">
        <v>48</v>
      </c>
      <c r="H34" s="23" t="n">
        <v>40</v>
      </c>
      <c r="I34" s="23" t="n">
        <v>45</v>
      </c>
      <c r="J34" s="23" t="n">
        <v>44</v>
      </c>
      <c r="K34" s="23" t="n">
        <v>38</v>
      </c>
      <c r="L34" s="22">
        <f>SUM(C34:K34)</f>
        <v/>
      </c>
    </row>
    <row r="35">
      <c r="A35" s="22" t="inlineStr">
        <is>
          <t>10º JUZGADO CIVIL</t>
        </is>
      </c>
      <c r="B35" s="22" t="inlineStr">
        <is>
          <t>CIVIL - COMERCIAL</t>
        </is>
      </c>
      <c r="C35" s="23" t="n">
        <v>13</v>
      </c>
      <c r="D35" s="23" t="n">
        <v>0</v>
      </c>
      <c r="E35" s="23" t="n">
        <v>14</v>
      </c>
      <c r="F35" s="23" t="n">
        <v>10</v>
      </c>
      <c r="G35" s="23" t="n">
        <v>7</v>
      </c>
      <c r="H35" s="23" t="n">
        <v>13</v>
      </c>
      <c r="I35" s="23" t="n">
        <v>8</v>
      </c>
      <c r="J35" s="23" t="n">
        <v>10</v>
      </c>
      <c r="K35" s="23" t="n">
        <v>9</v>
      </c>
      <c r="L35" s="22">
        <f>SUM(C35:K35)</f>
        <v/>
      </c>
    </row>
    <row r="36">
      <c r="A36" s="22" t="inlineStr">
        <is>
          <t>10º JUZGADO CIVIL</t>
        </is>
      </c>
      <c r="B36" s="22" t="inlineStr">
        <is>
          <t>CIVIL - CONSTITUCIONAL</t>
        </is>
      </c>
      <c r="C36" s="23" t="n">
        <v>1</v>
      </c>
      <c r="D36" s="23" t="n">
        <v>0</v>
      </c>
      <c r="E36" s="23" t="n">
        <v>0</v>
      </c>
      <c r="F36" s="23" t="n">
        <v>0</v>
      </c>
      <c r="G36" s="23" t="n">
        <v>0</v>
      </c>
      <c r="H36" s="23" t="n">
        <v>0</v>
      </c>
      <c r="I36" s="23" t="n">
        <v>0</v>
      </c>
      <c r="J36" s="23" t="n">
        <v>0</v>
      </c>
      <c r="K36" s="23" t="n">
        <v>0</v>
      </c>
      <c r="L36" s="22">
        <f>SUM(C36:K36)</f>
        <v/>
      </c>
    </row>
    <row r="37">
      <c r="A37" s="22" t="inlineStr">
        <is>
          <t>10º JUZGADO CIVIL</t>
        </is>
      </c>
      <c r="B37" s="22" t="inlineStr">
        <is>
          <t>CIVIL - CONTENCIOSO ADMINISTRATIVO</t>
        </is>
      </c>
      <c r="C37" s="23" t="n">
        <v>7</v>
      </c>
      <c r="D37" s="23" t="n">
        <v>0</v>
      </c>
      <c r="E37" s="23" t="n">
        <v>2</v>
      </c>
      <c r="F37" s="23" t="n">
        <v>5</v>
      </c>
      <c r="G37" s="23" t="n">
        <v>5</v>
      </c>
      <c r="H37" s="23" t="n">
        <v>3</v>
      </c>
      <c r="I37" s="23" t="n">
        <v>0</v>
      </c>
      <c r="J37" s="23" t="n">
        <v>3</v>
      </c>
      <c r="K37" s="23" t="n">
        <v>6</v>
      </c>
      <c r="L37" s="22">
        <f>SUM(C37:K37)</f>
        <v/>
      </c>
    </row>
    <row r="38">
      <c r="A38" s="22" t="inlineStr">
        <is>
          <t>11° JUZGADO CIVIL</t>
        </is>
      </c>
      <c r="B38" s="22" t="inlineStr">
        <is>
          <t>CIVIL - CIVIL</t>
        </is>
      </c>
      <c r="C38" s="23" t="n">
        <v>0</v>
      </c>
      <c r="D38" s="23" t="n">
        <v>0</v>
      </c>
      <c r="E38" s="23" t="n">
        <v>0</v>
      </c>
      <c r="F38" s="23" t="n">
        <v>0</v>
      </c>
      <c r="G38" s="23" t="n">
        <v>0</v>
      </c>
      <c r="H38" s="23" t="n">
        <v>0</v>
      </c>
      <c r="I38" s="23" t="n">
        <v>0</v>
      </c>
      <c r="J38" s="23" t="n">
        <v>0</v>
      </c>
      <c r="K38" s="23" t="n">
        <v>1</v>
      </c>
      <c r="L38" s="22">
        <f>SUM(C38:K38)</f>
        <v/>
      </c>
    </row>
    <row r="39">
      <c r="A39" s="22" t="inlineStr">
        <is>
          <t>1° JUZGADO CIVIL TRANSITORIO</t>
        </is>
      </c>
      <c r="B39" s="22" t="inlineStr">
        <is>
          <t>CIVIL - CIVIL</t>
        </is>
      </c>
      <c r="C39" s="23" t="n">
        <v>0</v>
      </c>
      <c r="D39" s="23" t="n">
        <v>0</v>
      </c>
      <c r="E39" s="23" t="n">
        <v>0</v>
      </c>
      <c r="F39" s="23" t="n">
        <v>0</v>
      </c>
      <c r="G39" s="23" t="n">
        <v>1</v>
      </c>
      <c r="H39" s="23" t="n">
        <v>0</v>
      </c>
      <c r="I39" s="23" t="n">
        <v>0</v>
      </c>
      <c r="J39" s="23" t="n">
        <v>0</v>
      </c>
      <c r="K39" s="23" t="n">
        <v>0</v>
      </c>
      <c r="L39" s="22">
        <f>SUM(C39:K39)</f>
        <v/>
      </c>
    </row>
    <row r="40">
      <c r="A40" s="22" t="inlineStr">
        <is>
          <t>2° JUZGADO CIVIL TRANSITORIO</t>
        </is>
      </c>
      <c r="B40" s="22" t="inlineStr">
        <is>
          <t>CIVIL - CIVIL</t>
        </is>
      </c>
      <c r="C40" s="23" t="n">
        <v>39</v>
      </c>
      <c r="D40" s="23" t="n">
        <v>37</v>
      </c>
      <c r="E40" s="23" t="n">
        <v>32</v>
      </c>
      <c r="F40" s="23" t="n">
        <v>41</v>
      </c>
      <c r="G40" s="23" t="n">
        <v>41</v>
      </c>
      <c r="H40" s="23" t="n">
        <v>39</v>
      </c>
      <c r="I40" s="23" t="n">
        <v>36</v>
      </c>
      <c r="J40" s="23" t="n">
        <v>44</v>
      </c>
      <c r="K40" s="23" t="n">
        <v>51</v>
      </c>
      <c r="L40" s="22">
        <f>SUM(C40:K40)</f>
        <v/>
      </c>
    </row>
    <row r="41">
      <c r="A41" s="22" t="inlineStr">
        <is>
          <t>2° JUZGADO CIVIL TRANSITORIO</t>
        </is>
      </c>
      <c r="B41" s="22" t="inlineStr">
        <is>
          <t>CIVIL - COMERCIAL</t>
        </is>
      </c>
      <c r="C41" s="23" t="n">
        <v>0</v>
      </c>
      <c r="D41" s="23" t="n">
        <v>0</v>
      </c>
      <c r="E41" s="23" t="n">
        <v>0</v>
      </c>
      <c r="F41" s="23" t="n">
        <v>0</v>
      </c>
      <c r="G41" s="23" t="n">
        <v>0</v>
      </c>
      <c r="H41" s="23" t="n">
        <v>1</v>
      </c>
      <c r="I41" s="23" t="n">
        <v>1</v>
      </c>
      <c r="J41" s="23" t="n">
        <v>0</v>
      </c>
      <c r="K41" s="23" t="n">
        <v>1</v>
      </c>
      <c r="L41" s="22">
        <f>SUM(C41:K41)</f>
        <v/>
      </c>
    </row>
    <row r="42">
      <c r="A42" s="22" t="inlineStr">
        <is>
          <t>2° JUZGADO CIVIL TRANSITORIO</t>
        </is>
      </c>
      <c r="B42" s="22" t="inlineStr">
        <is>
          <t>CIVIL - CONTENCIOSO ADMINISTRATIVO</t>
        </is>
      </c>
      <c r="C42" s="23" t="n">
        <v>4</v>
      </c>
      <c r="D42" s="23" t="n">
        <v>8</v>
      </c>
      <c r="E42" s="23" t="n">
        <v>13</v>
      </c>
      <c r="F42" s="23" t="n">
        <v>3</v>
      </c>
      <c r="G42" s="23" t="n">
        <v>5</v>
      </c>
      <c r="H42" s="23" t="n">
        <v>3</v>
      </c>
      <c r="I42" s="23" t="n">
        <v>6</v>
      </c>
      <c r="J42" s="23" t="n">
        <v>3</v>
      </c>
      <c r="K42" s="23" t="n">
        <v>3</v>
      </c>
      <c r="L42" s="22">
        <f>SUM(C42:K42)</f>
        <v/>
      </c>
    </row>
    <row r="44">
      <c r="A44" s="2" t="inlineStr">
        <is>
          <t>Fuente: Resueltos_Tramite_ene-set_2026_JEC_CI.xlsx (Poder Judicial – SIJ, F. centralización 01/10/26).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25" t="inlineStr">
        <is>
          <t>METODOLOGÍA DE CÁLCULO DE LA META ANUAL</t>
        </is>
      </c>
    </row>
    <row r="2">
      <c r="A2" s="26" t="inlineStr"/>
    </row>
    <row r="3">
      <c r="A3" s="27" t="inlineStr">
        <is>
          <t>Marco normativo</t>
        </is>
      </c>
    </row>
    <row r="4">
      <c r="A4" s="26" t="inlineStr">
        <is>
          <t>• R.A. N.° 395-2020-CE-PJ: aprobó los estándares de expedientes principales resueltos y los criterios de meta preliminar/final; carga mínima = estándar × 1.3 y máxima = estándar × 1.7.</t>
        </is>
      </c>
    </row>
    <row r="5">
      <c r="A5" s="26" t="inlineStr">
        <is>
          <t>• R.A. N.° 090-2025-CE-PJ (vigente desde 2025): actualiza estándares (Anexo 1), criterios de meta (Anexo 2) y la metodología específica para Juzgados Civiles Mixtos sin Violencia Familiar (Anexo 3).</t>
        </is>
      </c>
    </row>
    <row r="6">
      <c r="A6" s="26" t="inlineStr"/>
    </row>
    <row r="7">
      <c r="A7" s="27" t="inlineStr">
        <is>
          <t>Clasificación de los juzgados</t>
        </is>
      </c>
    </row>
    <row r="8">
      <c r="A8" s="26" t="inlineStr">
        <is>
          <t>• Los Juzgados Civiles de la sede central de Arequipa tramitan Civil-Civil junto con Comercial, Contencioso Administrativo, Constitucional y Familia Civil: son "Civil – Mixto (sin Violencia Familiar Ley 30364)", estándar 600 (Anexo 1). Por ello se aplica el Anexo 3.</t>
        </is>
      </c>
    </row>
    <row r="9">
      <c r="A9" s="26" t="inlineStr"/>
    </row>
    <row r="10">
      <c r="A10" s="27" t="inlineStr">
        <is>
          <t>Pasos</t>
        </is>
      </c>
    </row>
    <row r="11">
      <c r="A11" s="26" t="inlineStr">
        <is>
          <t>1. Carga neta proyectada por grupo: pendientes del año anterior + ingresos proyectados a diciembre – redistribuidos.</t>
        </is>
      </c>
    </row>
    <row r="12">
      <c r="A12" s="26" t="inlineStr">
        <is>
          <t>2. Proyección de ingresos (método 1, por defecto): ingresos ene–set × 12 / 9. Método 2 (opcional): ingresos ene–set + 3 × promedio mensual excluyendo febrero (vacaciones judiciales). Se cambia en Parametros!B11.</t>
        </is>
      </c>
    </row>
    <row r="13">
      <c r="A13" s="26" t="inlineStr">
        <is>
          <t>3. % Civil-Civil = carga neta Civil-Civil / carga neta total. Si ≥ 75% → Caso 1 (límite 455 / meta fija 350); si &lt; 75% → Caso 2 (límite 390 / meta fija 300).</t>
        </is>
      </c>
    </row>
    <row r="14">
      <c r="A14" s="26" t="inlineStr">
        <is>
          <t>4. A (Civil-Civil) = 77% de la carga Civil-Civil si está por debajo del límite; si no, la meta fija.</t>
        </is>
      </c>
    </row>
    <row r="15">
      <c r="A15" s="26" t="inlineStr">
        <is>
          <t>5. B (resto de subespecialidades) = 77% de su carga neta proyectada, sin condición.</t>
        </is>
      </c>
    </row>
    <row r="16">
      <c r="A16" s="26" t="inlineStr">
        <is>
          <t>6. Meta anual = A + B. Se compara con los resueltos ene–set para medir el avance (art. 8: evaluación mensual del avance).</t>
        </is>
      </c>
    </row>
    <row r="17">
      <c r="A17" s="26" t="inlineStr"/>
    </row>
    <row r="18">
      <c r="A18" s="27" t="inlineStr">
        <is>
          <t>Limitaciones</t>
        </is>
      </c>
    </row>
    <row r="19">
      <c r="A19" s="26" t="inlineStr">
        <is>
          <t>• Los reportes no incluyen expedientes redistribuidos; se dejaron columnas en amarillo (Meta 2026, columnas D y H) para ingresarlos.</t>
        </is>
      </c>
    </row>
    <row r="20">
      <c r="A20" s="26" t="inlineStr">
        <is>
          <t>• Se toma el "Pendiente año anterior" del reporte SIJ como pendiente inicial de trámite.</t>
        </is>
      </c>
    </row>
    <row r="21">
      <c r="A21" s="26" t="inlineStr">
        <is>
          <t>• La meta oficial la determina la Oficina de Productividad Judicial / Comisión Distrital con la data estadística oficial; este cálculo es una estimación reproducible con la misma regla.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2026-10-02T16:47:52Z</dcterms:created>
  <dcterms:modified xsi:type="dcterms:W3CDTF">2026-10-02T16:59:21Z</dcterms:modified>
</cp:coreProperties>
</file>