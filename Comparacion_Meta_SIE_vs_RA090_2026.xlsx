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 Meta" sheetId="1" state="visible" r:id="rId1"/>
    <sheet name="Replica Indicadores" sheetId="2" state="visible" r:id="rId2"/>
    <sheet name="Parametros" sheetId="3" state="visible" r:id="rId3"/>
    <sheet name="Ingresos SIJ" sheetId="4" state="visible" r:id="rId4"/>
    <sheet name="Resueltos SIJ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-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i val="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165" fontId="7" fillId="3" borderId="1" pivotButton="0" quotePrefix="0" xfId="0"/>
    <xf numFmtId="165" fontId="4" fillId="3" borderId="1" pivotButton="0" quotePrefix="0" xfId="0"/>
    <xf numFmtId="2" fontId="3" fillId="0" borderId="1" pivotButton="0" quotePrefix="0" xfId="0"/>
    <xf numFmtId="165" fontId="4" fillId="5" borderId="1" pivotButton="0" quotePrefix="0" xfId="0"/>
    <xf numFmtId="0" fontId="7" fillId="4" borderId="1" pivotButton="0" quotePrefix="0" xfId="0"/>
    <xf numFmtId="0" fontId="0" fillId="4" borderId="1" pivotButton="0" quotePrefix="0" xfId="0"/>
    <xf numFmtId="165" fontId="7" fillId="4" borderId="1" pivotButton="0" quotePrefix="0" xfId="0"/>
    <xf numFmtId="164" fontId="0" fillId="4" borderId="1" pivotButton="0" quotePrefix="0" xfId="0"/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4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META SIE (IMAGEN) vs META CALCULADA CON R.A. 090-2025-CE-PJ, ANEXO 3 – CORTE ENERO–AGOSTO 2026</t>
        </is>
      </c>
    </row>
    <row r="2">
      <c r="A2" s="2" t="inlineStr">
        <is>
          <t>Meta = A (Civil-Civil) + B (77% del resto). Se prueban dos proyecciones de ingresos: lineal (×12/8) y sin febrero (×12/7).</t>
        </is>
      </c>
    </row>
    <row r="4" ht="70" customHeight="1">
      <c r="A4" s="3" t="inlineStr">
        <is>
          <t>Juzgado</t>
        </is>
      </c>
      <c r="B4" s="3" t="inlineStr">
        <is>
          <t>Pend. Civil-Civil</t>
        </is>
      </c>
      <c r="C4" s="3" t="inlineStr">
        <is>
          <t>Ingr. Civil-Civil ene–ago</t>
        </is>
      </c>
      <c r="D4" s="3" t="inlineStr">
        <is>
          <t>Ingr. Civil-Civil feb</t>
        </is>
      </c>
      <c r="E4" s="3" t="inlineStr">
        <is>
          <t>Pend. Resto</t>
        </is>
      </c>
      <c r="F4" s="3" t="inlineStr">
        <is>
          <t>Ingr. Resto ene–ago</t>
        </is>
      </c>
      <c r="G4" s="3" t="inlineStr">
        <is>
          <t>Ingr. Resto feb</t>
        </is>
      </c>
      <c r="H4" s="3" t="inlineStr">
        <is>
          <t>Carga CC proy. (×12/8)</t>
        </is>
      </c>
      <c r="I4" s="3" t="inlineStr">
        <is>
          <t>Carga Resto proy. (×12/8)</t>
        </is>
      </c>
      <c r="J4" s="3" t="inlineStr">
        <is>
          <t>% CC</t>
        </is>
      </c>
      <c r="K4" s="3" t="inlineStr">
        <is>
          <t>A</t>
        </is>
      </c>
      <c r="L4" s="3" t="inlineStr">
        <is>
          <t>B</t>
        </is>
      </c>
      <c r="M4" s="3" t="inlineStr">
        <is>
          <t>META RA090 (×12/8)</t>
        </is>
      </c>
      <c r="N4" s="3" t="inlineStr">
        <is>
          <t>Carga CC proy. (×12/7)</t>
        </is>
      </c>
      <c r="O4" s="3" t="inlineStr">
        <is>
          <t>Carga Resto proy. (×12/7)</t>
        </is>
      </c>
      <c r="P4" s="3" t="inlineStr">
        <is>
          <t>A</t>
        </is>
      </c>
      <c r="Q4" s="3" t="inlineStr">
        <is>
          <t>B</t>
        </is>
      </c>
      <c r="R4" s="3" t="inlineStr">
        <is>
          <t>META RA090 (×12/7)</t>
        </is>
      </c>
      <c r="S4" s="3" t="inlineStr">
        <is>
          <t>META SIE (imagen)</t>
        </is>
      </c>
      <c r="T4" s="3" t="inlineStr">
        <is>
          <t>Dif. SIE – RA090 (×12/8)</t>
        </is>
      </c>
      <c r="U4" s="3" t="inlineStr">
        <is>
          <t>Dif. %</t>
        </is>
      </c>
      <c r="V4" s="3" t="inlineStr">
        <is>
          <t>Dif. SIE – RA090 (×12/7)</t>
        </is>
      </c>
      <c r="W4" s="3" t="inlineStr">
        <is>
          <t>Dif. %</t>
        </is>
      </c>
      <c r="X4" s="3" t="inlineStr">
        <is>
          <t>Carga Resto implícita en SIE (si A=350)</t>
        </is>
      </c>
      <c r="Y4" s="3" t="inlineStr">
        <is>
          <t>Ingr. Resto anual implícito</t>
        </is>
      </c>
      <c r="Z4" s="3" t="inlineStr">
        <is>
          <t>Factor implícito sobre ingr. ene–ago</t>
        </is>
      </c>
    </row>
    <row r="5">
      <c r="A5" s="4" t="inlineStr">
        <is>
          <t>1º JUZGADO CIVIL</t>
        </is>
      </c>
      <c r="B5" s="5">
        <f>SUMIFS('Ingresos SIJ'!$D$4:$D$53,'Ingresos SIJ'!$A$4:$A$53,$A5,'Ingresos SIJ'!$C$4:$C$53,"Civil-Civil")</f>
        <v/>
      </c>
      <c r="C5" s="5">
        <f>SUMIFS('Ingresos SIJ'!$E$4:$E$53,'Ingresos SIJ'!$A$4:$A$53,$A5,'Ingresos SIJ'!$C$4:$C$53,"Civil-Civil")+SUMIFS('Ingresos SIJ'!$F$4:$F$53,'Ingresos SIJ'!$A$4:$A$53,$A5,'Ingresos SIJ'!$C$4:$C$53,"Civil-Civil")+SUMIFS('Ingresos SIJ'!$G$4:$G$53,'Ingresos SIJ'!$A$4:$A$53,$A5,'Ingresos SIJ'!$C$4:$C$53,"Civil-Civil")+SUMIFS('Ingresos SIJ'!$H$4:$H$53,'Ingresos SIJ'!$A$4:$A$53,$A5,'Ingresos SIJ'!$C$4:$C$53,"Civil-Civil")+SUMIFS('Ingresos SIJ'!$I$4:$I$53,'Ingresos SIJ'!$A$4:$A$53,$A5,'Ingresos SIJ'!$C$4:$C$53,"Civil-Civil")+SUMIFS('Ingresos SIJ'!$J$4:$J$53,'Ingresos SIJ'!$A$4:$A$53,$A5,'Ingresos SIJ'!$C$4:$C$53,"Civil-Civil")+SUMIFS('Ingresos SIJ'!$K$4:$K$53,'Ingresos SIJ'!$A$4:$A$53,$A5,'Ingresos SIJ'!$C$4:$C$53,"Civil-Civil")+SUMIFS('Ingresos SIJ'!$L$4:$L$53,'Ingresos SIJ'!$A$4:$A$53,$A5,'Ingresos SIJ'!$C$4:$C$53,"Civil-Civil")</f>
        <v/>
      </c>
      <c r="D5" s="5">
        <f>SUMIFS('Ingresos SIJ'!$F$4:$F$53,'Ingresos SIJ'!$A$4:$A$53,$A5,'Ingresos SIJ'!$C$4:$C$53,"Civil-Civil")</f>
        <v/>
      </c>
      <c r="E5" s="5">
        <f>SUMIFS('Ingresos SIJ'!$D$4:$D$53,'Ingresos SIJ'!$A$4:$A$53,$A5,'Ingresos SIJ'!$C$4:$C$53,"Resto")</f>
        <v/>
      </c>
      <c r="F5" s="5">
        <f>SUMIFS('Ingresos SIJ'!$E$4:$E$53,'Ingresos SIJ'!$A$4:$A$53,$A5,'Ingresos SIJ'!$C$4:$C$53,"Resto")+SUMIFS('Ingresos SIJ'!$F$4:$F$53,'Ingresos SIJ'!$A$4:$A$53,$A5,'Ingresos SIJ'!$C$4:$C$53,"Resto")+SUMIFS('Ingresos SIJ'!$G$4:$G$53,'Ingresos SIJ'!$A$4:$A$53,$A5,'Ingresos SIJ'!$C$4:$C$53,"Resto")+SUMIFS('Ingresos SIJ'!$H$4:$H$53,'Ingresos SIJ'!$A$4:$A$53,$A5,'Ingresos SIJ'!$C$4:$C$53,"Resto")+SUMIFS('Ingresos SIJ'!$I$4:$I$53,'Ingresos SIJ'!$A$4:$A$53,$A5,'Ingresos SIJ'!$C$4:$C$53,"Resto")+SUMIFS('Ingresos SIJ'!$J$4:$J$53,'Ingresos SIJ'!$A$4:$A$53,$A5,'Ingresos SIJ'!$C$4:$C$53,"Resto")+SUMIFS('Ingresos SIJ'!$K$4:$K$53,'Ingresos SIJ'!$A$4:$A$53,$A5,'Ingresos SIJ'!$C$4:$C$53,"Resto")+SUMIFS('Ingresos SIJ'!$L$4:$L$53,'Ingresos SIJ'!$A$4:$A$53,$A5,'Ingresos SIJ'!$C$4:$C$53,"Resto")</f>
        <v/>
      </c>
      <c r="G5" s="5">
        <f>SUMIFS('Ingresos SIJ'!$F$4:$F$53,'Ingresos SIJ'!$A$4:$A$53,$A5,'Ingresos SIJ'!$C$4:$C$53,"Resto")</f>
        <v/>
      </c>
      <c r="H5" s="5">
        <f>B5+C5*12/Parametros!$B$11</f>
        <v/>
      </c>
      <c r="I5" s="5">
        <f>E5+F5*12/Parametros!$B$11</f>
        <v/>
      </c>
      <c r="J5" s="6">
        <f>H5/(H5+I5)</f>
        <v/>
      </c>
      <c r="K5" s="5">
        <f>IF(J5&gt;=Parametros!$B$6,IF(H5&lt;Parametros!$B$7,ROUND(Parametros!$B$5*H5,0),Parametros!$B$8),IF(H5&lt;Parametros!$B$9,ROUND(Parametros!$B$5*H5,0),Parametros!$B$10))</f>
        <v/>
      </c>
      <c r="L5" s="5">
        <f>ROUND(Parametros!$B$5*I5,0)</f>
        <v/>
      </c>
      <c r="M5" s="7">
        <f>K5+L5</f>
        <v/>
      </c>
      <c r="N5" s="5">
        <f>B5+C5*12/Parametros!$B$12</f>
        <v/>
      </c>
      <c r="O5" s="5">
        <f>E5+F5*12/Parametros!$B$12</f>
        <v/>
      </c>
      <c r="P5" s="5">
        <f>IF(N5/(N5+O5)&gt;=Parametros!$B$6,IF(N5&lt;Parametros!$B$7,ROUND(Parametros!$B$5*N5,0),Parametros!$B$8),IF(N5&lt;Parametros!$B$9,ROUND(Parametros!$B$5*N5,0),Parametros!$B$10))</f>
        <v/>
      </c>
      <c r="Q5" s="5">
        <f>ROUND(Parametros!$B$5*O5,0)</f>
        <v/>
      </c>
      <c r="R5" s="7">
        <f>P5+Q5</f>
        <v/>
      </c>
      <c r="S5" s="8" t="n">
        <v>547</v>
      </c>
      <c r="T5" s="5">
        <f>S5-M5</f>
        <v/>
      </c>
      <c r="U5" s="6">
        <f>T5/M5</f>
        <v/>
      </c>
      <c r="V5" s="5">
        <f>S5-R5</f>
        <v/>
      </c>
      <c r="W5" s="6">
        <f>V5/R5</f>
        <v/>
      </c>
      <c r="X5" s="5">
        <f>(S5-Parametros!$B$8)/Parametros!$B$5</f>
        <v/>
      </c>
      <c r="Y5" s="5">
        <f>X5-E5</f>
        <v/>
      </c>
      <c r="Z5" s="9">
        <f>IF(F5=0,0,Y5/F5)</f>
        <v/>
      </c>
    </row>
    <row r="6">
      <c r="A6" s="4" t="inlineStr">
        <is>
          <t>2º JUZGADO CIVIL</t>
        </is>
      </c>
      <c r="B6" s="5">
        <f>SUMIFS('Ingresos SIJ'!$D$4:$D$53,'Ingresos SIJ'!$A$4:$A$53,$A6,'Ingresos SIJ'!$C$4:$C$53,"Civil-Civil")</f>
        <v/>
      </c>
      <c r="C6" s="5">
        <f>SUMIFS('Ingresos SIJ'!$E$4:$E$53,'Ingresos SIJ'!$A$4:$A$53,$A6,'Ingresos SIJ'!$C$4:$C$53,"Civil-Civil")+SUMIFS('Ingresos SIJ'!$F$4:$F$53,'Ingresos SIJ'!$A$4:$A$53,$A6,'Ingresos SIJ'!$C$4:$C$53,"Civil-Civil")+SUMIFS('Ingresos SIJ'!$G$4:$G$53,'Ingresos SIJ'!$A$4:$A$53,$A6,'Ingresos SIJ'!$C$4:$C$53,"Civil-Civil")+SUMIFS('Ingresos SIJ'!$H$4:$H$53,'Ingresos SIJ'!$A$4:$A$53,$A6,'Ingresos SIJ'!$C$4:$C$53,"Civil-Civil")+SUMIFS('Ingresos SIJ'!$I$4:$I$53,'Ingresos SIJ'!$A$4:$A$53,$A6,'Ingresos SIJ'!$C$4:$C$53,"Civil-Civil")+SUMIFS('Ingresos SIJ'!$J$4:$J$53,'Ingresos SIJ'!$A$4:$A$53,$A6,'Ingresos SIJ'!$C$4:$C$53,"Civil-Civil")+SUMIFS('Ingresos SIJ'!$K$4:$K$53,'Ingresos SIJ'!$A$4:$A$53,$A6,'Ingresos SIJ'!$C$4:$C$53,"Civil-Civil")+SUMIFS('Ingresos SIJ'!$L$4:$L$53,'Ingresos SIJ'!$A$4:$A$53,$A6,'Ingresos SIJ'!$C$4:$C$53,"Civil-Civil")</f>
        <v/>
      </c>
      <c r="D6" s="5">
        <f>SUMIFS('Ingresos SIJ'!$F$4:$F$53,'Ingresos SIJ'!$A$4:$A$53,$A6,'Ingresos SIJ'!$C$4:$C$53,"Civil-Civil")</f>
        <v/>
      </c>
      <c r="E6" s="5">
        <f>SUMIFS('Ingresos SIJ'!$D$4:$D$53,'Ingresos SIJ'!$A$4:$A$53,$A6,'Ingresos SIJ'!$C$4:$C$53,"Resto")</f>
        <v/>
      </c>
      <c r="F6" s="5">
        <f>SUMIFS('Ingresos SIJ'!$E$4:$E$53,'Ingresos SIJ'!$A$4:$A$53,$A6,'Ingresos SIJ'!$C$4:$C$53,"Resto")+SUMIFS('Ingresos SIJ'!$F$4:$F$53,'Ingresos SIJ'!$A$4:$A$53,$A6,'Ingresos SIJ'!$C$4:$C$53,"Resto")+SUMIFS('Ingresos SIJ'!$G$4:$G$53,'Ingresos SIJ'!$A$4:$A$53,$A6,'Ingresos SIJ'!$C$4:$C$53,"Resto")+SUMIFS('Ingresos SIJ'!$H$4:$H$53,'Ingresos SIJ'!$A$4:$A$53,$A6,'Ingresos SIJ'!$C$4:$C$53,"Resto")+SUMIFS('Ingresos SIJ'!$I$4:$I$53,'Ingresos SIJ'!$A$4:$A$53,$A6,'Ingresos SIJ'!$C$4:$C$53,"Resto")+SUMIFS('Ingresos SIJ'!$J$4:$J$53,'Ingresos SIJ'!$A$4:$A$53,$A6,'Ingresos SIJ'!$C$4:$C$53,"Resto")+SUMIFS('Ingresos SIJ'!$K$4:$K$53,'Ingresos SIJ'!$A$4:$A$53,$A6,'Ingresos SIJ'!$C$4:$C$53,"Resto")+SUMIFS('Ingresos SIJ'!$L$4:$L$53,'Ingresos SIJ'!$A$4:$A$53,$A6,'Ingresos SIJ'!$C$4:$C$53,"Resto")</f>
        <v/>
      </c>
      <c r="G6" s="5">
        <f>SUMIFS('Ingresos SIJ'!$F$4:$F$53,'Ingresos SIJ'!$A$4:$A$53,$A6,'Ingresos SIJ'!$C$4:$C$53,"Resto")</f>
        <v/>
      </c>
      <c r="H6" s="5">
        <f>B6+C6*12/Parametros!$B$11</f>
        <v/>
      </c>
      <c r="I6" s="5">
        <f>E6+F6*12/Parametros!$B$11</f>
        <v/>
      </c>
      <c r="J6" s="6">
        <f>H6/(H6+I6)</f>
        <v/>
      </c>
      <c r="K6" s="5">
        <f>IF(J6&gt;=Parametros!$B$6,IF(H6&lt;Parametros!$B$7,ROUND(Parametros!$B$5*H6,0),Parametros!$B$8),IF(H6&lt;Parametros!$B$9,ROUND(Parametros!$B$5*H6,0),Parametros!$B$10))</f>
        <v/>
      </c>
      <c r="L6" s="5">
        <f>ROUND(Parametros!$B$5*I6,0)</f>
        <v/>
      </c>
      <c r="M6" s="7">
        <f>K6+L6</f>
        <v/>
      </c>
      <c r="N6" s="5">
        <f>B6+C6*12/Parametros!$B$12</f>
        <v/>
      </c>
      <c r="O6" s="5">
        <f>E6+F6*12/Parametros!$B$12</f>
        <v/>
      </c>
      <c r="P6" s="5">
        <f>IF(N6/(N6+O6)&gt;=Parametros!$B$6,IF(N6&lt;Parametros!$B$7,ROUND(Parametros!$B$5*N6,0),Parametros!$B$8),IF(N6&lt;Parametros!$B$9,ROUND(Parametros!$B$5*N6,0),Parametros!$B$10))</f>
        <v/>
      </c>
      <c r="Q6" s="5">
        <f>ROUND(Parametros!$B$5*O6,0)</f>
        <v/>
      </c>
      <c r="R6" s="7">
        <f>P6+Q6</f>
        <v/>
      </c>
      <c r="S6" s="8" t="n">
        <v>541</v>
      </c>
      <c r="T6" s="5">
        <f>S6-M6</f>
        <v/>
      </c>
      <c r="U6" s="6">
        <f>T6/M6</f>
        <v/>
      </c>
      <c r="V6" s="5">
        <f>S6-R6</f>
        <v/>
      </c>
      <c r="W6" s="6">
        <f>V6/R6</f>
        <v/>
      </c>
      <c r="X6" s="5">
        <f>(S6-Parametros!$B$8)/Parametros!$B$5</f>
        <v/>
      </c>
      <c r="Y6" s="5">
        <f>X6-E6</f>
        <v/>
      </c>
      <c r="Z6" s="9">
        <f>IF(F6=0,0,Y6/F6)</f>
        <v/>
      </c>
    </row>
    <row r="7">
      <c r="A7" s="4" t="inlineStr">
        <is>
          <t>3º JUZGADO CIVIL</t>
        </is>
      </c>
      <c r="B7" s="5">
        <f>SUMIFS('Ingresos SIJ'!$D$4:$D$53,'Ingresos SIJ'!$A$4:$A$53,$A7,'Ingresos SIJ'!$C$4:$C$53,"Civil-Civil")</f>
        <v/>
      </c>
      <c r="C7" s="5">
        <f>SUMIFS('Ingresos SIJ'!$E$4:$E$53,'Ingresos SIJ'!$A$4:$A$53,$A7,'Ingresos SIJ'!$C$4:$C$53,"Civil-Civil")+SUMIFS('Ingresos SIJ'!$F$4:$F$53,'Ingresos SIJ'!$A$4:$A$53,$A7,'Ingresos SIJ'!$C$4:$C$53,"Civil-Civil")+SUMIFS('Ingresos SIJ'!$G$4:$G$53,'Ingresos SIJ'!$A$4:$A$53,$A7,'Ingresos SIJ'!$C$4:$C$53,"Civil-Civil")+SUMIFS('Ingresos SIJ'!$H$4:$H$53,'Ingresos SIJ'!$A$4:$A$53,$A7,'Ingresos SIJ'!$C$4:$C$53,"Civil-Civil")+SUMIFS('Ingresos SIJ'!$I$4:$I$53,'Ingresos SIJ'!$A$4:$A$53,$A7,'Ingresos SIJ'!$C$4:$C$53,"Civil-Civil")+SUMIFS('Ingresos SIJ'!$J$4:$J$53,'Ingresos SIJ'!$A$4:$A$53,$A7,'Ingresos SIJ'!$C$4:$C$53,"Civil-Civil")+SUMIFS('Ingresos SIJ'!$K$4:$K$53,'Ingresos SIJ'!$A$4:$A$53,$A7,'Ingresos SIJ'!$C$4:$C$53,"Civil-Civil")+SUMIFS('Ingresos SIJ'!$L$4:$L$53,'Ingresos SIJ'!$A$4:$A$53,$A7,'Ingresos SIJ'!$C$4:$C$53,"Civil-Civil")</f>
        <v/>
      </c>
      <c r="D7" s="5">
        <f>SUMIFS('Ingresos SIJ'!$F$4:$F$53,'Ingresos SIJ'!$A$4:$A$53,$A7,'Ingresos SIJ'!$C$4:$C$53,"Civil-Civil")</f>
        <v/>
      </c>
      <c r="E7" s="5">
        <f>SUMIFS('Ingresos SIJ'!$D$4:$D$53,'Ingresos SIJ'!$A$4:$A$53,$A7,'Ingresos SIJ'!$C$4:$C$53,"Resto")</f>
        <v/>
      </c>
      <c r="F7" s="5">
        <f>SUMIFS('Ingresos SIJ'!$E$4:$E$53,'Ingresos SIJ'!$A$4:$A$53,$A7,'Ingresos SIJ'!$C$4:$C$53,"Resto")+SUMIFS('Ingresos SIJ'!$F$4:$F$53,'Ingresos SIJ'!$A$4:$A$53,$A7,'Ingresos SIJ'!$C$4:$C$53,"Resto")+SUMIFS('Ingresos SIJ'!$G$4:$G$53,'Ingresos SIJ'!$A$4:$A$53,$A7,'Ingresos SIJ'!$C$4:$C$53,"Resto")+SUMIFS('Ingresos SIJ'!$H$4:$H$53,'Ingresos SIJ'!$A$4:$A$53,$A7,'Ingresos SIJ'!$C$4:$C$53,"Resto")+SUMIFS('Ingresos SIJ'!$I$4:$I$53,'Ingresos SIJ'!$A$4:$A$53,$A7,'Ingresos SIJ'!$C$4:$C$53,"Resto")+SUMIFS('Ingresos SIJ'!$J$4:$J$53,'Ingresos SIJ'!$A$4:$A$53,$A7,'Ingresos SIJ'!$C$4:$C$53,"Resto")+SUMIFS('Ingresos SIJ'!$K$4:$K$53,'Ingresos SIJ'!$A$4:$A$53,$A7,'Ingresos SIJ'!$C$4:$C$53,"Resto")+SUMIFS('Ingresos SIJ'!$L$4:$L$53,'Ingresos SIJ'!$A$4:$A$53,$A7,'Ingresos SIJ'!$C$4:$C$53,"Resto")</f>
        <v/>
      </c>
      <c r="G7" s="5">
        <f>SUMIFS('Ingresos SIJ'!$F$4:$F$53,'Ingresos SIJ'!$A$4:$A$53,$A7,'Ingresos SIJ'!$C$4:$C$53,"Resto")</f>
        <v/>
      </c>
      <c r="H7" s="5">
        <f>B7+C7*12/Parametros!$B$11</f>
        <v/>
      </c>
      <c r="I7" s="5">
        <f>E7+F7*12/Parametros!$B$11</f>
        <v/>
      </c>
      <c r="J7" s="6">
        <f>H7/(H7+I7)</f>
        <v/>
      </c>
      <c r="K7" s="5">
        <f>IF(J7&gt;=Parametros!$B$6,IF(H7&lt;Parametros!$B$7,ROUND(Parametros!$B$5*H7,0),Parametros!$B$8),IF(H7&lt;Parametros!$B$9,ROUND(Parametros!$B$5*H7,0),Parametros!$B$10))</f>
        <v/>
      </c>
      <c r="L7" s="5">
        <f>ROUND(Parametros!$B$5*I7,0)</f>
        <v/>
      </c>
      <c r="M7" s="7">
        <f>K7+L7</f>
        <v/>
      </c>
      <c r="N7" s="5">
        <f>B7+C7*12/Parametros!$B$12</f>
        <v/>
      </c>
      <c r="O7" s="5">
        <f>E7+F7*12/Parametros!$B$12</f>
        <v/>
      </c>
      <c r="P7" s="5">
        <f>IF(N7/(N7+O7)&gt;=Parametros!$B$6,IF(N7&lt;Parametros!$B$7,ROUND(Parametros!$B$5*N7,0),Parametros!$B$8),IF(N7&lt;Parametros!$B$9,ROUND(Parametros!$B$5*N7,0),Parametros!$B$10))</f>
        <v/>
      </c>
      <c r="Q7" s="5">
        <f>ROUND(Parametros!$B$5*O7,0)</f>
        <v/>
      </c>
      <c r="R7" s="7">
        <f>P7+Q7</f>
        <v/>
      </c>
      <c r="S7" s="8" t="n">
        <v>511</v>
      </c>
      <c r="T7" s="5">
        <f>S7-M7</f>
        <v/>
      </c>
      <c r="U7" s="6">
        <f>T7/M7</f>
        <v/>
      </c>
      <c r="V7" s="5">
        <f>S7-R7</f>
        <v/>
      </c>
      <c r="W7" s="6">
        <f>V7/R7</f>
        <v/>
      </c>
      <c r="X7" s="5">
        <f>(S7-Parametros!$B$8)/Parametros!$B$5</f>
        <v/>
      </c>
      <c r="Y7" s="5">
        <f>X7-E7</f>
        <v/>
      </c>
      <c r="Z7" s="9">
        <f>IF(F7=0,0,Y7/F7)</f>
        <v/>
      </c>
    </row>
    <row r="8">
      <c r="A8" s="4" t="inlineStr">
        <is>
          <t>4º JUZGADO CIVIL</t>
        </is>
      </c>
      <c r="B8" s="5">
        <f>SUMIFS('Ingresos SIJ'!$D$4:$D$53,'Ingresos SIJ'!$A$4:$A$53,$A8,'Ingresos SIJ'!$C$4:$C$53,"Civil-Civil")</f>
        <v/>
      </c>
      <c r="C8" s="5">
        <f>SUMIFS('Ingresos SIJ'!$E$4:$E$53,'Ingresos SIJ'!$A$4:$A$53,$A8,'Ingresos SIJ'!$C$4:$C$53,"Civil-Civil")+SUMIFS('Ingresos SIJ'!$F$4:$F$53,'Ingresos SIJ'!$A$4:$A$53,$A8,'Ingresos SIJ'!$C$4:$C$53,"Civil-Civil")+SUMIFS('Ingresos SIJ'!$G$4:$G$53,'Ingresos SIJ'!$A$4:$A$53,$A8,'Ingresos SIJ'!$C$4:$C$53,"Civil-Civil")+SUMIFS('Ingresos SIJ'!$H$4:$H$53,'Ingresos SIJ'!$A$4:$A$53,$A8,'Ingresos SIJ'!$C$4:$C$53,"Civil-Civil")+SUMIFS('Ingresos SIJ'!$I$4:$I$53,'Ingresos SIJ'!$A$4:$A$53,$A8,'Ingresos SIJ'!$C$4:$C$53,"Civil-Civil")+SUMIFS('Ingresos SIJ'!$J$4:$J$53,'Ingresos SIJ'!$A$4:$A$53,$A8,'Ingresos SIJ'!$C$4:$C$53,"Civil-Civil")+SUMIFS('Ingresos SIJ'!$K$4:$K$53,'Ingresos SIJ'!$A$4:$A$53,$A8,'Ingresos SIJ'!$C$4:$C$53,"Civil-Civil")+SUMIFS('Ingresos SIJ'!$L$4:$L$53,'Ingresos SIJ'!$A$4:$A$53,$A8,'Ingresos SIJ'!$C$4:$C$53,"Civil-Civil")</f>
        <v/>
      </c>
      <c r="D8" s="5">
        <f>SUMIFS('Ingresos SIJ'!$F$4:$F$53,'Ingresos SIJ'!$A$4:$A$53,$A8,'Ingresos SIJ'!$C$4:$C$53,"Civil-Civil")</f>
        <v/>
      </c>
      <c r="E8" s="5">
        <f>SUMIFS('Ingresos SIJ'!$D$4:$D$53,'Ingresos SIJ'!$A$4:$A$53,$A8,'Ingresos SIJ'!$C$4:$C$53,"Resto")</f>
        <v/>
      </c>
      <c r="F8" s="5">
        <f>SUMIFS('Ingresos SIJ'!$E$4:$E$53,'Ingresos SIJ'!$A$4:$A$53,$A8,'Ingresos SIJ'!$C$4:$C$53,"Resto")+SUMIFS('Ingresos SIJ'!$F$4:$F$53,'Ingresos SIJ'!$A$4:$A$53,$A8,'Ingresos SIJ'!$C$4:$C$53,"Resto")+SUMIFS('Ingresos SIJ'!$G$4:$G$53,'Ingresos SIJ'!$A$4:$A$53,$A8,'Ingresos SIJ'!$C$4:$C$53,"Resto")+SUMIFS('Ingresos SIJ'!$H$4:$H$53,'Ingresos SIJ'!$A$4:$A$53,$A8,'Ingresos SIJ'!$C$4:$C$53,"Resto")+SUMIFS('Ingresos SIJ'!$I$4:$I$53,'Ingresos SIJ'!$A$4:$A$53,$A8,'Ingresos SIJ'!$C$4:$C$53,"Resto")+SUMIFS('Ingresos SIJ'!$J$4:$J$53,'Ingresos SIJ'!$A$4:$A$53,$A8,'Ingresos SIJ'!$C$4:$C$53,"Resto")+SUMIFS('Ingresos SIJ'!$K$4:$K$53,'Ingresos SIJ'!$A$4:$A$53,$A8,'Ingresos SIJ'!$C$4:$C$53,"Resto")+SUMIFS('Ingresos SIJ'!$L$4:$L$53,'Ingresos SIJ'!$A$4:$A$53,$A8,'Ingresos SIJ'!$C$4:$C$53,"Resto")</f>
        <v/>
      </c>
      <c r="G8" s="5">
        <f>SUMIFS('Ingresos SIJ'!$F$4:$F$53,'Ingresos SIJ'!$A$4:$A$53,$A8,'Ingresos SIJ'!$C$4:$C$53,"Resto")</f>
        <v/>
      </c>
      <c r="H8" s="5">
        <f>B8+C8*12/Parametros!$B$11</f>
        <v/>
      </c>
      <c r="I8" s="5">
        <f>E8+F8*12/Parametros!$B$11</f>
        <v/>
      </c>
      <c r="J8" s="6">
        <f>H8/(H8+I8)</f>
        <v/>
      </c>
      <c r="K8" s="5">
        <f>IF(J8&gt;=Parametros!$B$6,IF(H8&lt;Parametros!$B$7,ROUND(Parametros!$B$5*H8,0),Parametros!$B$8),IF(H8&lt;Parametros!$B$9,ROUND(Parametros!$B$5*H8,0),Parametros!$B$10))</f>
        <v/>
      </c>
      <c r="L8" s="5">
        <f>ROUND(Parametros!$B$5*I8,0)</f>
        <v/>
      </c>
      <c r="M8" s="7">
        <f>K8+L8</f>
        <v/>
      </c>
      <c r="N8" s="5">
        <f>B8+C8*12/Parametros!$B$12</f>
        <v/>
      </c>
      <c r="O8" s="5">
        <f>E8+F8*12/Parametros!$B$12</f>
        <v/>
      </c>
      <c r="P8" s="5">
        <f>IF(N8/(N8+O8)&gt;=Parametros!$B$6,IF(N8&lt;Parametros!$B$7,ROUND(Parametros!$B$5*N8,0),Parametros!$B$8),IF(N8&lt;Parametros!$B$9,ROUND(Parametros!$B$5*N8,0),Parametros!$B$10))</f>
        <v/>
      </c>
      <c r="Q8" s="5">
        <f>ROUND(Parametros!$B$5*O8,0)</f>
        <v/>
      </c>
      <c r="R8" s="7">
        <f>P8+Q8</f>
        <v/>
      </c>
      <c r="S8" s="8" t="n">
        <v>534</v>
      </c>
      <c r="T8" s="5">
        <f>S8-M8</f>
        <v/>
      </c>
      <c r="U8" s="6">
        <f>T8/M8</f>
        <v/>
      </c>
      <c r="V8" s="5">
        <f>S8-R8</f>
        <v/>
      </c>
      <c r="W8" s="6">
        <f>V8/R8</f>
        <v/>
      </c>
      <c r="X8" s="5">
        <f>(S8-Parametros!$B$8)/Parametros!$B$5</f>
        <v/>
      </c>
      <c r="Y8" s="5">
        <f>X8-E8</f>
        <v/>
      </c>
      <c r="Z8" s="9">
        <f>IF(F8=0,0,Y8/F8)</f>
        <v/>
      </c>
    </row>
    <row r="9">
      <c r="A9" s="4" t="inlineStr">
        <is>
          <t>5º JUZGADO CIVIL</t>
        </is>
      </c>
      <c r="B9" s="5">
        <f>SUMIFS('Ingresos SIJ'!$D$4:$D$53,'Ingresos SIJ'!$A$4:$A$53,$A9,'Ingresos SIJ'!$C$4:$C$53,"Civil-Civil")</f>
        <v/>
      </c>
      <c r="C9" s="5">
        <f>SUMIFS('Ingresos SIJ'!$E$4:$E$53,'Ingresos SIJ'!$A$4:$A$53,$A9,'Ingresos SIJ'!$C$4:$C$53,"Civil-Civil")+SUMIFS('Ingresos SIJ'!$F$4:$F$53,'Ingresos SIJ'!$A$4:$A$53,$A9,'Ingresos SIJ'!$C$4:$C$53,"Civil-Civil")+SUMIFS('Ingresos SIJ'!$G$4:$G$53,'Ingresos SIJ'!$A$4:$A$53,$A9,'Ingresos SIJ'!$C$4:$C$53,"Civil-Civil")+SUMIFS('Ingresos SIJ'!$H$4:$H$53,'Ingresos SIJ'!$A$4:$A$53,$A9,'Ingresos SIJ'!$C$4:$C$53,"Civil-Civil")+SUMIFS('Ingresos SIJ'!$I$4:$I$53,'Ingresos SIJ'!$A$4:$A$53,$A9,'Ingresos SIJ'!$C$4:$C$53,"Civil-Civil")+SUMIFS('Ingresos SIJ'!$J$4:$J$53,'Ingresos SIJ'!$A$4:$A$53,$A9,'Ingresos SIJ'!$C$4:$C$53,"Civil-Civil")+SUMIFS('Ingresos SIJ'!$K$4:$K$53,'Ingresos SIJ'!$A$4:$A$53,$A9,'Ingresos SIJ'!$C$4:$C$53,"Civil-Civil")+SUMIFS('Ingresos SIJ'!$L$4:$L$53,'Ingresos SIJ'!$A$4:$A$53,$A9,'Ingresos SIJ'!$C$4:$C$53,"Civil-Civil")</f>
        <v/>
      </c>
      <c r="D9" s="5">
        <f>SUMIFS('Ingresos SIJ'!$F$4:$F$53,'Ingresos SIJ'!$A$4:$A$53,$A9,'Ingresos SIJ'!$C$4:$C$53,"Civil-Civil")</f>
        <v/>
      </c>
      <c r="E9" s="5">
        <f>SUMIFS('Ingresos SIJ'!$D$4:$D$53,'Ingresos SIJ'!$A$4:$A$53,$A9,'Ingresos SIJ'!$C$4:$C$53,"Resto")</f>
        <v/>
      </c>
      <c r="F9" s="5">
        <f>SUMIFS('Ingresos SIJ'!$E$4:$E$53,'Ingresos SIJ'!$A$4:$A$53,$A9,'Ingresos SIJ'!$C$4:$C$53,"Resto")+SUMIFS('Ingresos SIJ'!$F$4:$F$53,'Ingresos SIJ'!$A$4:$A$53,$A9,'Ingresos SIJ'!$C$4:$C$53,"Resto")+SUMIFS('Ingresos SIJ'!$G$4:$G$53,'Ingresos SIJ'!$A$4:$A$53,$A9,'Ingresos SIJ'!$C$4:$C$53,"Resto")+SUMIFS('Ingresos SIJ'!$H$4:$H$53,'Ingresos SIJ'!$A$4:$A$53,$A9,'Ingresos SIJ'!$C$4:$C$53,"Resto")+SUMIFS('Ingresos SIJ'!$I$4:$I$53,'Ingresos SIJ'!$A$4:$A$53,$A9,'Ingresos SIJ'!$C$4:$C$53,"Resto")+SUMIFS('Ingresos SIJ'!$J$4:$J$53,'Ingresos SIJ'!$A$4:$A$53,$A9,'Ingresos SIJ'!$C$4:$C$53,"Resto")+SUMIFS('Ingresos SIJ'!$K$4:$K$53,'Ingresos SIJ'!$A$4:$A$53,$A9,'Ingresos SIJ'!$C$4:$C$53,"Resto")+SUMIFS('Ingresos SIJ'!$L$4:$L$53,'Ingresos SIJ'!$A$4:$A$53,$A9,'Ingresos SIJ'!$C$4:$C$53,"Resto")</f>
        <v/>
      </c>
      <c r="G9" s="5">
        <f>SUMIFS('Ingresos SIJ'!$F$4:$F$53,'Ingresos SIJ'!$A$4:$A$53,$A9,'Ingresos SIJ'!$C$4:$C$53,"Resto")</f>
        <v/>
      </c>
      <c r="H9" s="5">
        <f>B9+C9*12/Parametros!$B$11</f>
        <v/>
      </c>
      <c r="I9" s="5">
        <f>E9+F9*12/Parametros!$B$11</f>
        <v/>
      </c>
      <c r="J9" s="6">
        <f>H9/(H9+I9)</f>
        <v/>
      </c>
      <c r="K9" s="5">
        <f>IF(J9&gt;=Parametros!$B$6,IF(H9&lt;Parametros!$B$7,ROUND(Parametros!$B$5*H9,0),Parametros!$B$8),IF(H9&lt;Parametros!$B$9,ROUND(Parametros!$B$5*H9,0),Parametros!$B$10))</f>
        <v/>
      </c>
      <c r="L9" s="5">
        <f>ROUND(Parametros!$B$5*I9,0)</f>
        <v/>
      </c>
      <c r="M9" s="7">
        <f>K9+L9</f>
        <v/>
      </c>
      <c r="N9" s="5">
        <f>B9+C9*12/Parametros!$B$12</f>
        <v/>
      </c>
      <c r="O9" s="5">
        <f>E9+F9*12/Parametros!$B$12</f>
        <v/>
      </c>
      <c r="P9" s="5">
        <f>IF(N9/(N9+O9)&gt;=Parametros!$B$6,IF(N9&lt;Parametros!$B$7,ROUND(Parametros!$B$5*N9,0),Parametros!$B$8),IF(N9&lt;Parametros!$B$9,ROUND(Parametros!$B$5*N9,0),Parametros!$B$10))</f>
        <v/>
      </c>
      <c r="Q9" s="5">
        <f>ROUND(Parametros!$B$5*O9,0)</f>
        <v/>
      </c>
      <c r="R9" s="7">
        <f>P9+Q9</f>
        <v/>
      </c>
      <c r="S9" s="8" t="n">
        <v>536</v>
      </c>
      <c r="T9" s="5">
        <f>S9-M9</f>
        <v/>
      </c>
      <c r="U9" s="6">
        <f>T9/M9</f>
        <v/>
      </c>
      <c r="V9" s="5">
        <f>S9-R9</f>
        <v/>
      </c>
      <c r="W9" s="6">
        <f>V9/R9</f>
        <v/>
      </c>
      <c r="X9" s="5">
        <f>(S9-Parametros!$B$8)/Parametros!$B$5</f>
        <v/>
      </c>
      <c r="Y9" s="5">
        <f>X9-E9</f>
        <v/>
      </c>
      <c r="Z9" s="9">
        <f>IF(F9=0,0,Y9/F9)</f>
        <v/>
      </c>
    </row>
    <row r="10">
      <c r="A10" s="4" t="inlineStr">
        <is>
          <t>6º JUZGADO CIVIL</t>
        </is>
      </c>
      <c r="B10" s="5">
        <f>SUMIFS('Ingresos SIJ'!$D$4:$D$53,'Ingresos SIJ'!$A$4:$A$53,$A10,'Ingresos SIJ'!$C$4:$C$53,"Civil-Civil")</f>
        <v/>
      </c>
      <c r="C10" s="5">
        <f>SUMIFS('Ingresos SIJ'!$E$4:$E$53,'Ingresos SIJ'!$A$4:$A$53,$A10,'Ingresos SIJ'!$C$4:$C$53,"Civil-Civil")+SUMIFS('Ingresos SIJ'!$F$4:$F$53,'Ingresos SIJ'!$A$4:$A$53,$A10,'Ingresos SIJ'!$C$4:$C$53,"Civil-Civil")+SUMIFS('Ingresos SIJ'!$G$4:$G$53,'Ingresos SIJ'!$A$4:$A$53,$A10,'Ingresos SIJ'!$C$4:$C$53,"Civil-Civil")+SUMIFS('Ingresos SIJ'!$H$4:$H$53,'Ingresos SIJ'!$A$4:$A$53,$A10,'Ingresos SIJ'!$C$4:$C$53,"Civil-Civil")+SUMIFS('Ingresos SIJ'!$I$4:$I$53,'Ingresos SIJ'!$A$4:$A$53,$A10,'Ingresos SIJ'!$C$4:$C$53,"Civil-Civil")+SUMIFS('Ingresos SIJ'!$J$4:$J$53,'Ingresos SIJ'!$A$4:$A$53,$A10,'Ingresos SIJ'!$C$4:$C$53,"Civil-Civil")+SUMIFS('Ingresos SIJ'!$K$4:$K$53,'Ingresos SIJ'!$A$4:$A$53,$A10,'Ingresos SIJ'!$C$4:$C$53,"Civil-Civil")+SUMIFS('Ingresos SIJ'!$L$4:$L$53,'Ingresos SIJ'!$A$4:$A$53,$A10,'Ingresos SIJ'!$C$4:$C$53,"Civil-Civil")</f>
        <v/>
      </c>
      <c r="D10" s="5">
        <f>SUMIFS('Ingresos SIJ'!$F$4:$F$53,'Ingresos SIJ'!$A$4:$A$53,$A10,'Ingresos SIJ'!$C$4:$C$53,"Civil-Civil")</f>
        <v/>
      </c>
      <c r="E10" s="5">
        <f>SUMIFS('Ingresos SIJ'!$D$4:$D$53,'Ingresos SIJ'!$A$4:$A$53,$A10,'Ingresos SIJ'!$C$4:$C$53,"Resto")</f>
        <v/>
      </c>
      <c r="F10" s="5">
        <f>SUMIFS('Ingresos SIJ'!$E$4:$E$53,'Ingresos SIJ'!$A$4:$A$53,$A10,'Ingresos SIJ'!$C$4:$C$53,"Resto")+SUMIFS('Ingresos SIJ'!$F$4:$F$53,'Ingresos SIJ'!$A$4:$A$53,$A10,'Ingresos SIJ'!$C$4:$C$53,"Resto")+SUMIFS('Ingresos SIJ'!$G$4:$G$53,'Ingresos SIJ'!$A$4:$A$53,$A10,'Ingresos SIJ'!$C$4:$C$53,"Resto")+SUMIFS('Ingresos SIJ'!$H$4:$H$53,'Ingresos SIJ'!$A$4:$A$53,$A10,'Ingresos SIJ'!$C$4:$C$53,"Resto")+SUMIFS('Ingresos SIJ'!$I$4:$I$53,'Ingresos SIJ'!$A$4:$A$53,$A10,'Ingresos SIJ'!$C$4:$C$53,"Resto")+SUMIFS('Ingresos SIJ'!$J$4:$J$53,'Ingresos SIJ'!$A$4:$A$53,$A10,'Ingresos SIJ'!$C$4:$C$53,"Resto")+SUMIFS('Ingresos SIJ'!$K$4:$K$53,'Ingresos SIJ'!$A$4:$A$53,$A10,'Ingresos SIJ'!$C$4:$C$53,"Resto")+SUMIFS('Ingresos SIJ'!$L$4:$L$53,'Ingresos SIJ'!$A$4:$A$53,$A10,'Ingresos SIJ'!$C$4:$C$53,"Resto")</f>
        <v/>
      </c>
      <c r="G10" s="5">
        <f>SUMIFS('Ingresos SIJ'!$F$4:$F$53,'Ingresos SIJ'!$A$4:$A$53,$A10,'Ingresos SIJ'!$C$4:$C$53,"Resto")</f>
        <v/>
      </c>
      <c r="H10" s="5">
        <f>B10+C10*12/Parametros!$B$11</f>
        <v/>
      </c>
      <c r="I10" s="5">
        <f>E10+F10*12/Parametros!$B$11</f>
        <v/>
      </c>
      <c r="J10" s="6">
        <f>H10/(H10+I10)</f>
        <v/>
      </c>
      <c r="K10" s="5">
        <f>IF(J10&gt;=Parametros!$B$6,IF(H10&lt;Parametros!$B$7,ROUND(Parametros!$B$5*H10,0),Parametros!$B$8),IF(H10&lt;Parametros!$B$9,ROUND(Parametros!$B$5*H10,0),Parametros!$B$10))</f>
        <v/>
      </c>
      <c r="L10" s="5">
        <f>ROUND(Parametros!$B$5*I10,0)</f>
        <v/>
      </c>
      <c r="M10" s="7">
        <f>K10+L10</f>
        <v/>
      </c>
      <c r="N10" s="5">
        <f>B10+C10*12/Parametros!$B$12</f>
        <v/>
      </c>
      <c r="O10" s="5">
        <f>E10+F10*12/Parametros!$B$12</f>
        <v/>
      </c>
      <c r="P10" s="5">
        <f>IF(N10/(N10+O10)&gt;=Parametros!$B$6,IF(N10&lt;Parametros!$B$7,ROUND(Parametros!$B$5*N10,0),Parametros!$B$8),IF(N10&lt;Parametros!$B$9,ROUND(Parametros!$B$5*N10,0),Parametros!$B$10))</f>
        <v/>
      </c>
      <c r="Q10" s="5">
        <f>ROUND(Parametros!$B$5*O10,0)</f>
        <v/>
      </c>
      <c r="R10" s="7">
        <f>P10+Q10</f>
        <v/>
      </c>
      <c r="S10" s="8" t="n">
        <v>528</v>
      </c>
      <c r="T10" s="5">
        <f>S10-M10</f>
        <v/>
      </c>
      <c r="U10" s="6">
        <f>T10/M10</f>
        <v/>
      </c>
      <c r="V10" s="5">
        <f>S10-R10</f>
        <v/>
      </c>
      <c r="W10" s="6">
        <f>V10/R10</f>
        <v/>
      </c>
      <c r="X10" s="5">
        <f>(S10-Parametros!$B$8)/Parametros!$B$5</f>
        <v/>
      </c>
      <c r="Y10" s="5">
        <f>X10-E10</f>
        <v/>
      </c>
      <c r="Z10" s="9">
        <f>IF(F10=0,0,Y10/F10)</f>
        <v/>
      </c>
    </row>
    <row r="11">
      <c r="A11" s="4" t="inlineStr">
        <is>
          <t>7º JUZGADO CIVIL</t>
        </is>
      </c>
      <c r="B11" s="5">
        <f>SUMIFS('Ingresos SIJ'!$D$4:$D$53,'Ingresos SIJ'!$A$4:$A$53,$A11,'Ingresos SIJ'!$C$4:$C$53,"Civil-Civil")</f>
        <v/>
      </c>
      <c r="C11" s="5">
        <f>SUMIFS('Ingresos SIJ'!$E$4:$E$53,'Ingresos SIJ'!$A$4:$A$53,$A11,'Ingresos SIJ'!$C$4:$C$53,"Civil-Civil")+SUMIFS('Ingresos SIJ'!$F$4:$F$53,'Ingresos SIJ'!$A$4:$A$53,$A11,'Ingresos SIJ'!$C$4:$C$53,"Civil-Civil")+SUMIFS('Ingresos SIJ'!$G$4:$G$53,'Ingresos SIJ'!$A$4:$A$53,$A11,'Ingresos SIJ'!$C$4:$C$53,"Civil-Civil")+SUMIFS('Ingresos SIJ'!$H$4:$H$53,'Ingresos SIJ'!$A$4:$A$53,$A11,'Ingresos SIJ'!$C$4:$C$53,"Civil-Civil")+SUMIFS('Ingresos SIJ'!$I$4:$I$53,'Ingresos SIJ'!$A$4:$A$53,$A11,'Ingresos SIJ'!$C$4:$C$53,"Civil-Civil")+SUMIFS('Ingresos SIJ'!$J$4:$J$53,'Ingresos SIJ'!$A$4:$A$53,$A11,'Ingresos SIJ'!$C$4:$C$53,"Civil-Civil")+SUMIFS('Ingresos SIJ'!$K$4:$K$53,'Ingresos SIJ'!$A$4:$A$53,$A11,'Ingresos SIJ'!$C$4:$C$53,"Civil-Civil")+SUMIFS('Ingresos SIJ'!$L$4:$L$53,'Ingresos SIJ'!$A$4:$A$53,$A11,'Ingresos SIJ'!$C$4:$C$53,"Civil-Civil")</f>
        <v/>
      </c>
      <c r="D11" s="5">
        <f>SUMIFS('Ingresos SIJ'!$F$4:$F$53,'Ingresos SIJ'!$A$4:$A$53,$A11,'Ingresos SIJ'!$C$4:$C$53,"Civil-Civil")</f>
        <v/>
      </c>
      <c r="E11" s="5">
        <f>SUMIFS('Ingresos SIJ'!$D$4:$D$53,'Ingresos SIJ'!$A$4:$A$53,$A11,'Ingresos SIJ'!$C$4:$C$53,"Resto")</f>
        <v/>
      </c>
      <c r="F11" s="5">
        <f>SUMIFS('Ingresos SIJ'!$E$4:$E$53,'Ingresos SIJ'!$A$4:$A$53,$A11,'Ingresos SIJ'!$C$4:$C$53,"Resto")+SUMIFS('Ingresos SIJ'!$F$4:$F$53,'Ingresos SIJ'!$A$4:$A$53,$A11,'Ingresos SIJ'!$C$4:$C$53,"Resto")+SUMIFS('Ingresos SIJ'!$G$4:$G$53,'Ingresos SIJ'!$A$4:$A$53,$A11,'Ingresos SIJ'!$C$4:$C$53,"Resto")+SUMIFS('Ingresos SIJ'!$H$4:$H$53,'Ingresos SIJ'!$A$4:$A$53,$A11,'Ingresos SIJ'!$C$4:$C$53,"Resto")+SUMIFS('Ingresos SIJ'!$I$4:$I$53,'Ingresos SIJ'!$A$4:$A$53,$A11,'Ingresos SIJ'!$C$4:$C$53,"Resto")+SUMIFS('Ingresos SIJ'!$J$4:$J$53,'Ingresos SIJ'!$A$4:$A$53,$A11,'Ingresos SIJ'!$C$4:$C$53,"Resto")+SUMIFS('Ingresos SIJ'!$K$4:$K$53,'Ingresos SIJ'!$A$4:$A$53,$A11,'Ingresos SIJ'!$C$4:$C$53,"Resto")+SUMIFS('Ingresos SIJ'!$L$4:$L$53,'Ingresos SIJ'!$A$4:$A$53,$A11,'Ingresos SIJ'!$C$4:$C$53,"Resto")</f>
        <v/>
      </c>
      <c r="G11" s="5">
        <f>SUMIFS('Ingresos SIJ'!$F$4:$F$53,'Ingresos SIJ'!$A$4:$A$53,$A11,'Ingresos SIJ'!$C$4:$C$53,"Resto")</f>
        <v/>
      </c>
      <c r="H11" s="5">
        <f>B11+C11*12/Parametros!$B$11</f>
        <v/>
      </c>
      <c r="I11" s="5">
        <f>E11+F11*12/Parametros!$B$11</f>
        <v/>
      </c>
      <c r="J11" s="6">
        <f>H11/(H11+I11)</f>
        <v/>
      </c>
      <c r="K11" s="5">
        <f>IF(J11&gt;=Parametros!$B$6,IF(H11&lt;Parametros!$B$7,ROUND(Parametros!$B$5*H11,0),Parametros!$B$8),IF(H11&lt;Parametros!$B$9,ROUND(Parametros!$B$5*H11,0),Parametros!$B$10))</f>
        <v/>
      </c>
      <c r="L11" s="5">
        <f>ROUND(Parametros!$B$5*I11,0)</f>
        <v/>
      </c>
      <c r="M11" s="7">
        <f>K11+L11</f>
        <v/>
      </c>
      <c r="N11" s="5">
        <f>B11+C11*12/Parametros!$B$12</f>
        <v/>
      </c>
      <c r="O11" s="5">
        <f>E11+F11*12/Parametros!$B$12</f>
        <v/>
      </c>
      <c r="P11" s="5">
        <f>IF(N11/(N11+O11)&gt;=Parametros!$B$6,IF(N11&lt;Parametros!$B$7,ROUND(Parametros!$B$5*N11,0),Parametros!$B$8),IF(N11&lt;Parametros!$B$9,ROUND(Parametros!$B$5*N11,0),Parametros!$B$10))</f>
        <v/>
      </c>
      <c r="Q11" s="5">
        <f>ROUND(Parametros!$B$5*O11,0)</f>
        <v/>
      </c>
      <c r="R11" s="7">
        <f>P11+Q11</f>
        <v/>
      </c>
      <c r="S11" s="8" t="n">
        <v>504</v>
      </c>
      <c r="T11" s="5">
        <f>S11-M11</f>
        <v/>
      </c>
      <c r="U11" s="6">
        <f>T11/M11</f>
        <v/>
      </c>
      <c r="V11" s="5">
        <f>S11-R11</f>
        <v/>
      </c>
      <c r="W11" s="6">
        <f>V11/R11</f>
        <v/>
      </c>
      <c r="X11" s="5">
        <f>(S11-Parametros!$B$8)/Parametros!$B$5</f>
        <v/>
      </c>
      <c r="Y11" s="5">
        <f>X11-E11</f>
        <v/>
      </c>
      <c r="Z11" s="9">
        <f>IF(F11=0,0,Y11/F11)</f>
        <v/>
      </c>
    </row>
    <row r="12">
      <c r="A12" s="4" t="inlineStr">
        <is>
          <t>8º JUZGADO CIVIL</t>
        </is>
      </c>
      <c r="B12" s="5">
        <f>SUMIFS('Ingresos SIJ'!$D$4:$D$53,'Ingresos SIJ'!$A$4:$A$53,$A12,'Ingresos SIJ'!$C$4:$C$53,"Civil-Civil")</f>
        <v/>
      </c>
      <c r="C12" s="5">
        <f>SUMIFS('Ingresos SIJ'!$E$4:$E$53,'Ingresos SIJ'!$A$4:$A$53,$A12,'Ingresos SIJ'!$C$4:$C$53,"Civil-Civil")+SUMIFS('Ingresos SIJ'!$F$4:$F$53,'Ingresos SIJ'!$A$4:$A$53,$A12,'Ingresos SIJ'!$C$4:$C$53,"Civil-Civil")+SUMIFS('Ingresos SIJ'!$G$4:$G$53,'Ingresos SIJ'!$A$4:$A$53,$A12,'Ingresos SIJ'!$C$4:$C$53,"Civil-Civil")+SUMIFS('Ingresos SIJ'!$H$4:$H$53,'Ingresos SIJ'!$A$4:$A$53,$A12,'Ingresos SIJ'!$C$4:$C$53,"Civil-Civil")+SUMIFS('Ingresos SIJ'!$I$4:$I$53,'Ingresos SIJ'!$A$4:$A$53,$A12,'Ingresos SIJ'!$C$4:$C$53,"Civil-Civil")+SUMIFS('Ingresos SIJ'!$J$4:$J$53,'Ingresos SIJ'!$A$4:$A$53,$A12,'Ingresos SIJ'!$C$4:$C$53,"Civil-Civil")+SUMIFS('Ingresos SIJ'!$K$4:$K$53,'Ingresos SIJ'!$A$4:$A$53,$A12,'Ingresos SIJ'!$C$4:$C$53,"Civil-Civil")+SUMIFS('Ingresos SIJ'!$L$4:$L$53,'Ingresos SIJ'!$A$4:$A$53,$A12,'Ingresos SIJ'!$C$4:$C$53,"Civil-Civil")</f>
        <v/>
      </c>
      <c r="D12" s="5">
        <f>SUMIFS('Ingresos SIJ'!$F$4:$F$53,'Ingresos SIJ'!$A$4:$A$53,$A12,'Ingresos SIJ'!$C$4:$C$53,"Civil-Civil")</f>
        <v/>
      </c>
      <c r="E12" s="5">
        <f>SUMIFS('Ingresos SIJ'!$D$4:$D$53,'Ingresos SIJ'!$A$4:$A$53,$A12,'Ingresos SIJ'!$C$4:$C$53,"Resto")</f>
        <v/>
      </c>
      <c r="F12" s="5">
        <f>SUMIFS('Ingresos SIJ'!$E$4:$E$53,'Ingresos SIJ'!$A$4:$A$53,$A12,'Ingresos SIJ'!$C$4:$C$53,"Resto")+SUMIFS('Ingresos SIJ'!$F$4:$F$53,'Ingresos SIJ'!$A$4:$A$53,$A12,'Ingresos SIJ'!$C$4:$C$53,"Resto")+SUMIFS('Ingresos SIJ'!$G$4:$G$53,'Ingresos SIJ'!$A$4:$A$53,$A12,'Ingresos SIJ'!$C$4:$C$53,"Resto")+SUMIFS('Ingresos SIJ'!$H$4:$H$53,'Ingresos SIJ'!$A$4:$A$53,$A12,'Ingresos SIJ'!$C$4:$C$53,"Resto")+SUMIFS('Ingresos SIJ'!$I$4:$I$53,'Ingresos SIJ'!$A$4:$A$53,$A12,'Ingresos SIJ'!$C$4:$C$53,"Resto")+SUMIFS('Ingresos SIJ'!$J$4:$J$53,'Ingresos SIJ'!$A$4:$A$53,$A12,'Ingresos SIJ'!$C$4:$C$53,"Resto")+SUMIFS('Ingresos SIJ'!$K$4:$K$53,'Ingresos SIJ'!$A$4:$A$53,$A12,'Ingresos SIJ'!$C$4:$C$53,"Resto")+SUMIFS('Ingresos SIJ'!$L$4:$L$53,'Ingresos SIJ'!$A$4:$A$53,$A12,'Ingresos SIJ'!$C$4:$C$53,"Resto")</f>
        <v/>
      </c>
      <c r="G12" s="5">
        <f>SUMIFS('Ingresos SIJ'!$F$4:$F$53,'Ingresos SIJ'!$A$4:$A$53,$A12,'Ingresos SIJ'!$C$4:$C$53,"Resto")</f>
        <v/>
      </c>
      <c r="H12" s="5">
        <f>B12+C12*12/Parametros!$B$11</f>
        <v/>
      </c>
      <c r="I12" s="5">
        <f>E12+F12*12/Parametros!$B$11</f>
        <v/>
      </c>
      <c r="J12" s="6">
        <f>H12/(H12+I12)</f>
        <v/>
      </c>
      <c r="K12" s="5">
        <f>IF(J12&gt;=Parametros!$B$6,IF(H12&lt;Parametros!$B$7,ROUND(Parametros!$B$5*H12,0),Parametros!$B$8),IF(H12&lt;Parametros!$B$9,ROUND(Parametros!$B$5*H12,0),Parametros!$B$10))</f>
        <v/>
      </c>
      <c r="L12" s="5">
        <f>ROUND(Parametros!$B$5*I12,0)</f>
        <v/>
      </c>
      <c r="M12" s="7">
        <f>K12+L12</f>
        <v/>
      </c>
      <c r="N12" s="5">
        <f>B12+C12*12/Parametros!$B$12</f>
        <v/>
      </c>
      <c r="O12" s="5">
        <f>E12+F12*12/Parametros!$B$12</f>
        <v/>
      </c>
      <c r="P12" s="5">
        <f>IF(N12/(N12+O12)&gt;=Parametros!$B$6,IF(N12&lt;Parametros!$B$7,ROUND(Parametros!$B$5*N12,0),Parametros!$B$8),IF(N12&lt;Parametros!$B$9,ROUND(Parametros!$B$5*N12,0),Parametros!$B$10))</f>
        <v/>
      </c>
      <c r="Q12" s="5">
        <f>ROUND(Parametros!$B$5*O12,0)</f>
        <v/>
      </c>
      <c r="R12" s="7">
        <f>P12+Q12</f>
        <v/>
      </c>
      <c r="S12" s="8" t="n">
        <v>546</v>
      </c>
      <c r="T12" s="5">
        <f>S12-M12</f>
        <v/>
      </c>
      <c r="U12" s="6">
        <f>T12/M12</f>
        <v/>
      </c>
      <c r="V12" s="5">
        <f>S12-R12</f>
        <v/>
      </c>
      <c r="W12" s="6">
        <f>V12/R12</f>
        <v/>
      </c>
      <c r="X12" s="5">
        <f>(S12-Parametros!$B$8)/Parametros!$B$5</f>
        <v/>
      </c>
      <c r="Y12" s="5">
        <f>X12-E12</f>
        <v/>
      </c>
      <c r="Z12" s="9">
        <f>IF(F12=0,0,Y12/F12)</f>
        <v/>
      </c>
    </row>
    <row r="13">
      <c r="A13" s="4" t="inlineStr">
        <is>
          <t>9º JUZGADO CIVIL</t>
        </is>
      </c>
      <c r="B13" s="5">
        <f>SUMIFS('Ingresos SIJ'!$D$4:$D$53,'Ingresos SIJ'!$A$4:$A$53,$A13,'Ingresos SIJ'!$C$4:$C$53,"Civil-Civil")</f>
        <v/>
      </c>
      <c r="C13" s="5">
        <f>SUMIFS('Ingresos SIJ'!$E$4:$E$53,'Ingresos SIJ'!$A$4:$A$53,$A13,'Ingresos SIJ'!$C$4:$C$53,"Civil-Civil")+SUMIFS('Ingresos SIJ'!$F$4:$F$53,'Ingresos SIJ'!$A$4:$A$53,$A13,'Ingresos SIJ'!$C$4:$C$53,"Civil-Civil")+SUMIFS('Ingresos SIJ'!$G$4:$G$53,'Ingresos SIJ'!$A$4:$A$53,$A13,'Ingresos SIJ'!$C$4:$C$53,"Civil-Civil")+SUMIFS('Ingresos SIJ'!$H$4:$H$53,'Ingresos SIJ'!$A$4:$A$53,$A13,'Ingresos SIJ'!$C$4:$C$53,"Civil-Civil")+SUMIFS('Ingresos SIJ'!$I$4:$I$53,'Ingresos SIJ'!$A$4:$A$53,$A13,'Ingresos SIJ'!$C$4:$C$53,"Civil-Civil")+SUMIFS('Ingresos SIJ'!$J$4:$J$53,'Ingresos SIJ'!$A$4:$A$53,$A13,'Ingresos SIJ'!$C$4:$C$53,"Civil-Civil")+SUMIFS('Ingresos SIJ'!$K$4:$K$53,'Ingresos SIJ'!$A$4:$A$53,$A13,'Ingresos SIJ'!$C$4:$C$53,"Civil-Civil")+SUMIFS('Ingresos SIJ'!$L$4:$L$53,'Ingresos SIJ'!$A$4:$A$53,$A13,'Ingresos SIJ'!$C$4:$C$53,"Civil-Civil")</f>
        <v/>
      </c>
      <c r="D13" s="5">
        <f>SUMIFS('Ingresos SIJ'!$F$4:$F$53,'Ingresos SIJ'!$A$4:$A$53,$A13,'Ingresos SIJ'!$C$4:$C$53,"Civil-Civil")</f>
        <v/>
      </c>
      <c r="E13" s="5">
        <f>SUMIFS('Ingresos SIJ'!$D$4:$D$53,'Ingresos SIJ'!$A$4:$A$53,$A13,'Ingresos SIJ'!$C$4:$C$53,"Resto")</f>
        <v/>
      </c>
      <c r="F13" s="5">
        <f>SUMIFS('Ingresos SIJ'!$E$4:$E$53,'Ingresos SIJ'!$A$4:$A$53,$A13,'Ingresos SIJ'!$C$4:$C$53,"Resto")+SUMIFS('Ingresos SIJ'!$F$4:$F$53,'Ingresos SIJ'!$A$4:$A$53,$A13,'Ingresos SIJ'!$C$4:$C$53,"Resto")+SUMIFS('Ingresos SIJ'!$G$4:$G$53,'Ingresos SIJ'!$A$4:$A$53,$A13,'Ingresos SIJ'!$C$4:$C$53,"Resto")+SUMIFS('Ingresos SIJ'!$H$4:$H$53,'Ingresos SIJ'!$A$4:$A$53,$A13,'Ingresos SIJ'!$C$4:$C$53,"Resto")+SUMIFS('Ingresos SIJ'!$I$4:$I$53,'Ingresos SIJ'!$A$4:$A$53,$A13,'Ingresos SIJ'!$C$4:$C$53,"Resto")+SUMIFS('Ingresos SIJ'!$J$4:$J$53,'Ingresos SIJ'!$A$4:$A$53,$A13,'Ingresos SIJ'!$C$4:$C$53,"Resto")+SUMIFS('Ingresos SIJ'!$K$4:$K$53,'Ingresos SIJ'!$A$4:$A$53,$A13,'Ingresos SIJ'!$C$4:$C$53,"Resto")+SUMIFS('Ingresos SIJ'!$L$4:$L$53,'Ingresos SIJ'!$A$4:$A$53,$A13,'Ingresos SIJ'!$C$4:$C$53,"Resto")</f>
        <v/>
      </c>
      <c r="G13" s="5">
        <f>SUMIFS('Ingresos SIJ'!$F$4:$F$53,'Ingresos SIJ'!$A$4:$A$53,$A13,'Ingresos SIJ'!$C$4:$C$53,"Resto")</f>
        <v/>
      </c>
      <c r="H13" s="5">
        <f>B13+C13*12/Parametros!$B$11</f>
        <v/>
      </c>
      <c r="I13" s="5">
        <f>E13+F13*12/Parametros!$B$11</f>
        <v/>
      </c>
      <c r="J13" s="6">
        <f>H13/(H13+I13)</f>
        <v/>
      </c>
      <c r="K13" s="5">
        <f>IF(J13&gt;=Parametros!$B$6,IF(H13&lt;Parametros!$B$7,ROUND(Parametros!$B$5*H13,0),Parametros!$B$8),IF(H13&lt;Parametros!$B$9,ROUND(Parametros!$B$5*H13,0),Parametros!$B$10))</f>
        <v/>
      </c>
      <c r="L13" s="5">
        <f>ROUND(Parametros!$B$5*I13,0)</f>
        <v/>
      </c>
      <c r="M13" s="7">
        <f>K13+L13</f>
        <v/>
      </c>
      <c r="N13" s="5">
        <f>B13+C13*12/Parametros!$B$12</f>
        <v/>
      </c>
      <c r="O13" s="5">
        <f>E13+F13*12/Parametros!$B$12</f>
        <v/>
      </c>
      <c r="P13" s="5">
        <f>IF(N13/(N13+O13)&gt;=Parametros!$B$6,IF(N13&lt;Parametros!$B$7,ROUND(Parametros!$B$5*N13,0),Parametros!$B$8),IF(N13&lt;Parametros!$B$9,ROUND(Parametros!$B$5*N13,0),Parametros!$B$10))</f>
        <v/>
      </c>
      <c r="Q13" s="5">
        <f>ROUND(Parametros!$B$5*O13,0)</f>
        <v/>
      </c>
      <c r="R13" s="7">
        <f>P13+Q13</f>
        <v/>
      </c>
      <c r="S13" s="8" t="n">
        <v>510</v>
      </c>
      <c r="T13" s="5">
        <f>S13-M13</f>
        <v/>
      </c>
      <c r="U13" s="6">
        <f>T13/M13</f>
        <v/>
      </c>
      <c r="V13" s="5">
        <f>S13-R13</f>
        <v/>
      </c>
      <c r="W13" s="6">
        <f>V13/R13</f>
        <v/>
      </c>
      <c r="X13" s="5">
        <f>(S13-Parametros!$B$8)/Parametros!$B$5</f>
        <v/>
      </c>
      <c r="Y13" s="5">
        <f>X13-E13</f>
        <v/>
      </c>
      <c r="Z13" s="9">
        <f>IF(F13=0,0,Y13/F13)</f>
        <v/>
      </c>
    </row>
    <row r="14">
      <c r="A14" s="4" t="inlineStr">
        <is>
          <t>10º JUZGADO CIVIL</t>
        </is>
      </c>
      <c r="B14" s="5">
        <f>SUMIFS('Ingresos SIJ'!$D$4:$D$53,'Ingresos SIJ'!$A$4:$A$53,$A14,'Ingresos SIJ'!$C$4:$C$53,"Civil-Civil")</f>
        <v/>
      </c>
      <c r="C14" s="5">
        <f>SUMIFS('Ingresos SIJ'!$E$4:$E$53,'Ingresos SIJ'!$A$4:$A$53,$A14,'Ingresos SIJ'!$C$4:$C$53,"Civil-Civil")+SUMIFS('Ingresos SIJ'!$F$4:$F$53,'Ingresos SIJ'!$A$4:$A$53,$A14,'Ingresos SIJ'!$C$4:$C$53,"Civil-Civil")+SUMIFS('Ingresos SIJ'!$G$4:$G$53,'Ingresos SIJ'!$A$4:$A$53,$A14,'Ingresos SIJ'!$C$4:$C$53,"Civil-Civil")+SUMIFS('Ingresos SIJ'!$H$4:$H$53,'Ingresos SIJ'!$A$4:$A$53,$A14,'Ingresos SIJ'!$C$4:$C$53,"Civil-Civil")+SUMIFS('Ingresos SIJ'!$I$4:$I$53,'Ingresos SIJ'!$A$4:$A$53,$A14,'Ingresos SIJ'!$C$4:$C$53,"Civil-Civil")+SUMIFS('Ingresos SIJ'!$J$4:$J$53,'Ingresos SIJ'!$A$4:$A$53,$A14,'Ingresos SIJ'!$C$4:$C$53,"Civil-Civil")+SUMIFS('Ingresos SIJ'!$K$4:$K$53,'Ingresos SIJ'!$A$4:$A$53,$A14,'Ingresos SIJ'!$C$4:$C$53,"Civil-Civil")+SUMIFS('Ingresos SIJ'!$L$4:$L$53,'Ingresos SIJ'!$A$4:$A$53,$A14,'Ingresos SIJ'!$C$4:$C$53,"Civil-Civil")</f>
        <v/>
      </c>
      <c r="D14" s="5">
        <f>SUMIFS('Ingresos SIJ'!$F$4:$F$53,'Ingresos SIJ'!$A$4:$A$53,$A14,'Ingresos SIJ'!$C$4:$C$53,"Civil-Civil")</f>
        <v/>
      </c>
      <c r="E14" s="5">
        <f>SUMIFS('Ingresos SIJ'!$D$4:$D$53,'Ingresos SIJ'!$A$4:$A$53,$A14,'Ingresos SIJ'!$C$4:$C$53,"Resto")</f>
        <v/>
      </c>
      <c r="F14" s="5">
        <f>SUMIFS('Ingresos SIJ'!$E$4:$E$53,'Ingresos SIJ'!$A$4:$A$53,$A14,'Ingresos SIJ'!$C$4:$C$53,"Resto")+SUMIFS('Ingresos SIJ'!$F$4:$F$53,'Ingresos SIJ'!$A$4:$A$53,$A14,'Ingresos SIJ'!$C$4:$C$53,"Resto")+SUMIFS('Ingresos SIJ'!$G$4:$G$53,'Ingresos SIJ'!$A$4:$A$53,$A14,'Ingresos SIJ'!$C$4:$C$53,"Resto")+SUMIFS('Ingresos SIJ'!$H$4:$H$53,'Ingresos SIJ'!$A$4:$A$53,$A14,'Ingresos SIJ'!$C$4:$C$53,"Resto")+SUMIFS('Ingresos SIJ'!$I$4:$I$53,'Ingresos SIJ'!$A$4:$A$53,$A14,'Ingresos SIJ'!$C$4:$C$53,"Resto")+SUMIFS('Ingresos SIJ'!$J$4:$J$53,'Ingresos SIJ'!$A$4:$A$53,$A14,'Ingresos SIJ'!$C$4:$C$53,"Resto")+SUMIFS('Ingresos SIJ'!$K$4:$K$53,'Ingresos SIJ'!$A$4:$A$53,$A14,'Ingresos SIJ'!$C$4:$C$53,"Resto")+SUMIFS('Ingresos SIJ'!$L$4:$L$53,'Ingresos SIJ'!$A$4:$A$53,$A14,'Ingresos SIJ'!$C$4:$C$53,"Resto")</f>
        <v/>
      </c>
      <c r="G14" s="5">
        <f>SUMIFS('Ingresos SIJ'!$F$4:$F$53,'Ingresos SIJ'!$A$4:$A$53,$A14,'Ingresos SIJ'!$C$4:$C$53,"Resto")</f>
        <v/>
      </c>
      <c r="H14" s="5">
        <f>B14+C14*12/Parametros!$B$11</f>
        <v/>
      </c>
      <c r="I14" s="5">
        <f>E14+F14*12/Parametros!$B$11</f>
        <v/>
      </c>
      <c r="J14" s="6">
        <f>H14/(H14+I14)</f>
        <v/>
      </c>
      <c r="K14" s="5">
        <f>IF(J14&gt;=Parametros!$B$6,IF(H14&lt;Parametros!$B$7,ROUND(Parametros!$B$5*H14,0),Parametros!$B$8),IF(H14&lt;Parametros!$B$9,ROUND(Parametros!$B$5*H14,0),Parametros!$B$10))</f>
        <v/>
      </c>
      <c r="L14" s="5">
        <f>ROUND(Parametros!$B$5*I14,0)</f>
        <v/>
      </c>
      <c r="M14" s="7">
        <f>K14+L14</f>
        <v/>
      </c>
      <c r="N14" s="5">
        <f>B14+C14*12/Parametros!$B$12</f>
        <v/>
      </c>
      <c r="O14" s="5">
        <f>E14+F14*12/Parametros!$B$12</f>
        <v/>
      </c>
      <c r="P14" s="5">
        <f>IF(N14/(N14+O14)&gt;=Parametros!$B$6,IF(N14&lt;Parametros!$B$7,ROUND(Parametros!$B$5*N14,0),Parametros!$B$8),IF(N14&lt;Parametros!$B$9,ROUND(Parametros!$B$5*N14,0),Parametros!$B$10))</f>
        <v/>
      </c>
      <c r="Q14" s="5">
        <f>ROUND(Parametros!$B$5*O14,0)</f>
        <v/>
      </c>
      <c r="R14" s="7">
        <f>P14+Q14</f>
        <v/>
      </c>
      <c r="S14" s="8" t="n">
        <v>538</v>
      </c>
      <c r="T14" s="5">
        <f>S14-M14</f>
        <v/>
      </c>
      <c r="U14" s="6">
        <f>T14/M14</f>
        <v/>
      </c>
      <c r="V14" s="5">
        <f>S14-R14</f>
        <v/>
      </c>
      <c r="W14" s="6">
        <f>V14/R14</f>
        <v/>
      </c>
      <c r="X14" s="5">
        <f>(S14-Parametros!$B$8)/Parametros!$B$5</f>
        <v/>
      </c>
      <c r="Y14" s="5">
        <f>X14-E14</f>
        <v/>
      </c>
      <c r="Z14" s="9">
        <f>IF(F14=0,0,Y14/F14)</f>
        <v/>
      </c>
    </row>
    <row r="15">
      <c r="A15" s="4" t="inlineStr">
        <is>
          <t>2° JUZGADO CIVIL TRANSITORIO</t>
        </is>
      </c>
      <c r="B15" s="5">
        <f>SUMIFS('Ingresos SIJ'!$D$4:$D$53,'Ingresos SIJ'!$A$4:$A$53,$A15,'Ingresos SIJ'!$C$4:$C$53,"Civil-Civil")</f>
        <v/>
      </c>
      <c r="C15" s="5">
        <f>SUMIFS('Ingresos SIJ'!$E$4:$E$53,'Ingresos SIJ'!$A$4:$A$53,$A15,'Ingresos SIJ'!$C$4:$C$53,"Civil-Civil")+SUMIFS('Ingresos SIJ'!$F$4:$F$53,'Ingresos SIJ'!$A$4:$A$53,$A15,'Ingresos SIJ'!$C$4:$C$53,"Civil-Civil")+SUMIFS('Ingresos SIJ'!$G$4:$G$53,'Ingresos SIJ'!$A$4:$A$53,$A15,'Ingresos SIJ'!$C$4:$C$53,"Civil-Civil")+SUMIFS('Ingresos SIJ'!$H$4:$H$53,'Ingresos SIJ'!$A$4:$A$53,$A15,'Ingresos SIJ'!$C$4:$C$53,"Civil-Civil")+SUMIFS('Ingresos SIJ'!$I$4:$I$53,'Ingresos SIJ'!$A$4:$A$53,$A15,'Ingresos SIJ'!$C$4:$C$53,"Civil-Civil")+SUMIFS('Ingresos SIJ'!$J$4:$J$53,'Ingresos SIJ'!$A$4:$A$53,$A15,'Ingresos SIJ'!$C$4:$C$53,"Civil-Civil")+SUMIFS('Ingresos SIJ'!$K$4:$K$53,'Ingresos SIJ'!$A$4:$A$53,$A15,'Ingresos SIJ'!$C$4:$C$53,"Civil-Civil")+SUMIFS('Ingresos SIJ'!$L$4:$L$53,'Ingresos SIJ'!$A$4:$A$53,$A15,'Ingresos SIJ'!$C$4:$C$53,"Civil-Civil")</f>
        <v/>
      </c>
      <c r="D15" s="5">
        <f>SUMIFS('Ingresos SIJ'!$F$4:$F$53,'Ingresos SIJ'!$A$4:$A$53,$A15,'Ingresos SIJ'!$C$4:$C$53,"Civil-Civil")</f>
        <v/>
      </c>
      <c r="E15" s="5">
        <f>SUMIFS('Ingresos SIJ'!$D$4:$D$53,'Ingresos SIJ'!$A$4:$A$53,$A15,'Ingresos SIJ'!$C$4:$C$53,"Resto")</f>
        <v/>
      </c>
      <c r="F15" s="5">
        <f>SUMIFS('Ingresos SIJ'!$E$4:$E$53,'Ingresos SIJ'!$A$4:$A$53,$A15,'Ingresos SIJ'!$C$4:$C$53,"Resto")+SUMIFS('Ingresos SIJ'!$F$4:$F$53,'Ingresos SIJ'!$A$4:$A$53,$A15,'Ingresos SIJ'!$C$4:$C$53,"Resto")+SUMIFS('Ingresos SIJ'!$G$4:$G$53,'Ingresos SIJ'!$A$4:$A$53,$A15,'Ingresos SIJ'!$C$4:$C$53,"Resto")+SUMIFS('Ingresos SIJ'!$H$4:$H$53,'Ingresos SIJ'!$A$4:$A$53,$A15,'Ingresos SIJ'!$C$4:$C$53,"Resto")+SUMIFS('Ingresos SIJ'!$I$4:$I$53,'Ingresos SIJ'!$A$4:$A$53,$A15,'Ingresos SIJ'!$C$4:$C$53,"Resto")+SUMIFS('Ingresos SIJ'!$J$4:$J$53,'Ingresos SIJ'!$A$4:$A$53,$A15,'Ingresos SIJ'!$C$4:$C$53,"Resto")+SUMIFS('Ingresos SIJ'!$K$4:$K$53,'Ingresos SIJ'!$A$4:$A$53,$A15,'Ingresos SIJ'!$C$4:$C$53,"Resto")+SUMIFS('Ingresos SIJ'!$L$4:$L$53,'Ingresos SIJ'!$A$4:$A$53,$A15,'Ingresos SIJ'!$C$4:$C$53,"Resto")</f>
        <v/>
      </c>
      <c r="G15" s="5">
        <f>SUMIFS('Ingresos SIJ'!$F$4:$F$53,'Ingresos SIJ'!$A$4:$A$53,$A15,'Ingresos SIJ'!$C$4:$C$53,"Resto")</f>
        <v/>
      </c>
      <c r="H15" s="5">
        <f>B15+C15*12/Parametros!$B$11</f>
        <v/>
      </c>
      <c r="I15" s="5">
        <f>E15+F15*12/Parametros!$B$11</f>
        <v/>
      </c>
      <c r="J15" s="6">
        <f>H15/(H15+I15)</f>
        <v/>
      </c>
      <c r="K15" s="5">
        <f>IF(J15&gt;=Parametros!$B$6,IF(H15&lt;Parametros!$B$7,ROUND(Parametros!$B$5*H15,0),Parametros!$B$8),IF(H15&lt;Parametros!$B$9,ROUND(Parametros!$B$5*H15,0),Parametros!$B$10))</f>
        <v/>
      </c>
      <c r="L15" s="5">
        <f>ROUND(Parametros!$B$5*I15,0)</f>
        <v/>
      </c>
      <c r="M15" s="7">
        <f>K15+L15</f>
        <v/>
      </c>
      <c r="N15" s="5">
        <f>B15+C15*12/Parametros!$B$12</f>
        <v/>
      </c>
      <c r="O15" s="5">
        <f>E15+F15*12/Parametros!$B$12</f>
        <v/>
      </c>
      <c r="P15" s="5">
        <f>IF(N15/(N15+O15)&gt;=Parametros!$B$6,IF(N15&lt;Parametros!$B$7,ROUND(Parametros!$B$5*N15,0),Parametros!$B$8),IF(N15&lt;Parametros!$B$9,ROUND(Parametros!$B$5*N15,0),Parametros!$B$10))</f>
        <v/>
      </c>
      <c r="Q15" s="5">
        <f>ROUND(Parametros!$B$5*O15,0)</f>
        <v/>
      </c>
      <c r="R15" s="7">
        <f>P15+Q15</f>
        <v/>
      </c>
      <c r="S15" s="10" t="n">
        <v>654</v>
      </c>
      <c r="T15" s="5">
        <f>S15-M15</f>
        <v/>
      </c>
      <c r="U15" s="6">
        <f>T15/M15</f>
        <v/>
      </c>
      <c r="V15" s="5">
        <f>S15-R15</f>
        <v/>
      </c>
      <c r="W15" s="6">
        <f>V15/R15</f>
        <v/>
      </c>
      <c r="X15" s="5">
        <f>(S15-Parametros!$B$8)/Parametros!$B$5</f>
        <v/>
      </c>
      <c r="Y15" s="5">
        <f>X15-E15</f>
        <v/>
      </c>
      <c r="Z15" s="9">
        <f>IF(F15=0,0,Y15/F15)</f>
        <v/>
      </c>
    </row>
    <row r="16">
      <c r="A16" s="11" t="inlineStr">
        <is>
          <t>TOTAL (11 juzgados)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3">
        <f>SUM(M5:M15)</f>
        <v/>
      </c>
      <c r="N16" s="12" t="n"/>
      <c r="O16" s="12" t="n"/>
      <c r="P16" s="12" t="n"/>
      <c r="Q16" s="12" t="n"/>
      <c r="R16" s="13">
        <f>SUM(R5:R15)</f>
        <v/>
      </c>
      <c r="S16" s="13">
        <f>SUM(S5:S15)</f>
        <v/>
      </c>
      <c r="T16" s="13">
        <f>SUM(T5:T15)</f>
        <v/>
      </c>
      <c r="U16" s="14">
        <f>T16/M16</f>
        <v/>
      </c>
      <c r="V16" s="13">
        <f>SUM(V5:V15)</f>
        <v/>
      </c>
      <c r="W16" s="14">
        <f>V16/R16</f>
        <v/>
      </c>
      <c r="X16" s="12" t="n"/>
      <c r="Y16" s="12" t="n"/>
      <c r="Z16" s="12" t="n"/>
    </row>
    <row r="17">
      <c r="A17" s="11" t="inlineStr">
        <is>
          <t>TOTAL sin 2° Transitorio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3">
        <f>SUM(M5:M14)</f>
        <v/>
      </c>
      <c r="N17" s="12" t="n"/>
      <c r="O17" s="12" t="n"/>
      <c r="P17" s="12" t="n"/>
      <c r="Q17" s="12" t="n"/>
      <c r="R17" s="13">
        <f>SUM(R5:R14)</f>
        <v/>
      </c>
      <c r="S17" s="13">
        <f>SUM(S5:S14)</f>
        <v/>
      </c>
      <c r="T17" s="13">
        <f>SUM(T5:T14)</f>
        <v/>
      </c>
      <c r="U17" s="14">
        <f>T17/M17</f>
        <v/>
      </c>
      <c r="V17" s="13">
        <f>SUM(V5:V14)</f>
        <v/>
      </c>
      <c r="W17" s="14">
        <f>V17/R17</f>
        <v/>
      </c>
      <c r="X17" s="12" t="n"/>
      <c r="Y17" s="12" t="n"/>
      <c r="Z17" s="12" t="n"/>
    </row>
    <row r="19" ht="15" customHeight="1">
      <c r="A19" s="15" t="inlineStr">
        <is>
          <t>LECTURA</t>
        </is>
      </c>
    </row>
    <row r="20" ht="30" customHeight="1">
      <c r="A20" s="16" t="inlineStr">
        <is>
          <t>• Con los datos SIJ de 2026 y el Anexo 3 de la R.A. 090-2025, ninguna proyección reproduce la "Meta estimada SIE": las diferencias no son constantes (cambian de signo y de tamaño entre juzgados). El SIE usa otros insumos para la meta.</t>
        </is>
      </c>
    </row>
    <row r="21" ht="30" customHeight="1">
      <c r="A21" s="16" t="inlineStr">
        <is>
          <t>• En todos los juzgados permanentes la carga Civil-Civil supera 455 → A = 350. Toda la diferencia está en B: la carga "Resto" que habría usado el SIE (columna X) no corresponde a pendientes + ingresos 2026 proyectados (el factor implícito, columna Z, varía de ~1.4 a ~1.9 en vez de un valor fijo).</t>
        </is>
      </c>
    </row>
    <row r="22" ht="30" customHeight="1">
      <c r="A22" s="16" t="inlineStr">
        <is>
          <t>• Hipótesis más probable: la meta SIE es la META PRELIMINAR fijada a inicio de año con la carga proyectada de 2025 (o con la estructura de subespecialidades de ese año), y se mantiene fija; la de este Excel se recalcula con la carga 2026.</t>
        </is>
      </c>
    </row>
    <row r="23" ht="30" customHeight="1">
      <c r="A23" s="16" t="inlineStr">
        <is>
          <t>• 2° Juzgado Civil Transitorio: meta SIE 654 vs ~404 por Anexo 3. Su carga es casi solo Civil-Civil (A=350) y el resto es mínimo; 654 no sale de la regla. Probablemente su meta fue fijada en la resolución administrativa que lo crea o prorroga (verificar).</t>
        </is>
      </c>
    </row>
    <row r="24" ht="30" customHeight="1">
      <c r="A24" s="16" t="inlineStr">
        <is>
          <t>• 11° Civil y 1° Civil Transitorio no tienen meta SIE en la imagen; no se comparan.</t>
        </is>
      </c>
    </row>
  </sheetData>
  <mergeCells count="6">
    <mergeCell ref="A23:Z23"/>
    <mergeCell ref="A21:Z21"/>
    <mergeCell ref="A22:Z22"/>
    <mergeCell ref="A20:Z20"/>
    <mergeCell ref="A24:Z24"/>
    <mergeCell ref="A19:Z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RÉPLICA DE LOS INDICADORES DE LA IMAGEN (ENE–AGO 2026)</t>
        </is>
      </c>
    </row>
    <row r="2">
      <c r="A2" s="2" t="inlineStr">
        <is>
          <t>Verifica cómo se calculan nivel de carga, % de avance y nivel productivo del reporte.</t>
        </is>
      </c>
    </row>
    <row r="4" ht="60" customHeight="1">
      <c r="A4" s="3" t="inlineStr">
        <is>
          <t>Juzgado</t>
        </is>
      </c>
      <c r="B4" s="3" t="inlineStr">
        <is>
          <t>Pendientes (SIJ)</t>
        </is>
      </c>
      <c r="C4" s="3" t="inlineStr">
        <is>
          <t>Ingresos ene–ago (SIJ)</t>
        </is>
      </c>
      <c r="D4" s="3" t="inlineStr">
        <is>
          <t>Carga en trámite (P+I)</t>
        </is>
      </c>
      <c r="E4" s="3" t="inlineStr">
        <is>
          <t>Carga mínima</t>
        </is>
      </c>
      <c r="F4" s="3" t="inlineStr">
        <is>
          <t>Carga máxima</t>
        </is>
      </c>
      <c r="G4" s="3" t="inlineStr">
        <is>
          <t>Nivel de carga (réplica)</t>
        </is>
      </c>
      <c r="H4" s="3" t="inlineStr">
        <is>
          <t>Nivel de carga (imagen)</t>
        </is>
      </c>
      <c r="I4" s="3" t="inlineStr">
        <is>
          <t>¿Coincide?</t>
        </is>
      </c>
      <c r="J4" s="3" t="inlineStr">
        <is>
          <t>Producción ene–ago (SIJ)</t>
        </is>
      </c>
      <c r="K4" s="3" t="inlineStr">
        <is>
          <t>Meta SIE</t>
        </is>
      </c>
      <c r="L4" s="3" t="inlineStr">
        <is>
          <t>% avance (réplica)</t>
        </is>
      </c>
      <c r="M4" s="3" t="inlineStr">
        <is>
          <t>% avance (imagen)</t>
        </is>
      </c>
      <c r="N4" s="3" t="inlineStr">
        <is>
          <t>¿Coincide?</t>
        </is>
      </c>
      <c r="O4" s="3" t="inlineStr">
        <is>
          <t>Avance ideal (7/11)</t>
        </is>
      </c>
      <c r="P4" s="3" t="inlineStr">
        <is>
          <t>Avance / ideal</t>
        </is>
      </c>
      <c r="Q4" s="3" t="inlineStr">
        <is>
          <t>Nivel productivo (imagen)</t>
        </is>
      </c>
    </row>
    <row r="5">
      <c r="A5" s="4" t="inlineStr">
        <is>
          <t>1º JUZGADO CIVIL</t>
        </is>
      </c>
      <c r="B5" s="5">
        <f>SUMIFS('Ingresos SIJ'!$D$4:$D$53,'Ingresos SIJ'!$A$4:$A$53,$A5)</f>
        <v/>
      </c>
      <c r="C5" s="5">
        <f>SUMIFS('Ingresos SIJ'!$E$4:$E$53,'Ingresos SIJ'!$A$4:$A$53,$A5)+SUMIFS('Ingresos SIJ'!$F$4:$F$53,'Ingresos SIJ'!$A$4:$A$53,$A5)+SUMIFS('Ingresos SIJ'!$G$4:$G$53,'Ingresos SIJ'!$A$4:$A$53,$A5)+SUMIFS('Ingresos SIJ'!$H$4:$H$53,'Ingresos SIJ'!$A$4:$A$53,$A5)+SUMIFS('Ingresos SIJ'!$I$4:$I$53,'Ingresos SIJ'!$A$4:$A$53,$A5)+SUMIFS('Ingresos SIJ'!$J$4:$J$53,'Ingresos SIJ'!$A$4:$A$53,$A5)+SUMIFS('Ingresos SIJ'!$K$4:$K$53,'Ingresos SIJ'!$A$4:$A$53,$A5)+SUMIFS('Ingresos SIJ'!$L$4:$L$53,'Ingresos SIJ'!$A$4:$A$53,$A5)</f>
        <v/>
      </c>
      <c r="D5" s="5">
        <f>B5+C5</f>
        <v/>
      </c>
      <c r="E5" s="5">
        <f>Parametros!$B$14</f>
        <v/>
      </c>
      <c r="F5" s="5">
        <f>Parametros!$B$15</f>
        <v/>
      </c>
      <c r="G5" s="17">
        <f>IF(D5&lt;E5,"SUBCARGA",IF(D5&gt;F5,"SOBRECARGA","ESTANDAR"))</f>
        <v/>
      </c>
      <c r="H5" s="18" t="inlineStr">
        <is>
          <t>ESTANDAR</t>
        </is>
      </c>
      <c r="I5" s="17">
        <f>IF(G5=H5,"Sí","No")</f>
        <v/>
      </c>
      <c r="J5" s="5">
        <f>SUMIFS('Resueltos SIJ'!$C$4:$C$42,'Resueltos SIJ'!$A$4:$A$42,$A5)+SUMIFS('Resueltos SIJ'!$D$4:$D$42,'Resueltos SIJ'!$A$4:$A$42,$A5)+SUMIFS('Resueltos SIJ'!$E$4:$E$42,'Resueltos SIJ'!$A$4:$A$42,$A5)+SUMIFS('Resueltos SIJ'!$F$4:$F$42,'Resueltos SIJ'!$A$4:$A$42,$A5)+SUMIFS('Resueltos SIJ'!$G$4:$G$42,'Resueltos SIJ'!$A$4:$A$42,$A5)+SUMIFS('Resueltos SIJ'!$H$4:$H$42,'Resueltos SIJ'!$A$4:$A$42,$A5)+SUMIFS('Resueltos SIJ'!$I$4:$I$42,'Resueltos SIJ'!$A$4:$A$42,$A5)+SUMIFS('Resueltos SIJ'!$J$4:$J$42,'Resueltos SIJ'!$A$4:$A$42,$A5)</f>
        <v/>
      </c>
      <c r="K5" s="5">
        <f>INDEX('Comparacion Meta'!$S$5:$S$15,MATCH($A5,'Comparacion Meta'!$A$5:$A$15,0))</f>
        <v/>
      </c>
      <c r="L5" s="6">
        <f>J5/K5</f>
        <v/>
      </c>
      <c r="M5" s="19" t="n">
        <v>0.788</v>
      </c>
      <c r="N5" s="17">
        <f>IF(ROUND(L5,3)=ROUND(M5,3),"Sí","No")</f>
        <v/>
      </c>
      <c r="O5" s="6">
        <f>Parametros!$B$16</f>
        <v/>
      </c>
      <c r="P5" s="6">
        <f>L5/O5</f>
        <v/>
      </c>
      <c r="Q5" s="18" t="inlineStr">
        <is>
          <t>MUY BUENO</t>
        </is>
      </c>
    </row>
    <row r="6">
      <c r="A6" s="4" t="inlineStr">
        <is>
          <t>2º JUZGADO CIVIL</t>
        </is>
      </c>
      <c r="B6" s="5">
        <f>SUMIFS('Ingresos SIJ'!$D$4:$D$53,'Ingresos SIJ'!$A$4:$A$53,$A6)</f>
        <v/>
      </c>
      <c r="C6" s="5">
        <f>SUMIFS('Ingresos SIJ'!$E$4:$E$53,'Ingresos SIJ'!$A$4:$A$53,$A6)+SUMIFS('Ingresos SIJ'!$F$4:$F$53,'Ingresos SIJ'!$A$4:$A$53,$A6)+SUMIFS('Ingresos SIJ'!$G$4:$G$53,'Ingresos SIJ'!$A$4:$A$53,$A6)+SUMIFS('Ingresos SIJ'!$H$4:$H$53,'Ingresos SIJ'!$A$4:$A$53,$A6)+SUMIFS('Ingresos SIJ'!$I$4:$I$53,'Ingresos SIJ'!$A$4:$A$53,$A6)+SUMIFS('Ingresos SIJ'!$J$4:$J$53,'Ingresos SIJ'!$A$4:$A$53,$A6)+SUMIFS('Ingresos SIJ'!$K$4:$K$53,'Ingresos SIJ'!$A$4:$A$53,$A6)+SUMIFS('Ingresos SIJ'!$L$4:$L$53,'Ingresos SIJ'!$A$4:$A$53,$A6)</f>
        <v/>
      </c>
      <c r="D6" s="5">
        <f>B6+C6</f>
        <v/>
      </c>
      <c r="E6" s="5">
        <f>Parametros!$B$14</f>
        <v/>
      </c>
      <c r="F6" s="5">
        <f>Parametros!$B$15</f>
        <v/>
      </c>
      <c r="G6" s="17">
        <f>IF(D6&lt;E6,"SUBCARGA",IF(D6&gt;F6,"SOBRECARGA","ESTANDAR"))</f>
        <v/>
      </c>
      <c r="H6" s="18" t="inlineStr">
        <is>
          <t>ESTANDAR</t>
        </is>
      </c>
      <c r="I6" s="17">
        <f>IF(G6=H6,"Sí","No")</f>
        <v/>
      </c>
      <c r="J6" s="5">
        <f>SUMIFS('Resueltos SIJ'!$C$4:$C$42,'Resueltos SIJ'!$A$4:$A$42,$A6)+SUMIFS('Resueltos SIJ'!$D$4:$D$42,'Resueltos SIJ'!$A$4:$A$42,$A6)+SUMIFS('Resueltos SIJ'!$E$4:$E$42,'Resueltos SIJ'!$A$4:$A$42,$A6)+SUMIFS('Resueltos SIJ'!$F$4:$F$42,'Resueltos SIJ'!$A$4:$A$42,$A6)+SUMIFS('Resueltos SIJ'!$G$4:$G$42,'Resueltos SIJ'!$A$4:$A$42,$A6)+SUMIFS('Resueltos SIJ'!$H$4:$H$42,'Resueltos SIJ'!$A$4:$A$42,$A6)+SUMIFS('Resueltos SIJ'!$I$4:$I$42,'Resueltos SIJ'!$A$4:$A$42,$A6)+SUMIFS('Resueltos SIJ'!$J$4:$J$42,'Resueltos SIJ'!$A$4:$A$42,$A6)</f>
        <v/>
      </c>
      <c r="K6" s="5">
        <f>INDEX('Comparacion Meta'!$S$5:$S$15,MATCH($A6,'Comparacion Meta'!$A$5:$A$15,0))</f>
        <v/>
      </c>
      <c r="L6" s="6">
        <f>J6/K6</f>
        <v/>
      </c>
      <c r="M6" s="19" t="n">
        <v>0.619</v>
      </c>
      <c r="N6" s="17">
        <f>IF(ROUND(L6,3)=ROUND(M6,3),"Sí","No")</f>
        <v/>
      </c>
      <c r="O6" s="6">
        <f>Parametros!$B$16</f>
        <v/>
      </c>
      <c r="P6" s="6">
        <f>L6/O6</f>
        <v/>
      </c>
      <c r="Q6" s="18" t="inlineStr">
        <is>
          <t>BUENO</t>
        </is>
      </c>
    </row>
    <row r="7">
      <c r="A7" s="4" t="inlineStr">
        <is>
          <t>3º JUZGADO CIVIL</t>
        </is>
      </c>
      <c r="B7" s="5">
        <f>SUMIFS('Ingresos SIJ'!$D$4:$D$53,'Ingresos SIJ'!$A$4:$A$53,$A7)</f>
        <v/>
      </c>
      <c r="C7" s="5">
        <f>SUMIFS('Ingresos SIJ'!$E$4:$E$53,'Ingresos SIJ'!$A$4:$A$53,$A7)+SUMIFS('Ingresos SIJ'!$F$4:$F$53,'Ingresos SIJ'!$A$4:$A$53,$A7)+SUMIFS('Ingresos SIJ'!$G$4:$G$53,'Ingresos SIJ'!$A$4:$A$53,$A7)+SUMIFS('Ingresos SIJ'!$H$4:$H$53,'Ingresos SIJ'!$A$4:$A$53,$A7)+SUMIFS('Ingresos SIJ'!$I$4:$I$53,'Ingresos SIJ'!$A$4:$A$53,$A7)+SUMIFS('Ingresos SIJ'!$J$4:$J$53,'Ingresos SIJ'!$A$4:$A$53,$A7)+SUMIFS('Ingresos SIJ'!$K$4:$K$53,'Ingresos SIJ'!$A$4:$A$53,$A7)+SUMIFS('Ingresos SIJ'!$L$4:$L$53,'Ingresos SIJ'!$A$4:$A$53,$A7)</f>
        <v/>
      </c>
      <c r="D7" s="5">
        <f>B7+C7</f>
        <v/>
      </c>
      <c r="E7" s="5">
        <f>Parametros!$B$14</f>
        <v/>
      </c>
      <c r="F7" s="5">
        <f>Parametros!$B$15</f>
        <v/>
      </c>
      <c r="G7" s="17">
        <f>IF(D7&lt;E7,"SUBCARGA",IF(D7&gt;F7,"SOBRECARGA","ESTANDAR"))</f>
        <v/>
      </c>
      <c r="H7" s="18" t="inlineStr">
        <is>
          <t>ESTANDAR</t>
        </is>
      </c>
      <c r="I7" s="17">
        <f>IF(G7=H7,"Sí","No")</f>
        <v/>
      </c>
      <c r="J7" s="5">
        <f>SUMIFS('Resueltos SIJ'!$C$4:$C$42,'Resueltos SIJ'!$A$4:$A$42,$A7)+SUMIFS('Resueltos SIJ'!$D$4:$D$42,'Resueltos SIJ'!$A$4:$A$42,$A7)+SUMIFS('Resueltos SIJ'!$E$4:$E$42,'Resueltos SIJ'!$A$4:$A$42,$A7)+SUMIFS('Resueltos SIJ'!$F$4:$F$42,'Resueltos SIJ'!$A$4:$A$42,$A7)+SUMIFS('Resueltos SIJ'!$G$4:$G$42,'Resueltos SIJ'!$A$4:$A$42,$A7)+SUMIFS('Resueltos SIJ'!$H$4:$H$42,'Resueltos SIJ'!$A$4:$A$42,$A7)+SUMIFS('Resueltos SIJ'!$I$4:$I$42,'Resueltos SIJ'!$A$4:$A$42,$A7)+SUMIFS('Resueltos SIJ'!$J$4:$J$42,'Resueltos SIJ'!$A$4:$A$42,$A7)</f>
        <v/>
      </c>
      <c r="K7" s="5">
        <f>INDEX('Comparacion Meta'!$S$5:$S$15,MATCH($A7,'Comparacion Meta'!$A$5:$A$15,0))</f>
        <v/>
      </c>
      <c r="L7" s="6">
        <f>J7/K7</f>
        <v/>
      </c>
      <c r="M7" s="19" t="n">
        <v>0.886</v>
      </c>
      <c r="N7" s="17">
        <f>IF(ROUND(L7,3)=ROUND(M7,3),"Sí","No")</f>
        <v/>
      </c>
      <c r="O7" s="6">
        <f>Parametros!$B$16</f>
        <v/>
      </c>
      <c r="P7" s="6">
        <f>L7/O7</f>
        <v/>
      </c>
      <c r="Q7" s="18" t="inlineStr">
        <is>
          <t>MUY BUENO</t>
        </is>
      </c>
    </row>
    <row r="8">
      <c r="A8" s="4" t="inlineStr">
        <is>
          <t>4º JUZGADO CIVIL</t>
        </is>
      </c>
      <c r="B8" s="5">
        <f>SUMIFS('Ingresos SIJ'!$D$4:$D$53,'Ingresos SIJ'!$A$4:$A$53,$A8)</f>
        <v/>
      </c>
      <c r="C8" s="5">
        <f>SUMIFS('Ingresos SIJ'!$E$4:$E$53,'Ingresos SIJ'!$A$4:$A$53,$A8)+SUMIFS('Ingresos SIJ'!$F$4:$F$53,'Ingresos SIJ'!$A$4:$A$53,$A8)+SUMIFS('Ingresos SIJ'!$G$4:$G$53,'Ingresos SIJ'!$A$4:$A$53,$A8)+SUMIFS('Ingresos SIJ'!$H$4:$H$53,'Ingresos SIJ'!$A$4:$A$53,$A8)+SUMIFS('Ingresos SIJ'!$I$4:$I$53,'Ingresos SIJ'!$A$4:$A$53,$A8)+SUMIFS('Ingresos SIJ'!$J$4:$J$53,'Ingresos SIJ'!$A$4:$A$53,$A8)+SUMIFS('Ingresos SIJ'!$K$4:$K$53,'Ingresos SIJ'!$A$4:$A$53,$A8)+SUMIFS('Ingresos SIJ'!$L$4:$L$53,'Ingresos SIJ'!$A$4:$A$53,$A8)</f>
        <v/>
      </c>
      <c r="D8" s="5">
        <f>B8+C8</f>
        <v/>
      </c>
      <c r="E8" s="5">
        <f>Parametros!$B$14</f>
        <v/>
      </c>
      <c r="F8" s="5">
        <f>Parametros!$B$15</f>
        <v/>
      </c>
      <c r="G8" s="17">
        <f>IF(D8&lt;E8,"SUBCARGA",IF(D8&gt;F8,"SOBRECARGA","ESTANDAR"))</f>
        <v/>
      </c>
      <c r="H8" s="18" t="inlineStr">
        <is>
          <t>SOBRECARGA</t>
        </is>
      </c>
      <c r="I8" s="17">
        <f>IF(G8=H8,"Sí","No")</f>
        <v/>
      </c>
      <c r="J8" s="5">
        <f>SUMIFS('Resueltos SIJ'!$C$4:$C$42,'Resueltos SIJ'!$A$4:$A$42,$A8)+SUMIFS('Resueltos SIJ'!$D$4:$D$42,'Resueltos SIJ'!$A$4:$A$42,$A8)+SUMIFS('Resueltos SIJ'!$E$4:$E$42,'Resueltos SIJ'!$A$4:$A$42,$A8)+SUMIFS('Resueltos SIJ'!$F$4:$F$42,'Resueltos SIJ'!$A$4:$A$42,$A8)+SUMIFS('Resueltos SIJ'!$G$4:$G$42,'Resueltos SIJ'!$A$4:$A$42,$A8)+SUMIFS('Resueltos SIJ'!$H$4:$H$42,'Resueltos SIJ'!$A$4:$A$42,$A8)+SUMIFS('Resueltos SIJ'!$I$4:$I$42,'Resueltos SIJ'!$A$4:$A$42,$A8)+SUMIFS('Resueltos SIJ'!$J$4:$J$42,'Resueltos SIJ'!$A$4:$A$42,$A8)</f>
        <v/>
      </c>
      <c r="K8" s="5">
        <f>INDEX('Comparacion Meta'!$S$5:$S$15,MATCH($A8,'Comparacion Meta'!$A$5:$A$15,0))</f>
        <v/>
      </c>
      <c r="L8" s="6">
        <f>J8/K8</f>
        <v/>
      </c>
      <c r="M8" s="19" t="n">
        <v>0.6870000000000001</v>
      </c>
      <c r="N8" s="17">
        <f>IF(ROUND(L8,3)=ROUND(M8,3),"Sí","No")</f>
        <v/>
      </c>
      <c r="O8" s="6">
        <f>Parametros!$B$16</f>
        <v/>
      </c>
      <c r="P8" s="6">
        <f>L8/O8</f>
        <v/>
      </c>
      <c r="Q8" s="18" t="inlineStr">
        <is>
          <t>MUY BUENO</t>
        </is>
      </c>
    </row>
    <row r="9">
      <c r="A9" s="4" t="inlineStr">
        <is>
          <t>5º JUZGADO CIVIL</t>
        </is>
      </c>
      <c r="B9" s="5">
        <f>SUMIFS('Ingresos SIJ'!$D$4:$D$53,'Ingresos SIJ'!$A$4:$A$53,$A9)</f>
        <v/>
      </c>
      <c r="C9" s="5">
        <f>SUMIFS('Ingresos SIJ'!$E$4:$E$53,'Ingresos SIJ'!$A$4:$A$53,$A9)+SUMIFS('Ingresos SIJ'!$F$4:$F$53,'Ingresos SIJ'!$A$4:$A$53,$A9)+SUMIFS('Ingresos SIJ'!$G$4:$G$53,'Ingresos SIJ'!$A$4:$A$53,$A9)+SUMIFS('Ingresos SIJ'!$H$4:$H$53,'Ingresos SIJ'!$A$4:$A$53,$A9)+SUMIFS('Ingresos SIJ'!$I$4:$I$53,'Ingresos SIJ'!$A$4:$A$53,$A9)+SUMIFS('Ingresos SIJ'!$J$4:$J$53,'Ingresos SIJ'!$A$4:$A$53,$A9)+SUMIFS('Ingresos SIJ'!$K$4:$K$53,'Ingresos SIJ'!$A$4:$A$53,$A9)+SUMIFS('Ingresos SIJ'!$L$4:$L$53,'Ingresos SIJ'!$A$4:$A$53,$A9)</f>
        <v/>
      </c>
      <c r="D9" s="5">
        <f>B9+C9</f>
        <v/>
      </c>
      <c r="E9" s="5">
        <f>Parametros!$B$14</f>
        <v/>
      </c>
      <c r="F9" s="5">
        <f>Parametros!$B$15</f>
        <v/>
      </c>
      <c r="G9" s="17">
        <f>IF(D9&lt;E9,"SUBCARGA",IF(D9&gt;F9,"SOBRECARGA","ESTANDAR"))</f>
        <v/>
      </c>
      <c r="H9" s="18" t="inlineStr">
        <is>
          <t>SOBRECARGA</t>
        </is>
      </c>
      <c r="I9" s="17">
        <f>IF(G9=H9,"Sí","No")</f>
        <v/>
      </c>
      <c r="J9" s="5">
        <f>SUMIFS('Resueltos SIJ'!$C$4:$C$42,'Resueltos SIJ'!$A$4:$A$42,$A9)+SUMIFS('Resueltos SIJ'!$D$4:$D$42,'Resueltos SIJ'!$A$4:$A$42,$A9)+SUMIFS('Resueltos SIJ'!$E$4:$E$42,'Resueltos SIJ'!$A$4:$A$42,$A9)+SUMIFS('Resueltos SIJ'!$F$4:$F$42,'Resueltos SIJ'!$A$4:$A$42,$A9)+SUMIFS('Resueltos SIJ'!$G$4:$G$42,'Resueltos SIJ'!$A$4:$A$42,$A9)+SUMIFS('Resueltos SIJ'!$H$4:$H$42,'Resueltos SIJ'!$A$4:$A$42,$A9)+SUMIFS('Resueltos SIJ'!$I$4:$I$42,'Resueltos SIJ'!$A$4:$A$42,$A9)+SUMIFS('Resueltos SIJ'!$J$4:$J$42,'Resueltos SIJ'!$A$4:$A$42,$A9)</f>
        <v/>
      </c>
      <c r="K9" s="5">
        <f>INDEX('Comparacion Meta'!$S$5:$S$15,MATCH($A9,'Comparacion Meta'!$A$5:$A$15,0))</f>
        <v/>
      </c>
      <c r="L9" s="6">
        <f>J9/K9</f>
        <v/>
      </c>
      <c r="M9" s="19" t="n">
        <v>0.718</v>
      </c>
      <c r="N9" s="17">
        <f>IF(ROUND(L9,3)=ROUND(M9,3),"Sí","No")</f>
        <v/>
      </c>
      <c r="O9" s="6">
        <f>Parametros!$B$16</f>
        <v/>
      </c>
      <c r="P9" s="6">
        <f>L9/O9</f>
        <v/>
      </c>
      <c r="Q9" s="18" t="inlineStr">
        <is>
          <t>MUY BUENO</t>
        </is>
      </c>
    </row>
    <row r="10">
      <c r="A10" s="4" t="inlineStr">
        <is>
          <t>6º JUZGADO CIVIL</t>
        </is>
      </c>
      <c r="B10" s="5">
        <f>SUMIFS('Ingresos SIJ'!$D$4:$D$53,'Ingresos SIJ'!$A$4:$A$53,$A10)</f>
        <v/>
      </c>
      <c r="C10" s="5">
        <f>SUMIFS('Ingresos SIJ'!$E$4:$E$53,'Ingresos SIJ'!$A$4:$A$53,$A10)+SUMIFS('Ingresos SIJ'!$F$4:$F$53,'Ingresos SIJ'!$A$4:$A$53,$A10)+SUMIFS('Ingresos SIJ'!$G$4:$G$53,'Ingresos SIJ'!$A$4:$A$53,$A10)+SUMIFS('Ingresos SIJ'!$H$4:$H$53,'Ingresos SIJ'!$A$4:$A$53,$A10)+SUMIFS('Ingresos SIJ'!$I$4:$I$53,'Ingresos SIJ'!$A$4:$A$53,$A10)+SUMIFS('Ingresos SIJ'!$J$4:$J$53,'Ingresos SIJ'!$A$4:$A$53,$A10)+SUMIFS('Ingresos SIJ'!$K$4:$K$53,'Ingresos SIJ'!$A$4:$A$53,$A10)+SUMIFS('Ingresos SIJ'!$L$4:$L$53,'Ingresos SIJ'!$A$4:$A$53,$A10)</f>
        <v/>
      </c>
      <c r="D10" s="5">
        <f>B10+C10</f>
        <v/>
      </c>
      <c r="E10" s="5">
        <f>Parametros!$B$14</f>
        <v/>
      </c>
      <c r="F10" s="5">
        <f>Parametros!$B$15</f>
        <v/>
      </c>
      <c r="G10" s="17">
        <f>IF(D10&lt;E10,"SUBCARGA",IF(D10&gt;F10,"SOBRECARGA","ESTANDAR"))</f>
        <v/>
      </c>
      <c r="H10" s="18" t="inlineStr">
        <is>
          <t>SOBRECARGA</t>
        </is>
      </c>
      <c r="I10" s="17">
        <f>IF(G10=H10,"Sí","No")</f>
        <v/>
      </c>
      <c r="J10" s="5">
        <f>SUMIFS('Resueltos SIJ'!$C$4:$C$42,'Resueltos SIJ'!$A$4:$A$42,$A10)+SUMIFS('Resueltos SIJ'!$D$4:$D$42,'Resueltos SIJ'!$A$4:$A$42,$A10)+SUMIFS('Resueltos SIJ'!$E$4:$E$42,'Resueltos SIJ'!$A$4:$A$42,$A10)+SUMIFS('Resueltos SIJ'!$F$4:$F$42,'Resueltos SIJ'!$A$4:$A$42,$A10)+SUMIFS('Resueltos SIJ'!$G$4:$G$42,'Resueltos SIJ'!$A$4:$A$42,$A10)+SUMIFS('Resueltos SIJ'!$H$4:$H$42,'Resueltos SIJ'!$A$4:$A$42,$A10)+SUMIFS('Resueltos SIJ'!$I$4:$I$42,'Resueltos SIJ'!$A$4:$A$42,$A10)+SUMIFS('Resueltos SIJ'!$J$4:$J$42,'Resueltos SIJ'!$A$4:$A$42,$A10)</f>
        <v/>
      </c>
      <c r="K10" s="5">
        <f>INDEX('Comparacion Meta'!$S$5:$S$15,MATCH($A10,'Comparacion Meta'!$A$5:$A$15,0))</f>
        <v/>
      </c>
      <c r="L10" s="6">
        <f>J10/K10</f>
        <v/>
      </c>
      <c r="M10" s="19" t="n">
        <v>0.72</v>
      </c>
      <c r="N10" s="17">
        <f>IF(ROUND(L10,3)=ROUND(M10,3),"Sí","No")</f>
        <v/>
      </c>
      <c r="O10" s="6">
        <f>Parametros!$B$16</f>
        <v/>
      </c>
      <c r="P10" s="6">
        <f>L10/O10</f>
        <v/>
      </c>
      <c r="Q10" s="18" t="inlineStr">
        <is>
          <t>MUY BUENO</t>
        </is>
      </c>
    </row>
    <row r="11">
      <c r="A11" s="4" t="inlineStr">
        <is>
          <t>7º JUZGADO CIVIL</t>
        </is>
      </c>
      <c r="B11" s="5">
        <f>SUMIFS('Ingresos SIJ'!$D$4:$D$53,'Ingresos SIJ'!$A$4:$A$53,$A11)</f>
        <v/>
      </c>
      <c r="C11" s="5">
        <f>SUMIFS('Ingresos SIJ'!$E$4:$E$53,'Ingresos SIJ'!$A$4:$A$53,$A11)+SUMIFS('Ingresos SIJ'!$F$4:$F$53,'Ingresos SIJ'!$A$4:$A$53,$A11)+SUMIFS('Ingresos SIJ'!$G$4:$G$53,'Ingresos SIJ'!$A$4:$A$53,$A11)+SUMIFS('Ingresos SIJ'!$H$4:$H$53,'Ingresos SIJ'!$A$4:$A$53,$A11)+SUMIFS('Ingresos SIJ'!$I$4:$I$53,'Ingresos SIJ'!$A$4:$A$53,$A11)+SUMIFS('Ingresos SIJ'!$J$4:$J$53,'Ingresos SIJ'!$A$4:$A$53,$A11)+SUMIFS('Ingresos SIJ'!$K$4:$K$53,'Ingresos SIJ'!$A$4:$A$53,$A11)+SUMIFS('Ingresos SIJ'!$L$4:$L$53,'Ingresos SIJ'!$A$4:$A$53,$A11)</f>
        <v/>
      </c>
      <c r="D11" s="5">
        <f>B11+C11</f>
        <v/>
      </c>
      <c r="E11" s="5">
        <f>Parametros!$B$14</f>
        <v/>
      </c>
      <c r="F11" s="5">
        <f>Parametros!$B$15</f>
        <v/>
      </c>
      <c r="G11" s="17">
        <f>IF(D11&lt;E11,"SUBCARGA",IF(D11&gt;F11,"SOBRECARGA","ESTANDAR"))</f>
        <v/>
      </c>
      <c r="H11" s="18" t="inlineStr">
        <is>
          <t>ESTANDAR</t>
        </is>
      </c>
      <c r="I11" s="17">
        <f>IF(G11=H11,"Sí","No")</f>
        <v/>
      </c>
      <c r="J11" s="5">
        <f>SUMIFS('Resueltos SIJ'!$C$4:$C$42,'Resueltos SIJ'!$A$4:$A$42,$A11)+SUMIFS('Resueltos SIJ'!$D$4:$D$42,'Resueltos SIJ'!$A$4:$A$42,$A11)+SUMIFS('Resueltos SIJ'!$E$4:$E$42,'Resueltos SIJ'!$A$4:$A$42,$A11)+SUMIFS('Resueltos SIJ'!$F$4:$F$42,'Resueltos SIJ'!$A$4:$A$42,$A11)+SUMIFS('Resueltos SIJ'!$G$4:$G$42,'Resueltos SIJ'!$A$4:$A$42,$A11)+SUMIFS('Resueltos SIJ'!$H$4:$H$42,'Resueltos SIJ'!$A$4:$A$42,$A11)+SUMIFS('Resueltos SIJ'!$I$4:$I$42,'Resueltos SIJ'!$A$4:$A$42,$A11)+SUMIFS('Resueltos SIJ'!$J$4:$J$42,'Resueltos SIJ'!$A$4:$A$42,$A11)</f>
        <v/>
      </c>
      <c r="K11" s="5">
        <f>INDEX('Comparacion Meta'!$S$5:$S$15,MATCH($A11,'Comparacion Meta'!$A$5:$A$15,0))</f>
        <v/>
      </c>
      <c r="L11" s="6">
        <f>J11/K11</f>
        <v/>
      </c>
      <c r="M11" s="19" t="n">
        <v>0.6879999999999999</v>
      </c>
      <c r="N11" s="17">
        <f>IF(ROUND(L11,3)=ROUND(M11,3),"Sí","No")</f>
        <v/>
      </c>
      <c r="O11" s="6">
        <f>Parametros!$B$16</f>
        <v/>
      </c>
      <c r="P11" s="6">
        <f>L11/O11</f>
        <v/>
      </c>
      <c r="Q11" s="18" t="inlineStr">
        <is>
          <t>MUY BUENO</t>
        </is>
      </c>
    </row>
    <row r="12">
      <c r="A12" s="4" t="inlineStr">
        <is>
          <t>8º JUZGADO CIVIL</t>
        </is>
      </c>
      <c r="B12" s="5">
        <f>SUMIFS('Ingresos SIJ'!$D$4:$D$53,'Ingresos SIJ'!$A$4:$A$53,$A12)</f>
        <v/>
      </c>
      <c r="C12" s="5">
        <f>SUMIFS('Ingresos SIJ'!$E$4:$E$53,'Ingresos SIJ'!$A$4:$A$53,$A12)+SUMIFS('Ingresos SIJ'!$F$4:$F$53,'Ingresos SIJ'!$A$4:$A$53,$A12)+SUMIFS('Ingresos SIJ'!$G$4:$G$53,'Ingresos SIJ'!$A$4:$A$53,$A12)+SUMIFS('Ingresos SIJ'!$H$4:$H$53,'Ingresos SIJ'!$A$4:$A$53,$A12)+SUMIFS('Ingresos SIJ'!$I$4:$I$53,'Ingresos SIJ'!$A$4:$A$53,$A12)+SUMIFS('Ingresos SIJ'!$J$4:$J$53,'Ingresos SIJ'!$A$4:$A$53,$A12)+SUMIFS('Ingresos SIJ'!$K$4:$K$53,'Ingresos SIJ'!$A$4:$A$53,$A12)+SUMIFS('Ingresos SIJ'!$L$4:$L$53,'Ingresos SIJ'!$A$4:$A$53,$A12)</f>
        <v/>
      </c>
      <c r="D12" s="5">
        <f>B12+C12</f>
        <v/>
      </c>
      <c r="E12" s="5">
        <f>Parametros!$B$14</f>
        <v/>
      </c>
      <c r="F12" s="5">
        <f>Parametros!$B$15</f>
        <v/>
      </c>
      <c r="G12" s="17">
        <f>IF(D12&lt;E12,"SUBCARGA",IF(D12&gt;F12,"SOBRECARGA","ESTANDAR"))</f>
        <v/>
      </c>
      <c r="H12" s="18" t="inlineStr">
        <is>
          <t>ESTANDAR</t>
        </is>
      </c>
      <c r="I12" s="17">
        <f>IF(G12=H12,"Sí","No")</f>
        <v/>
      </c>
      <c r="J12" s="5">
        <f>SUMIFS('Resueltos SIJ'!$C$4:$C$42,'Resueltos SIJ'!$A$4:$A$42,$A12)+SUMIFS('Resueltos SIJ'!$D$4:$D$42,'Resueltos SIJ'!$A$4:$A$42,$A12)+SUMIFS('Resueltos SIJ'!$E$4:$E$42,'Resueltos SIJ'!$A$4:$A$42,$A12)+SUMIFS('Resueltos SIJ'!$F$4:$F$42,'Resueltos SIJ'!$A$4:$A$42,$A12)+SUMIFS('Resueltos SIJ'!$G$4:$G$42,'Resueltos SIJ'!$A$4:$A$42,$A12)+SUMIFS('Resueltos SIJ'!$H$4:$H$42,'Resueltos SIJ'!$A$4:$A$42,$A12)+SUMIFS('Resueltos SIJ'!$I$4:$I$42,'Resueltos SIJ'!$A$4:$A$42,$A12)+SUMIFS('Resueltos SIJ'!$J$4:$J$42,'Resueltos SIJ'!$A$4:$A$42,$A12)</f>
        <v/>
      </c>
      <c r="K12" s="5">
        <f>INDEX('Comparacion Meta'!$S$5:$S$15,MATCH($A12,'Comparacion Meta'!$A$5:$A$15,0))</f>
        <v/>
      </c>
      <c r="L12" s="6">
        <f>J12/K12</f>
        <v/>
      </c>
      <c r="M12" s="19" t="n">
        <v>0.703</v>
      </c>
      <c r="N12" s="17">
        <f>IF(ROUND(L12,3)=ROUND(M12,3),"Sí","No")</f>
        <v/>
      </c>
      <c r="O12" s="6">
        <f>Parametros!$B$16</f>
        <v/>
      </c>
      <c r="P12" s="6">
        <f>L12/O12</f>
        <v/>
      </c>
      <c r="Q12" s="18" t="inlineStr">
        <is>
          <t>MUY BUENO</t>
        </is>
      </c>
    </row>
    <row r="13">
      <c r="A13" s="4" t="inlineStr">
        <is>
          <t>9º JUZGADO CIVIL</t>
        </is>
      </c>
      <c r="B13" s="5">
        <f>SUMIFS('Ingresos SIJ'!$D$4:$D$53,'Ingresos SIJ'!$A$4:$A$53,$A13)</f>
        <v/>
      </c>
      <c r="C13" s="5">
        <f>SUMIFS('Ingresos SIJ'!$E$4:$E$53,'Ingresos SIJ'!$A$4:$A$53,$A13)+SUMIFS('Ingresos SIJ'!$F$4:$F$53,'Ingresos SIJ'!$A$4:$A$53,$A13)+SUMIFS('Ingresos SIJ'!$G$4:$G$53,'Ingresos SIJ'!$A$4:$A$53,$A13)+SUMIFS('Ingresos SIJ'!$H$4:$H$53,'Ingresos SIJ'!$A$4:$A$53,$A13)+SUMIFS('Ingresos SIJ'!$I$4:$I$53,'Ingresos SIJ'!$A$4:$A$53,$A13)+SUMIFS('Ingresos SIJ'!$J$4:$J$53,'Ingresos SIJ'!$A$4:$A$53,$A13)+SUMIFS('Ingresos SIJ'!$K$4:$K$53,'Ingresos SIJ'!$A$4:$A$53,$A13)+SUMIFS('Ingresos SIJ'!$L$4:$L$53,'Ingresos SIJ'!$A$4:$A$53,$A13)</f>
        <v/>
      </c>
      <c r="D13" s="5">
        <f>B13+C13</f>
        <v/>
      </c>
      <c r="E13" s="5">
        <f>Parametros!$B$14</f>
        <v/>
      </c>
      <c r="F13" s="5">
        <f>Parametros!$B$15</f>
        <v/>
      </c>
      <c r="G13" s="17">
        <f>IF(D13&lt;E13,"SUBCARGA",IF(D13&gt;F13,"SOBRECARGA","ESTANDAR"))</f>
        <v/>
      </c>
      <c r="H13" s="18" t="inlineStr">
        <is>
          <t>ESTANDAR</t>
        </is>
      </c>
      <c r="I13" s="17">
        <f>IF(G13=H13,"Sí","No")</f>
        <v/>
      </c>
      <c r="J13" s="5">
        <f>SUMIFS('Resueltos SIJ'!$C$4:$C$42,'Resueltos SIJ'!$A$4:$A$42,$A13)+SUMIFS('Resueltos SIJ'!$D$4:$D$42,'Resueltos SIJ'!$A$4:$A$42,$A13)+SUMIFS('Resueltos SIJ'!$E$4:$E$42,'Resueltos SIJ'!$A$4:$A$42,$A13)+SUMIFS('Resueltos SIJ'!$F$4:$F$42,'Resueltos SIJ'!$A$4:$A$42,$A13)+SUMIFS('Resueltos SIJ'!$G$4:$G$42,'Resueltos SIJ'!$A$4:$A$42,$A13)+SUMIFS('Resueltos SIJ'!$H$4:$H$42,'Resueltos SIJ'!$A$4:$A$42,$A13)+SUMIFS('Resueltos SIJ'!$I$4:$I$42,'Resueltos SIJ'!$A$4:$A$42,$A13)+SUMIFS('Resueltos SIJ'!$J$4:$J$42,'Resueltos SIJ'!$A$4:$A$42,$A13)</f>
        <v/>
      </c>
      <c r="K13" s="5">
        <f>INDEX('Comparacion Meta'!$S$5:$S$15,MATCH($A13,'Comparacion Meta'!$A$5:$A$15,0))</f>
        <v/>
      </c>
      <c r="L13" s="6">
        <f>J13/K13</f>
        <v/>
      </c>
      <c r="M13" s="19" t="n">
        <v>0.767</v>
      </c>
      <c r="N13" s="17">
        <f>IF(ROUND(L13,3)=ROUND(M13,3),"Sí","No")</f>
        <v/>
      </c>
      <c r="O13" s="6">
        <f>Parametros!$B$16</f>
        <v/>
      </c>
      <c r="P13" s="6">
        <f>L13/O13</f>
        <v/>
      </c>
      <c r="Q13" s="18" t="inlineStr">
        <is>
          <t>MUY BUENO</t>
        </is>
      </c>
    </row>
    <row r="14">
      <c r="A14" s="4" t="inlineStr">
        <is>
          <t>10º JUZGADO CIVIL</t>
        </is>
      </c>
      <c r="B14" s="5">
        <f>SUMIFS('Ingresos SIJ'!$D$4:$D$53,'Ingresos SIJ'!$A$4:$A$53,$A14)</f>
        <v/>
      </c>
      <c r="C14" s="5">
        <f>SUMIFS('Ingresos SIJ'!$E$4:$E$53,'Ingresos SIJ'!$A$4:$A$53,$A14)+SUMIFS('Ingresos SIJ'!$F$4:$F$53,'Ingresos SIJ'!$A$4:$A$53,$A14)+SUMIFS('Ingresos SIJ'!$G$4:$G$53,'Ingresos SIJ'!$A$4:$A$53,$A14)+SUMIFS('Ingresos SIJ'!$H$4:$H$53,'Ingresos SIJ'!$A$4:$A$53,$A14)+SUMIFS('Ingresos SIJ'!$I$4:$I$53,'Ingresos SIJ'!$A$4:$A$53,$A14)+SUMIFS('Ingresos SIJ'!$J$4:$J$53,'Ingresos SIJ'!$A$4:$A$53,$A14)+SUMIFS('Ingresos SIJ'!$K$4:$K$53,'Ingresos SIJ'!$A$4:$A$53,$A14)+SUMIFS('Ingresos SIJ'!$L$4:$L$53,'Ingresos SIJ'!$A$4:$A$53,$A14)</f>
        <v/>
      </c>
      <c r="D14" s="5">
        <f>B14+C14</f>
        <v/>
      </c>
      <c r="E14" s="5">
        <f>Parametros!$B$14</f>
        <v/>
      </c>
      <c r="F14" s="5">
        <f>Parametros!$B$15</f>
        <v/>
      </c>
      <c r="G14" s="17">
        <f>IF(D14&lt;E14,"SUBCARGA",IF(D14&gt;F14,"SOBRECARGA","ESTANDAR"))</f>
        <v/>
      </c>
      <c r="H14" s="18" t="inlineStr">
        <is>
          <t>ESTANDAR</t>
        </is>
      </c>
      <c r="I14" s="17">
        <f>IF(G14=H14,"Sí","No")</f>
        <v/>
      </c>
      <c r="J14" s="5">
        <f>SUMIFS('Resueltos SIJ'!$C$4:$C$42,'Resueltos SIJ'!$A$4:$A$42,$A14)+SUMIFS('Resueltos SIJ'!$D$4:$D$42,'Resueltos SIJ'!$A$4:$A$42,$A14)+SUMIFS('Resueltos SIJ'!$E$4:$E$42,'Resueltos SIJ'!$A$4:$A$42,$A14)+SUMIFS('Resueltos SIJ'!$F$4:$F$42,'Resueltos SIJ'!$A$4:$A$42,$A14)+SUMIFS('Resueltos SIJ'!$G$4:$G$42,'Resueltos SIJ'!$A$4:$A$42,$A14)+SUMIFS('Resueltos SIJ'!$H$4:$H$42,'Resueltos SIJ'!$A$4:$A$42,$A14)+SUMIFS('Resueltos SIJ'!$I$4:$I$42,'Resueltos SIJ'!$A$4:$A$42,$A14)+SUMIFS('Resueltos SIJ'!$J$4:$J$42,'Resueltos SIJ'!$A$4:$A$42,$A14)</f>
        <v/>
      </c>
      <c r="K14" s="5">
        <f>INDEX('Comparacion Meta'!$S$5:$S$15,MATCH($A14,'Comparacion Meta'!$A$5:$A$15,0))</f>
        <v/>
      </c>
      <c r="L14" s="6">
        <f>J14/K14</f>
        <v/>
      </c>
      <c r="M14" s="19" t="n">
        <v>0.777</v>
      </c>
      <c r="N14" s="17">
        <f>IF(ROUND(L14,3)=ROUND(M14,3),"Sí","No")</f>
        <v/>
      </c>
      <c r="O14" s="6">
        <f>Parametros!$B$16</f>
        <v/>
      </c>
      <c r="P14" s="6">
        <f>L14/O14</f>
        <v/>
      </c>
      <c r="Q14" s="18" t="inlineStr">
        <is>
          <t>MUY BUENO</t>
        </is>
      </c>
    </row>
    <row r="15">
      <c r="A15" s="4" t="inlineStr">
        <is>
          <t>2° JUZGADO CIVIL TRANSITORIO</t>
        </is>
      </c>
      <c r="B15" s="5">
        <f>SUMIFS('Ingresos SIJ'!$D$4:$D$53,'Ingresos SIJ'!$A$4:$A$53,$A15)</f>
        <v/>
      </c>
      <c r="C15" s="5">
        <f>SUMIFS('Ingresos SIJ'!$E$4:$E$53,'Ingresos SIJ'!$A$4:$A$53,$A15)+SUMIFS('Ingresos SIJ'!$F$4:$F$53,'Ingresos SIJ'!$A$4:$A$53,$A15)+SUMIFS('Ingresos SIJ'!$G$4:$G$53,'Ingresos SIJ'!$A$4:$A$53,$A15)+SUMIFS('Ingresos SIJ'!$H$4:$H$53,'Ingresos SIJ'!$A$4:$A$53,$A15)+SUMIFS('Ingresos SIJ'!$I$4:$I$53,'Ingresos SIJ'!$A$4:$A$53,$A15)+SUMIFS('Ingresos SIJ'!$J$4:$J$53,'Ingresos SIJ'!$A$4:$A$53,$A15)+SUMIFS('Ingresos SIJ'!$K$4:$K$53,'Ingresos SIJ'!$A$4:$A$53,$A15)+SUMIFS('Ingresos SIJ'!$L$4:$L$53,'Ingresos SIJ'!$A$4:$A$53,$A15)</f>
        <v/>
      </c>
      <c r="D15" s="5">
        <f>B15+C15</f>
        <v/>
      </c>
      <c r="E15" s="5">
        <f>Parametros!$B$14</f>
        <v/>
      </c>
      <c r="F15" s="5">
        <f>Parametros!$B$15</f>
        <v/>
      </c>
      <c r="G15" s="17">
        <f>IF(D15&lt;E15,"SUBCARGA",IF(D15&gt;F15,"SOBRECARGA","ESTANDAR"))</f>
        <v/>
      </c>
      <c r="H15" s="18" t="inlineStr">
        <is>
          <t>ESTANDAR</t>
        </is>
      </c>
      <c r="I15" s="17">
        <f>IF(G15=H15,"Sí","No")</f>
        <v/>
      </c>
      <c r="J15" s="5">
        <f>SUMIFS('Resueltos SIJ'!$C$4:$C$42,'Resueltos SIJ'!$A$4:$A$42,$A15)+SUMIFS('Resueltos SIJ'!$D$4:$D$42,'Resueltos SIJ'!$A$4:$A$42,$A15)+SUMIFS('Resueltos SIJ'!$E$4:$E$42,'Resueltos SIJ'!$A$4:$A$42,$A15)+SUMIFS('Resueltos SIJ'!$F$4:$F$42,'Resueltos SIJ'!$A$4:$A$42,$A15)+SUMIFS('Resueltos SIJ'!$G$4:$G$42,'Resueltos SIJ'!$A$4:$A$42,$A15)+SUMIFS('Resueltos SIJ'!$H$4:$H$42,'Resueltos SIJ'!$A$4:$A$42,$A15)+SUMIFS('Resueltos SIJ'!$I$4:$I$42,'Resueltos SIJ'!$A$4:$A$42,$A15)+SUMIFS('Resueltos SIJ'!$J$4:$J$42,'Resueltos SIJ'!$A$4:$A$42,$A15)</f>
        <v/>
      </c>
      <c r="K15" s="5">
        <f>INDEX('Comparacion Meta'!$S$5:$S$15,MATCH($A15,'Comparacion Meta'!$A$5:$A$15,0))</f>
        <v/>
      </c>
      <c r="L15" s="6">
        <f>J15/K15</f>
        <v/>
      </c>
      <c r="M15" s="19" t="n">
        <v>0.544</v>
      </c>
      <c r="N15" s="17">
        <f>IF(ROUND(L15,3)=ROUND(M15,3),"Sí","No")</f>
        <v/>
      </c>
      <c r="O15" s="6">
        <f>Parametros!$B$16</f>
        <v/>
      </c>
      <c r="P15" s="6">
        <f>L15/O15</f>
        <v/>
      </c>
      <c r="Q15" s="18" t="inlineStr">
        <is>
          <t>BAJO</t>
        </is>
      </c>
    </row>
    <row r="17" ht="15" customHeight="1">
      <c r="A17" s="15" t="inlineStr">
        <is>
          <t>LECTURA</t>
        </is>
      </c>
    </row>
    <row r="18" ht="30" customHeight="1">
      <c r="A18" s="16" t="inlineStr">
        <is>
          <t>• Nivel de carga: el reporte compara la carga en trámite ACUMULADA a agosto (pendientes + ingresos ene–ago, sin proyectar) con la carga mínima (600×1.3=780) y máxima (600×1.7=1020). Coincide en todos los juzgados. Ojo: compara 8 meses de ingresos contra umbrales anuales, así que subestima la carga real del año.</t>
        </is>
      </c>
    </row>
    <row r="19" ht="30" customHeight="1">
      <c r="A19" s="16" t="inlineStr">
        <is>
          <t>• % avance = producción ene–ago / meta SIE. Coincide en todos los juzgados.</t>
        </is>
      </c>
    </row>
    <row r="20" ht="30" customHeight="1">
      <c r="A20" s="16" t="inlineStr">
        <is>
          <t>• El 63.6% del encabezado = 7/11: avance esperado a agosto contando 11 meses efectivos (sin febrero).</t>
        </is>
      </c>
    </row>
    <row r="21" ht="30" customHeight="1">
      <c r="A21" s="16" t="inlineStr">
        <is>
          <t>• Nivel productivo: con estos casos parece ser MUY BUENO si el avance ≥ 63.6%, BUENO entre ~90% y 100% del ideal (2° Civil: 61.9% = 97% del ideal) y BAJO por debajo (2° Transitorio: 54.4% = 86% del ideal). Los cortes exactos no se pueden fijar con solo estos datos.</t>
        </is>
      </c>
    </row>
    <row r="22" ht="30" customHeight="1">
      <c r="A22" s="16" t="inlineStr">
        <is>
          <t>• Salas Civiles (imagen): meta = estándar 1,400 aunque la 1ª Sala está en subcarga, porque no son únicas en su especialidad (Anexo 2: si no es única, meta = estándar).</t>
        </is>
      </c>
    </row>
  </sheetData>
  <mergeCells count="6">
    <mergeCell ref="A22:Q22"/>
    <mergeCell ref="A17:Q17"/>
    <mergeCell ref="A18:Q18"/>
    <mergeCell ref="A21:Q21"/>
    <mergeCell ref="A20:Q20"/>
    <mergeCell ref="A19:Q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3" max="3"/>
  </cols>
  <sheetData>
    <row r="1">
      <c r="A1" s="1" t="inlineStr">
        <is>
          <t>PARÁMETROS</t>
        </is>
      </c>
    </row>
    <row r="3" ht="20" customHeight="1">
      <c r="A3" s="3" t="inlineStr">
        <is>
          <t>Parámetro</t>
        </is>
      </c>
      <c r="B3" s="3" t="inlineStr">
        <is>
          <t>Valor</t>
        </is>
      </c>
      <c r="C3" s="3" t="inlineStr">
        <is>
          <t>Fuente</t>
        </is>
      </c>
    </row>
    <row r="4">
      <c r="A4" s="20" t="inlineStr">
        <is>
          <t>Estándar Juzgado Civil Mixto sin VF</t>
        </is>
      </c>
      <c r="B4" s="21" t="n">
        <v>600</v>
      </c>
      <c r="C4" s="22" t="inlineStr">
        <is>
          <t>R.A. 090-2025-CE-PJ, Anexo 1</t>
        </is>
      </c>
    </row>
    <row r="5">
      <c r="A5" s="20" t="inlineStr">
        <is>
          <t>Factor 77%</t>
        </is>
      </c>
      <c r="B5" s="23" t="n">
        <v>0.77</v>
      </c>
      <c r="C5" s="22" t="inlineStr">
        <is>
          <t>R.A. 090-2025-CE-PJ, Anexo 3</t>
        </is>
      </c>
    </row>
    <row r="6">
      <c r="A6" s="20" t="inlineStr">
        <is>
          <t>Umbral Civil-Civil / carga total</t>
        </is>
      </c>
      <c r="B6" s="23" t="n">
        <v>0.75</v>
      </c>
      <c r="C6" s="22" t="inlineStr">
        <is>
          <t>Anexo 3</t>
        </is>
      </c>
    </row>
    <row r="7">
      <c r="A7" s="20" t="inlineStr">
        <is>
          <t>Caso 1: límite carga Civil-Civil</t>
        </is>
      </c>
      <c r="B7" s="21" t="n">
        <v>455</v>
      </c>
      <c r="C7" s="22" t="inlineStr">
        <is>
          <t>Anexo 3</t>
        </is>
      </c>
    </row>
    <row r="8">
      <c r="A8" s="20" t="inlineStr">
        <is>
          <t>Caso 1: meta fija Civil-Civil</t>
        </is>
      </c>
      <c r="B8" s="21" t="n">
        <v>350</v>
      </c>
      <c r="C8" s="22" t="inlineStr">
        <is>
          <t>Anexo 3</t>
        </is>
      </c>
    </row>
    <row r="9">
      <c r="A9" s="20" t="inlineStr">
        <is>
          <t>Caso 2: límite carga Civil-Civil</t>
        </is>
      </c>
      <c r="B9" s="21" t="n">
        <v>390</v>
      </c>
      <c r="C9" s="22" t="inlineStr">
        <is>
          <t>Anexo 3</t>
        </is>
      </c>
    </row>
    <row r="10">
      <c r="A10" s="20" t="inlineStr">
        <is>
          <t>Caso 2: meta fija Civil-Civil</t>
        </is>
      </c>
      <c r="B10" s="21" t="n">
        <v>300</v>
      </c>
      <c r="C10" s="22" t="inlineStr">
        <is>
          <t>Anexo 3</t>
        </is>
      </c>
    </row>
    <row r="11">
      <c r="A11" s="20" t="inlineStr">
        <is>
          <t>Meses transcurridos (ene–ago)</t>
        </is>
      </c>
      <c r="B11" s="21" t="n">
        <v>8</v>
      </c>
      <c r="C11" s="22" t="inlineStr">
        <is>
          <t>Corte del reporte de la imagen</t>
        </is>
      </c>
    </row>
    <row r="12">
      <c r="A12" s="20" t="inlineStr">
        <is>
          <t>Meses efectivos transcurridos sin febrero (vacaciones)</t>
        </is>
      </c>
      <c r="B12" s="21" t="n">
        <v>7</v>
      </c>
      <c r="C12" s="22" t="inlineStr">
        <is>
          <t>Supuesto: febrero = vacaciones judiciales</t>
        </is>
      </c>
    </row>
    <row r="13">
      <c r="A13" s="20" t="inlineStr">
        <is>
          <t>Meses efectivos del año sin febrero</t>
        </is>
      </c>
      <c r="B13" s="21" t="n">
        <v>11</v>
      </c>
      <c r="C13" s="22" t="inlineStr">
        <is>
          <t>Supuesto</t>
        </is>
      </c>
    </row>
    <row r="14">
      <c r="A14" s="20" t="inlineStr">
        <is>
          <t>Carga mínima = estándar × 1.3</t>
        </is>
      </c>
      <c r="B14" s="20">
        <f>B4*1.3</f>
        <v/>
      </c>
      <c r="C14" s="22" t="inlineStr">
        <is>
          <t>R.A. 395-2020-CE-PJ</t>
        </is>
      </c>
    </row>
    <row r="15">
      <c r="A15" s="20" t="inlineStr">
        <is>
          <t>Carga máxima = estándar × 1.7</t>
        </is>
      </c>
      <c r="B15" s="20">
        <f>B4*1.7</f>
        <v/>
      </c>
      <c r="C15" s="22" t="inlineStr">
        <is>
          <t>R.A. 395-2020-CE-PJ</t>
        </is>
      </c>
    </row>
    <row r="16">
      <c r="A16" s="20" t="inlineStr">
        <is>
          <t>Avance ideal al corte = meses efectivos / 11</t>
        </is>
      </c>
      <c r="B16" s="6">
        <f>B12/B13</f>
        <v/>
      </c>
      <c r="C16" s="22" t="inlineStr">
        <is>
          <t>Coincide con el 63.6% del encabezado de la imagen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2" customWidth="1" min="3" max="3"/>
    <col width="1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INGRESOS Y PENDIENTES – TRÁMITE (SIJ 2026)</t>
        </is>
      </c>
    </row>
    <row r="2">
      <c r="A2" s="2" t="inlineStr">
        <is>
          <t>Fuente: Ingresos_Tramite_ene-set_2026_jec_ci.xlsx</t>
        </is>
      </c>
    </row>
    <row r="3" ht="55" customHeight="1">
      <c r="A3" s="3" t="inlineStr">
        <is>
          <t>Juzgado</t>
        </is>
      </c>
      <c r="B3" s="3" t="inlineStr">
        <is>
          <t>Subespecialidad</t>
        </is>
      </c>
      <c r="C3" s="3" t="inlineStr">
        <is>
          <t>Grupo</t>
        </is>
      </c>
      <c r="D3" s="3" t="inlineStr">
        <is>
          <t>Pendientes año anterior</t>
        </is>
      </c>
      <c r="E3" s="3" t="inlineStr">
        <is>
          <t>Ene</t>
        </is>
      </c>
      <c r="F3" s="3" t="inlineStr">
        <is>
          <t>Feb</t>
        </is>
      </c>
      <c r="G3" s="3" t="inlineStr">
        <is>
          <t>Mar</t>
        </is>
      </c>
      <c r="H3" s="3" t="inlineStr">
        <is>
          <t>Abr</t>
        </is>
      </c>
      <c r="I3" s="3" t="inlineStr">
        <is>
          <t>May</t>
        </is>
      </c>
      <c r="J3" s="3" t="inlineStr">
        <is>
          <t>Jun</t>
        </is>
      </c>
      <c r="K3" s="3" t="inlineStr">
        <is>
          <t>Jul</t>
        </is>
      </c>
      <c r="L3" s="3" t="inlineStr">
        <is>
          <t>Ago</t>
        </is>
      </c>
      <c r="M3" s="3" t="inlineStr">
        <is>
          <t>Set</t>
        </is>
      </c>
    </row>
    <row r="4">
      <c r="A4" s="20" t="inlineStr">
        <is>
          <t>1º JUZGADO CIVIL</t>
        </is>
      </c>
      <c r="B4" s="20" t="inlineStr">
        <is>
          <t>CIVIL - CIVIL</t>
        </is>
      </c>
      <c r="C4" s="20" t="inlineStr">
        <is>
          <t>Civil-Civil</t>
        </is>
      </c>
      <c r="D4" s="21" t="n">
        <v>409</v>
      </c>
      <c r="E4" s="21" t="n">
        <v>53</v>
      </c>
      <c r="F4" s="21" t="n">
        <v>1</v>
      </c>
      <c r="G4" s="21" t="n">
        <v>48</v>
      </c>
      <c r="H4" s="21" t="n">
        <v>62</v>
      </c>
      <c r="I4" s="21" t="n">
        <v>47</v>
      </c>
      <c r="J4" s="21" t="n">
        <v>49</v>
      </c>
      <c r="K4" s="21" t="n">
        <v>52</v>
      </c>
      <c r="L4" s="21" t="n">
        <v>46</v>
      </c>
      <c r="M4" s="21" t="n">
        <v>50</v>
      </c>
    </row>
    <row r="5">
      <c r="A5" s="20" t="inlineStr">
        <is>
          <t>1º JUZGADO CIVIL</t>
        </is>
      </c>
      <c r="B5" s="20" t="inlineStr">
        <is>
          <t>CIVIL - COMERCIAL</t>
        </is>
      </c>
      <c r="C5" s="20" t="inlineStr">
        <is>
          <t>Resto</t>
        </is>
      </c>
      <c r="D5" s="21" t="n">
        <v>85</v>
      </c>
      <c r="E5" s="21" t="n">
        <v>9</v>
      </c>
      <c r="F5" s="21" t="n">
        <v>0</v>
      </c>
      <c r="G5" s="21" t="n">
        <v>10</v>
      </c>
      <c r="H5" s="21" t="n">
        <v>9</v>
      </c>
      <c r="I5" s="21" t="n">
        <v>8</v>
      </c>
      <c r="J5" s="21" t="n">
        <v>8</v>
      </c>
      <c r="K5" s="21" t="n">
        <v>5</v>
      </c>
      <c r="L5" s="21" t="n">
        <v>4</v>
      </c>
      <c r="M5" s="21" t="n">
        <v>6</v>
      </c>
    </row>
    <row r="6">
      <c r="A6" s="20" t="inlineStr">
        <is>
          <t>1º JUZGADO CIVIL</t>
        </is>
      </c>
      <c r="B6" s="20" t="inlineStr">
        <is>
          <t>FAMILIA - FAMILIA CIVIL</t>
        </is>
      </c>
      <c r="C6" s="20" t="inlineStr">
        <is>
          <t>Resto</t>
        </is>
      </c>
      <c r="D6" s="21" t="n">
        <v>0</v>
      </c>
      <c r="E6" s="21" t="n">
        <v>0</v>
      </c>
      <c r="F6" s="21" t="n">
        <v>0</v>
      </c>
      <c r="G6" s="21" t="n">
        <v>1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</row>
    <row r="7">
      <c r="A7" s="20" t="inlineStr">
        <is>
          <t>1º JUZGADO CIVIL</t>
        </is>
      </c>
      <c r="B7" s="20" t="inlineStr">
        <is>
          <t>CIVIL - CONTENCIOSO ADMINISTRATIVO</t>
        </is>
      </c>
      <c r="C7" s="20" t="inlineStr">
        <is>
          <t>Resto</t>
        </is>
      </c>
      <c r="D7" s="21" t="n">
        <v>35</v>
      </c>
      <c r="E7" s="21" t="n">
        <v>5</v>
      </c>
      <c r="F7" s="21" t="n">
        <v>0</v>
      </c>
      <c r="G7" s="21" t="n">
        <v>5</v>
      </c>
      <c r="H7" s="21" t="n">
        <v>2</v>
      </c>
      <c r="I7" s="21" t="n">
        <v>5</v>
      </c>
      <c r="J7" s="21" t="n">
        <v>1</v>
      </c>
      <c r="K7" s="21" t="n">
        <v>2</v>
      </c>
      <c r="L7" s="21" t="n">
        <v>5</v>
      </c>
      <c r="M7" s="21" t="n">
        <v>4</v>
      </c>
    </row>
    <row r="8">
      <c r="A8" s="20" t="inlineStr">
        <is>
          <t>2º JUZGADO CIVIL</t>
        </is>
      </c>
      <c r="B8" s="20" t="inlineStr">
        <is>
          <t>CIVIL - CIVIL</t>
        </is>
      </c>
      <c r="C8" s="20" t="inlineStr">
        <is>
          <t>Civil-Civil</t>
        </is>
      </c>
      <c r="D8" s="21" t="n">
        <v>501</v>
      </c>
      <c r="E8" s="21" t="n">
        <v>50</v>
      </c>
      <c r="F8" s="21" t="n">
        <v>2</v>
      </c>
      <c r="G8" s="21" t="n">
        <v>33</v>
      </c>
      <c r="H8" s="21" t="n">
        <v>60</v>
      </c>
      <c r="I8" s="21" t="n">
        <v>51</v>
      </c>
      <c r="J8" s="21" t="n">
        <v>38</v>
      </c>
      <c r="K8" s="21" t="n">
        <v>18</v>
      </c>
      <c r="L8" s="21" t="n">
        <v>37</v>
      </c>
      <c r="M8" s="21" t="n">
        <v>58</v>
      </c>
    </row>
    <row r="9">
      <c r="A9" s="20" t="inlineStr">
        <is>
          <t>2º JUZGADO CIVIL</t>
        </is>
      </c>
      <c r="B9" s="20" t="inlineStr">
        <is>
          <t>CIVIL - COMERCIAL</t>
        </is>
      </c>
      <c r="C9" s="20" t="inlineStr">
        <is>
          <t>Resto</t>
        </is>
      </c>
      <c r="D9" s="21" t="n">
        <v>35</v>
      </c>
      <c r="E9" s="21" t="n">
        <v>12</v>
      </c>
      <c r="F9" s="21" t="n">
        <v>0</v>
      </c>
      <c r="G9" s="21" t="n">
        <v>10</v>
      </c>
      <c r="H9" s="21" t="n">
        <v>13</v>
      </c>
      <c r="I9" s="21" t="n">
        <v>15</v>
      </c>
      <c r="J9" s="21" t="n">
        <v>18</v>
      </c>
      <c r="K9" s="21" t="n">
        <v>7</v>
      </c>
      <c r="L9" s="21" t="n">
        <v>4</v>
      </c>
      <c r="M9" s="21" t="n">
        <v>14</v>
      </c>
    </row>
    <row r="10">
      <c r="A10" s="20" t="inlineStr">
        <is>
          <t>2º JUZGADO CIVIL</t>
        </is>
      </c>
      <c r="B10" s="20" t="inlineStr">
        <is>
          <t>FAMILIA - FAMILIA CIVIL</t>
        </is>
      </c>
      <c r="C10" s="20" t="inlineStr">
        <is>
          <t>Resto</t>
        </is>
      </c>
      <c r="D10" s="21" t="n">
        <v>1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</row>
    <row r="11">
      <c r="A11" s="20" t="inlineStr">
        <is>
          <t>2º JUZGADO CIVIL</t>
        </is>
      </c>
      <c r="B11" s="20" t="inlineStr">
        <is>
          <t>CIVIL - CONSTITUCIONAL</t>
        </is>
      </c>
      <c r="C11" s="20" t="inlineStr">
        <is>
          <t>Resto</t>
        </is>
      </c>
      <c r="D11" s="21" t="n">
        <v>1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1</v>
      </c>
    </row>
    <row r="12">
      <c r="A12" s="20" t="inlineStr">
        <is>
          <t>2º JUZGADO CIVIL</t>
        </is>
      </c>
      <c r="B12" s="20" t="inlineStr">
        <is>
          <t>CIVIL - CONTENCIOSO ADMINISTRATIVO</t>
        </is>
      </c>
      <c r="C12" s="20" t="inlineStr">
        <is>
          <t>Resto</t>
        </is>
      </c>
      <c r="D12" s="21" t="n">
        <v>22</v>
      </c>
      <c r="E12" s="21" t="n">
        <v>3</v>
      </c>
      <c r="F12" s="21" t="n">
        <v>0</v>
      </c>
      <c r="G12" s="21" t="n">
        <v>5</v>
      </c>
      <c r="H12" s="21" t="n">
        <v>3</v>
      </c>
      <c r="I12" s="21" t="n">
        <v>3</v>
      </c>
      <c r="J12" s="21" t="n">
        <v>5</v>
      </c>
      <c r="K12" s="21" t="n">
        <v>1</v>
      </c>
      <c r="L12" s="21" t="n">
        <v>1</v>
      </c>
      <c r="M12" s="21" t="n">
        <v>6</v>
      </c>
    </row>
    <row r="13">
      <c r="A13" s="20" t="inlineStr">
        <is>
          <t>3º JUZGADO CIVIL</t>
        </is>
      </c>
      <c r="B13" s="20" t="inlineStr">
        <is>
          <t>CIVIL - CIVIL</t>
        </is>
      </c>
      <c r="C13" s="20" t="inlineStr">
        <is>
          <t>Civil-Civil</t>
        </is>
      </c>
      <c r="D13" s="21" t="n">
        <v>428</v>
      </c>
      <c r="E13" s="21" t="n">
        <v>49</v>
      </c>
      <c r="F13" s="21" t="n">
        <v>0</v>
      </c>
      <c r="G13" s="21" t="n">
        <v>36</v>
      </c>
      <c r="H13" s="21" t="n">
        <v>70</v>
      </c>
      <c r="I13" s="21" t="n">
        <v>37</v>
      </c>
      <c r="J13" s="21" t="n">
        <v>29</v>
      </c>
      <c r="K13" s="21" t="n">
        <v>64</v>
      </c>
      <c r="L13" s="21" t="n">
        <v>29</v>
      </c>
      <c r="M13" s="21" t="n">
        <v>39</v>
      </c>
    </row>
    <row r="14">
      <c r="A14" s="20" t="inlineStr">
        <is>
          <t>3º JUZGADO CIVIL</t>
        </is>
      </c>
      <c r="B14" s="20" t="inlineStr">
        <is>
          <t>CIVIL - COMERCIAL</t>
        </is>
      </c>
      <c r="C14" s="20" t="inlineStr">
        <is>
          <t>Resto</t>
        </is>
      </c>
      <c r="D14" s="21" t="n">
        <v>42</v>
      </c>
      <c r="E14" s="21" t="n">
        <v>7</v>
      </c>
      <c r="F14" s="21" t="n">
        <v>0</v>
      </c>
      <c r="G14" s="21" t="n">
        <v>8</v>
      </c>
      <c r="H14" s="21" t="n">
        <v>10</v>
      </c>
      <c r="I14" s="21" t="n">
        <v>8</v>
      </c>
      <c r="J14" s="21" t="n">
        <v>6</v>
      </c>
      <c r="K14" s="21" t="n">
        <v>2</v>
      </c>
      <c r="L14" s="21" t="n">
        <v>6</v>
      </c>
      <c r="M14" s="21" t="n">
        <v>8</v>
      </c>
    </row>
    <row r="15">
      <c r="A15" s="20" t="inlineStr">
        <is>
          <t>3º JUZGADO CIVIL</t>
        </is>
      </c>
      <c r="B15" s="20" t="inlineStr">
        <is>
          <t>CIVIL - CONSTITUCIONAL</t>
        </is>
      </c>
      <c r="C15" s="20" t="inlineStr">
        <is>
          <t>Resto</t>
        </is>
      </c>
      <c r="D15" s="21" t="n">
        <v>1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</row>
    <row r="16">
      <c r="A16" s="20" t="inlineStr">
        <is>
          <t>3º JUZGADO CIVIL</t>
        </is>
      </c>
      <c r="B16" s="20" t="inlineStr">
        <is>
          <t>CIVIL - CONTENCIOSO ADMINISTRATIVO</t>
        </is>
      </c>
      <c r="C16" s="20" t="inlineStr">
        <is>
          <t>Resto</t>
        </is>
      </c>
      <c r="D16" s="21" t="n">
        <v>28</v>
      </c>
      <c r="E16" s="21" t="n">
        <v>5</v>
      </c>
      <c r="F16" s="21" t="n">
        <v>0</v>
      </c>
      <c r="G16" s="21" t="n">
        <v>15</v>
      </c>
      <c r="H16" s="21" t="n">
        <v>6</v>
      </c>
      <c r="I16" s="21" t="n">
        <v>0</v>
      </c>
      <c r="J16" s="21" t="n">
        <v>0</v>
      </c>
      <c r="K16" s="21" t="n">
        <v>3</v>
      </c>
      <c r="L16" s="21" t="n">
        <v>2</v>
      </c>
      <c r="M16" s="21" t="n">
        <v>1</v>
      </c>
    </row>
    <row r="17">
      <c r="A17" s="20" t="inlineStr">
        <is>
          <t>4º JUZGADO CIVIL</t>
        </is>
      </c>
      <c r="B17" s="20" t="inlineStr">
        <is>
          <t>CIVIL - CIVIL</t>
        </is>
      </c>
      <c r="C17" s="20" t="inlineStr">
        <is>
          <t>Civil-Civil</t>
        </is>
      </c>
      <c r="D17" s="21" t="n">
        <v>606</v>
      </c>
      <c r="E17" s="21" t="n">
        <v>39</v>
      </c>
      <c r="F17" s="21" t="n">
        <v>20</v>
      </c>
      <c r="G17" s="21" t="n">
        <v>49</v>
      </c>
      <c r="H17" s="21" t="n">
        <v>34</v>
      </c>
      <c r="I17" s="21" t="n">
        <v>35</v>
      </c>
      <c r="J17" s="21" t="n">
        <v>34</v>
      </c>
      <c r="K17" s="21" t="n">
        <v>42</v>
      </c>
      <c r="L17" s="21" t="n">
        <v>49</v>
      </c>
      <c r="M17" s="21" t="n">
        <v>32</v>
      </c>
    </row>
    <row r="18">
      <c r="A18" s="20" t="inlineStr">
        <is>
          <t>4º JUZGADO CIVIL</t>
        </is>
      </c>
      <c r="B18" s="20" t="inlineStr">
        <is>
          <t>CIVIL - COMERCIAL</t>
        </is>
      </c>
      <c r="C18" s="20" t="inlineStr">
        <is>
          <t>Resto</t>
        </is>
      </c>
      <c r="D18" s="21" t="n">
        <v>45</v>
      </c>
      <c r="E18" s="21" t="n">
        <v>16</v>
      </c>
      <c r="F18" s="21" t="n">
        <v>4</v>
      </c>
      <c r="G18" s="21" t="n">
        <v>12</v>
      </c>
      <c r="H18" s="21" t="n">
        <v>17</v>
      </c>
      <c r="I18" s="21" t="n">
        <v>9</v>
      </c>
      <c r="J18" s="21" t="n">
        <v>3</v>
      </c>
      <c r="K18" s="21" t="n">
        <v>14</v>
      </c>
      <c r="L18" s="21" t="n">
        <v>11</v>
      </c>
      <c r="M18" s="21" t="n">
        <v>8</v>
      </c>
    </row>
    <row r="19">
      <c r="A19" s="20" t="inlineStr">
        <is>
          <t>4º JUZGADO CIVIL</t>
        </is>
      </c>
      <c r="B19" s="20" t="inlineStr">
        <is>
          <t>CIVIL - CONSTITUCIONAL</t>
        </is>
      </c>
      <c r="C19" s="20" t="inlineStr">
        <is>
          <t>Resto</t>
        </is>
      </c>
      <c r="D19" s="21" t="n">
        <v>2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</row>
    <row r="20">
      <c r="A20" s="20" t="inlineStr">
        <is>
          <t>4º JUZGADO CIVIL</t>
        </is>
      </c>
      <c r="B20" s="20" t="inlineStr">
        <is>
          <t>CIVIL - CONTENCIOSO ADMINISTRATIVO</t>
        </is>
      </c>
      <c r="C20" s="20" t="inlineStr">
        <is>
          <t>Resto</t>
        </is>
      </c>
      <c r="D20" s="21" t="n">
        <v>23</v>
      </c>
      <c r="E20" s="21" t="n">
        <v>3</v>
      </c>
      <c r="F20" s="21" t="n">
        <v>0</v>
      </c>
      <c r="G20" s="21" t="n">
        <v>3</v>
      </c>
      <c r="H20" s="21" t="n">
        <v>4</v>
      </c>
      <c r="I20" s="21" t="n">
        <v>1</v>
      </c>
      <c r="J20" s="21" t="n">
        <v>5</v>
      </c>
      <c r="K20" s="21" t="n">
        <v>7</v>
      </c>
      <c r="L20" s="21" t="n">
        <v>8</v>
      </c>
      <c r="M20" s="21" t="n">
        <v>3</v>
      </c>
    </row>
    <row r="21">
      <c r="A21" s="20" t="inlineStr">
        <is>
          <t>5º JUZGADO CIVIL</t>
        </is>
      </c>
      <c r="B21" s="20" t="inlineStr">
        <is>
          <t>CIVIL - CIVIL</t>
        </is>
      </c>
      <c r="C21" s="20" t="inlineStr">
        <is>
          <t>Civil-Civil</t>
        </is>
      </c>
      <c r="D21" s="21" t="n">
        <v>585</v>
      </c>
      <c r="E21" s="21" t="n">
        <v>43</v>
      </c>
      <c r="F21" s="21" t="n">
        <v>0</v>
      </c>
      <c r="G21" s="21" t="n">
        <v>54</v>
      </c>
      <c r="H21" s="21" t="n">
        <v>45</v>
      </c>
      <c r="I21" s="21" t="n">
        <v>58</v>
      </c>
      <c r="J21" s="21" t="n">
        <v>46</v>
      </c>
      <c r="K21" s="21" t="n">
        <v>52</v>
      </c>
      <c r="L21" s="21" t="n">
        <v>36</v>
      </c>
      <c r="M21" s="21" t="n">
        <v>24</v>
      </c>
    </row>
    <row r="22">
      <c r="A22" s="20" t="inlineStr">
        <is>
          <t>5º JUZGADO CIVIL</t>
        </is>
      </c>
      <c r="B22" s="20" t="inlineStr">
        <is>
          <t>LABORAL - LABORAL</t>
        </is>
      </c>
      <c r="C22" s="20" t="inlineStr">
        <is>
          <t>Resto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1</v>
      </c>
    </row>
    <row r="23">
      <c r="A23" s="20" t="inlineStr">
        <is>
          <t>5º JUZGADO CIVIL</t>
        </is>
      </c>
      <c r="B23" s="20" t="inlineStr">
        <is>
          <t>CIVIL - COMERCIAL</t>
        </is>
      </c>
      <c r="C23" s="20" t="inlineStr">
        <is>
          <t>Resto</t>
        </is>
      </c>
      <c r="D23" s="21" t="n">
        <v>46</v>
      </c>
      <c r="E23" s="21" t="n">
        <v>4</v>
      </c>
      <c r="F23" s="21" t="n">
        <v>0</v>
      </c>
      <c r="G23" s="21" t="n">
        <v>11</v>
      </c>
      <c r="H23" s="21" t="n">
        <v>12</v>
      </c>
      <c r="I23" s="21" t="n">
        <v>14</v>
      </c>
      <c r="J23" s="21" t="n">
        <v>11</v>
      </c>
      <c r="K23" s="21" t="n">
        <v>9</v>
      </c>
      <c r="L23" s="21" t="n">
        <v>12</v>
      </c>
      <c r="M23" s="21" t="n">
        <v>7</v>
      </c>
    </row>
    <row r="24">
      <c r="A24" s="20" t="inlineStr">
        <is>
          <t>5º JUZGADO CIVIL</t>
        </is>
      </c>
      <c r="B24" s="20" t="inlineStr">
        <is>
          <t>CIVIL - CONSTITUCIONAL</t>
        </is>
      </c>
      <c r="C24" s="20" t="inlineStr">
        <is>
          <t>Resto</t>
        </is>
      </c>
      <c r="D24" s="21" t="n">
        <v>3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1</v>
      </c>
    </row>
    <row r="25">
      <c r="A25" s="20" t="inlineStr">
        <is>
          <t>5º JUZGADO CIVIL</t>
        </is>
      </c>
      <c r="B25" s="20" t="inlineStr">
        <is>
          <t>CIVIL - CONTENCIOSO ADMINISTRATIVO</t>
        </is>
      </c>
      <c r="C25" s="20" t="inlineStr">
        <is>
          <t>Resto</t>
        </is>
      </c>
      <c r="D25" s="21" t="n">
        <v>33</v>
      </c>
      <c r="E25" s="21" t="n">
        <v>2</v>
      </c>
      <c r="F25" s="21" t="n">
        <v>0</v>
      </c>
      <c r="G25" s="21" t="n">
        <v>5</v>
      </c>
      <c r="H25" s="21" t="n">
        <v>6</v>
      </c>
      <c r="I25" s="21" t="n">
        <v>3</v>
      </c>
      <c r="J25" s="21" t="n">
        <v>5</v>
      </c>
      <c r="K25" s="21" t="n">
        <v>2</v>
      </c>
      <c r="L25" s="21" t="n">
        <v>9</v>
      </c>
      <c r="M25" s="21" t="n">
        <v>3</v>
      </c>
    </row>
    <row r="26">
      <c r="A26" s="20" t="inlineStr">
        <is>
          <t>6º JUZGADO CIVIL</t>
        </is>
      </c>
      <c r="B26" s="20" t="inlineStr">
        <is>
          <t>CIVIL - CIVIL</t>
        </is>
      </c>
      <c r="C26" s="20" t="inlineStr">
        <is>
          <t>Civil-Civil</t>
        </is>
      </c>
      <c r="D26" s="21" t="n">
        <v>577</v>
      </c>
      <c r="E26" s="21" t="n">
        <v>40</v>
      </c>
      <c r="F26" s="21" t="n">
        <v>1</v>
      </c>
      <c r="G26" s="21" t="n">
        <v>45</v>
      </c>
      <c r="H26" s="21" t="n">
        <v>44</v>
      </c>
      <c r="I26" s="21" t="n">
        <v>48</v>
      </c>
      <c r="J26" s="21" t="n">
        <v>39</v>
      </c>
      <c r="K26" s="21" t="n">
        <v>43</v>
      </c>
      <c r="L26" s="21" t="n">
        <v>43</v>
      </c>
      <c r="M26" s="21" t="n">
        <v>37</v>
      </c>
    </row>
    <row r="27">
      <c r="A27" s="20" t="inlineStr">
        <is>
          <t>6º JUZGADO CIVIL</t>
        </is>
      </c>
      <c r="B27" s="20" t="inlineStr">
        <is>
          <t>LABORAL - LABORAL</t>
        </is>
      </c>
      <c r="C27" s="20" t="inlineStr">
        <is>
          <t>Resto</t>
        </is>
      </c>
      <c r="D27" s="21" t="n">
        <v>1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</row>
    <row r="28">
      <c r="A28" s="20" t="inlineStr">
        <is>
          <t>6º JUZGADO CIVIL</t>
        </is>
      </c>
      <c r="B28" s="20" t="inlineStr">
        <is>
          <t>CIVIL - COMERCIAL</t>
        </is>
      </c>
      <c r="C28" s="20" t="inlineStr">
        <is>
          <t>Resto</t>
        </is>
      </c>
      <c r="D28" s="21" t="n">
        <v>24</v>
      </c>
      <c r="E28" s="21" t="n">
        <v>8</v>
      </c>
      <c r="F28" s="21" t="n">
        <v>0</v>
      </c>
      <c r="G28" s="21" t="n">
        <v>17</v>
      </c>
      <c r="H28" s="21" t="n">
        <v>13</v>
      </c>
      <c r="I28" s="21" t="n">
        <v>8</v>
      </c>
      <c r="J28" s="21" t="n">
        <v>8</v>
      </c>
      <c r="K28" s="21" t="n">
        <v>7</v>
      </c>
      <c r="L28" s="21" t="n">
        <v>6</v>
      </c>
      <c r="M28" s="21" t="n">
        <v>14</v>
      </c>
    </row>
    <row r="29">
      <c r="A29" s="20" t="inlineStr">
        <is>
          <t>6º JUZGADO CIVIL</t>
        </is>
      </c>
      <c r="B29" s="20" t="inlineStr">
        <is>
          <t>CIVIL - CONTENCIOSO ADMINISTRATIVO</t>
        </is>
      </c>
      <c r="C29" s="20" t="inlineStr">
        <is>
          <t>Resto</t>
        </is>
      </c>
      <c r="D29" s="21" t="n">
        <v>40</v>
      </c>
      <c r="E29" s="21" t="n">
        <v>3</v>
      </c>
      <c r="F29" s="21" t="n">
        <v>0</v>
      </c>
      <c r="G29" s="21" t="n">
        <v>5</v>
      </c>
      <c r="H29" s="21" t="n">
        <v>6</v>
      </c>
      <c r="I29" s="21" t="n">
        <v>3</v>
      </c>
      <c r="J29" s="21" t="n">
        <v>6</v>
      </c>
      <c r="K29" s="21" t="n">
        <v>3</v>
      </c>
      <c r="L29" s="21" t="n">
        <v>2</v>
      </c>
      <c r="M29" s="21" t="n">
        <v>2</v>
      </c>
    </row>
    <row r="30">
      <c r="A30" s="20" t="inlineStr">
        <is>
          <t>7º JUZGADO CIVIL</t>
        </is>
      </c>
      <c r="B30" s="20" t="inlineStr">
        <is>
          <t>CIVIL - CIVIL</t>
        </is>
      </c>
      <c r="C30" s="20" t="inlineStr">
        <is>
          <t>Civil-Civil</t>
        </is>
      </c>
      <c r="D30" s="21" t="n">
        <v>470</v>
      </c>
      <c r="E30" s="21" t="n">
        <v>43</v>
      </c>
      <c r="F30" s="21" t="n">
        <v>2</v>
      </c>
      <c r="G30" s="21" t="n">
        <v>53</v>
      </c>
      <c r="H30" s="21" t="n">
        <v>47</v>
      </c>
      <c r="I30" s="21" t="n">
        <v>44</v>
      </c>
      <c r="J30" s="21" t="n">
        <v>46</v>
      </c>
      <c r="K30" s="21" t="n">
        <v>49</v>
      </c>
      <c r="L30" s="21" t="n">
        <v>33</v>
      </c>
      <c r="M30" s="21" t="n">
        <v>28</v>
      </c>
    </row>
    <row r="31">
      <c r="A31" s="20" t="inlineStr">
        <is>
          <t>7º JUZGADO CIVIL</t>
        </is>
      </c>
      <c r="B31" s="20" t="inlineStr">
        <is>
          <t>CIVIL - COMERCIAL</t>
        </is>
      </c>
      <c r="C31" s="20" t="inlineStr">
        <is>
          <t>Resto</t>
        </is>
      </c>
      <c r="D31" s="21" t="n">
        <v>31</v>
      </c>
      <c r="E31" s="21" t="n">
        <v>6</v>
      </c>
      <c r="F31" s="21" t="n">
        <v>0</v>
      </c>
      <c r="G31" s="21" t="n">
        <v>11</v>
      </c>
      <c r="H31" s="21" t="n">
        <v>16</v>
      </c>
      <c r="I31" s="21" t="n">
        <v>10</v>
      </c>
      <c r="J31" s="21" t="n">
        <v>4</v>
      </c>
      <c r="K31" s="21" t="n">
        <v>8</v>
      </c>
      <c r="L31" s="21" t="n">
        <v>6</v>
      </c>
      <c r="M31" s="21" t="n">
        <v>10</v>
      </c>
    </row>
    <row r="32">
      <c r="A32" s="20" t="inlineStr">
        <is>
          <t>7º JUZGADO CIVIL</t>
        </is>
      </c>
      <c r="B32" s="20" t="inlineStr">
        <is>
          <t>CIVIL - CONTENCIOSO ADMINISTRATIVO</t>
        </is>
      </c>
      <c r="C32" s="20" t="inlineStr">
        <is>
          <t>Resto</t>
        </is>
      </c>
      <c r="D32" s="21" t="n">
        <v>29</v>
      </c>
      <c r="E32" s="21" t="n">
        <v>4</v>
      </c>
      <c r="F32" s="21" t="n">
        <v>0</v>
      </c>
      <c r="G32" s="21" t="n">
        <v>2</v>
      </c>
      <c r="H32" s="21" t="n">
        <v>4</v>
      </c>
      <c r="I32" s="21" t="n">
        <v>3</v>
      </c>
      <c r="J32" s="21" t="n">
        <v>5</v>
      </c>
      <c r="K32" s="21" t="n">
        <v>3</v>
      </c>
      <c r="L32" s="21" t="n">
        <v>3</v>
      </c>
      <c r="M32" s="21" t="n">
        <v>5</v>
      </c>
    </row>
    <row r="33">
      <c r="A33" s="20" t="inlineStr">
        <is>
          <t>8º JUZGADO CIVIL</t>
        </is>
      </c>
      <c r="B33" s="20" t="inlineStr">
        <is>
          <t>CIVIL - CIVIL</t>
        </is>
      </c>
      <c r="C33" s="20" t="inlineStr">
        <is>
          <t>Civil-Civil</t>
        </is>
      </c>
      <c r="D33" s="21" t="n">
        <v>519</v>
      </c>
      <c r="E33" s="21" t="n">
        <v>43</v>
      </c>
      <c r="F33" s="21" t="n">
        <v>1</v>
      </c>
      <c r="G33" s="21" t="n">
        <v>33</v>
      </c>
      <c r="H33" s="21" t="n">
        <v>40</v>
      </c>
      <c r="I33" s="21" t="n">
        <v>46</v>
      </c>
      <c r="J33" s="21" t="n">
        <v>43</v>
      </c>
      <c r="K33" s="21" t="n">
        <v>28</v>
      </c>
      <c r="L33" s="21" t="n">
        <v>38</v>
      </c>
      <c r="M33" s="21" t="n">
        <v>46</v>
      </c>
    </row>
    <row r="34">
      <c r="A34" s="20" t="inlineStr">
        <is>
          <t>8º JUZGADO CIVIL</t>
        </is>
      </c>
      <c r="B34" s="20" t="inlineStr">
        <is>
          <t>CIVIL - COMERCIAL</t>
        </is>
      </c>
      <c r="C34" s="20" t="inlineStr">
        <is>
          <t>Resto</t>
        </is>
      </c>
      <c r="D34" s="21" t="n">
        <v>49</v>
      </c>
      <c r="E34" s="21" t="n">
        <v>5</v>
      </c>
      <c r="F34" s="21" t="n">
        <v>0</v>
      </c>
      <c r="G34" s="21" t="n">
        <v>16</v>
      </c>
      <c r="H34" s="21" t="n">
        <v>3</v>
      </c>
      <c r="I34" s="21" t="n">
        <v>14</v>
      </c>
      <c r="J34" s="21" t="n">
        <v>18</v>
      </c>
      <c r="K34" s="21" t="n">
        <v>2</v>
      </c>
      <c r="L34" s="21" t="n">
        <v>4</v>
      </c>
      <c r="M34" s="21" t="n">
        <v>17</v>
      </c>
    </row>
    <row r="35">
      <c r="A35" s="20" t="inlineStr">
        <is>
          <t>8º JUZGADO CIVIL</t>
        </is>
      </c>
      <c r="B35" s="20" t="inlineStr">
        <is>
          <t>CIVIL - CONTENCIOSO ADMINISTRATIVO</t>
        </is>
      </c>
      <c r="C35" s="20" t="inlineStr">
        <is>
          <t>Resto</t>
        </is>
      </c>
      <c r="D35" s="21" t="n">
        <v>32</v>
      </c>
      <c r="E35" s="21" t="n">
        <v>3</v>
      </c>
      <c r="F35" s="21" t="n">
        <v>0</v>
      </c>
      <c r="G35" s="21" t="n">
        <v>6</v>
      </c>
      <c r="H35" s="21" t="n">
        <v>7</v>
      </c>
      <c r="I35" s="21" t="n">
        <v>0</v>
      </c>
      <c r="J35" s="21" t="n">
        <v>8</v>
      </c>
      <c r="K35" s="21" t="n">
        <v>2</v>
      </c>
      <c r="L35" s="21" t="n">
        <v>3</v>
      </c>
      <c r="M35" s="21" t="n">
        <v>6</v>
      </c>
    </row>
    <row r="36">
      <c r="A36" s="20" t="inlineStr">
        <is>
          <t>9º JUZGADO CIVIL</t>
        </is>
      </c>
      <c r="B36" s="20" t="inlineStr">
        <is>
          <t>CIVIL - CIVIL</t>
        </is>
      </c>
      <c r="C36" s="20" t="inlineStr">
        <is>
          <t>Civil-Civil</t>
        </is>
      </c>
      <c r="D36" s="21" t="n">
        <v>497</v>
      </c>
      <c r="E36" s="21" t="n">
        <v>34</v>
      </c>
      <c r="F36" s="21" t="n">
        <v>0</v>
      </c>
      <c r="G36" s="21" t="n">
        <v>26</v>
      </c>
      <c r="H36" s="21" t="n">
        <v>42</v>
      </c>
      <c r="I36" s="21" t="n">
        <v>47</v>
      </c>
      <c r="J36" s="21" t="n">
        <v>35</v>
      </c>
      <c r="K36" s="21" t="n">
        <v>48</v>
      </c>
      <c r="L36" s="21" t="n">
        <v>62</v>
      </c>
      <c r="M36" s="21" t="n">
        <v>58</v>
      </c>
    </row>
    <row r="37">
      <c r="A37" s="20" t="inlineStr">
        <is>
          <t>9º JUZGADO CIVIL</t>
        </is>
      </c>
      <c r="B37" s="20" t="inlineStr">
        <is>
          <t>CIVIL - COMERCIAL</t>
        </is>
      </c>
      <c r="C37" s="20" t="inlineStr">
        <is>
          <t>Resto</t>
        </is>
      </c>
      <c r="D37" s="21" t="n">
        <v>51</v>
      </c>
      <c r="E37" s="21" t="n">
        <v>5</v>
      </c>
      <c r="F37" s="21" t="n">
        <v>0</v>
      </c>
      <c r="G37" s="21" t="n">
        <v>9</v>
      </c>
      <c r="H37" s="21" t="n">
        <v>12</v>
      </c>
      <c r="I37" s="21" t="n">
        <v>6</v>
      </c>
      <c r="J37" s="21" t="n">
        <v>10</v>
      </c>
      <c r="K37" s="21" t="n">
        <v>4</v>
      </c>
      <c r="L37" s="21" t="n">
        <v>14</v>
      </c>
      <c r="M37" s="21" t="n">
        <v>5</v>
      </c>
    </row>
    <row r="38">
      <c r="A38" s="20" t="inlineStr">
        <is>
          <t>9º JUZGADO CIVIL</t>
        </is>
      </c>
      <c r="B38" s="20" t="inlineStr">
        <is>
          <t>CIVIL - CONTENCIOSO ADMINISTRATIVO</t>
        </is>
      </c>
      <c r="C38" s="20" t="inlineStr">
        <is>
          <t>Resto</t>
        </is>
      </c>
      <c r="D38" s="21" t="n">
        <v>34</v>
      </c>
      <c r="E38" s="21" t="n">
        <v>5</v>
      </c>
      <c r="F38" s="21" t="n">
        <v>0</v>
      </c>
      <c r="G38" s="21" t="n">
        <v>1</v>
      </c>
      <c r="H38" s="21" t="n">
        <v>1</v>
      </c>
      <c r="I38" s="21" t="n">
        <v>3</v>
      </c>
      <c r="J38" s="21" t="n">
        <v>4</v>
      </c>
      <c r="K38" s="21" t="n">
        <v>1</v>
      </c>
      <c r="L38" s="21" t="n">
        <v>6</v>
      </c>
      <c r="M38" s="21" t="n">
        <v>0</v>
      </c>
    </row>
    <row r="39">
      <c r="A39" s="20" t="inlineStr">
        <is>
          <t>9º JUZGADO CIVIL</t>
        </is>
      </c>
      <c r="B39" s="20" t="inlineStr">
        <is>
          <t>LABORAL - CONTENCIOSO ADMINISTRATIVO</t>
        </is>
      </c>
      <c r="C39" s="20" t="inlineStr">
        <is>
          <t>Resto</t>
        </is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1</v>
      </c>
      <c r="M39" s="21" t="n">
        <v>0</v>
      </c>
    </row>
    <row r="40">
      <c r="A40" s="20" t="inlineStr">
        <is>
          <t>10º JUZGADO CIVIL</t>
        </is>
      </c>
      <c r="B40" s="20" t="inlineStr">
        <is>
          <t>CIVIL - CIVIL</t>
        </is>
      </c>
      <c r="C40" s="20" t="inlineStr">
        <is>
          <t>Civil-Civil</t>
        </is>
      </c>
      <c r="D40" s="21" t="n">
        <v>444</v>
      </c>
      <c r="E40" s="21" t="n">
        <v>36</v>
      </c>
      <c r="F40" s="21" t="n">
        <v>0</v>
      </c>
      <c r="G40" s="21" t="n">
        <v>45</v>
      </c>
      <c r="H40" s="21" t="n">
        <v>52</v>
      </c>
      <c r="I40" s="21" t="n">
        <v>45</v>
      </c>
      <c r="J40" s="21" t="n">
        <v>54</v>
      </c>
      <c r="K40" s="21" t="n">
        <v>40</v>
      </c>
      <c r="L40" s="21" t="n">
        <v>44</v>
      </c>
      <c r="M40" s="21" t="n">
        <v>62</v>
      </c>
    </row>
    <row r="41">
      <c r="A41" s="20" t="inlineStr">
        <is>
          <t>10º JUZGADO CIVIL</t>
        </is>
      </c>
      <c r="B41" s="20" t="inlineStr">
        <is>
          <t>CIVIL - COMERCIAL</t>
        </is>
      </c>
      <c r="C41" s="20" t="inlineStr">
        <is>
          <t>Resto</t>
        </is>
      </c>
      <c r="D41" s="21" t="n">
        <v>35</v>
      </c>
      <c r="E41" s="21" t="n">
        <v>3</v>
      </c>
      <c r="F41" s="21" t="n">
        <v>0</v>
      </c>
      <c r="G41" s="21" t="n">
        <v>21</v>
      </c>
      <c r="H41" s="21" t="n">
        <v>10</v>
      </c>
      <c r="I41" s="21" t="n">
        <v>11</v>
      </c>
      <c r="J41" s="21" t="n">
        <v>7</v>
      </c>
      <c r="K41" s="21" t="n">
        <v>6</v>
      </c>
      <c r="L41" s="21" t="n">
        <v>8</v>
      </c>
      <c r="M41" s="21" t="n">
        <v>2</v>
      </c>
    </row>
    <row r="42">
      <c r="A42" s="20" t="inlineStr">
        <is>
          <t>10º JUZGADO CIVIL</t>
        </is>
      </c>
      <c r="B42" s="20" t="inlineStr">
        <is>
          <t>CIVIL - CONSTITUCIONAL</t>
        </is>
      </c>
      <c r="C42" s="20" t="inlineStr">
        <is>
          <t>Resto</t>
        </is>
      </c>
      <c r="D42" s="21" t="n">
        <v>1</v>
      </c>
      <c r="E42" s="21" t="n">
        <v>1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</row>
    <row r="43">
      <c r="A43" s="20" t="inlineStr">
        <is>
          <t>10º JUZGADO CIVIL</t>
        </is>
      </c>
      <c r="B43" s="20" t="inlineStr">
        <is>
          <t>CIVIL - CONTENCIOSO ADMINISTRATIVO</t>
        </is>
      </c>
      <c r="C43" s="20" t="inlineStr">
        <is>
          <t>Resto</t>
        </is>
      </c>
      <c r="D43" s="21" t="n">
        <v>38</v>
      </c>
      <c r="E43" s="21" t="n">
        <v>6</v>
      </c>
      <c r="F43" s="21" t="n">
        <v>0</v>
      </c>
      <c r="G43" s="21" t="n">
        <v>3</v>
      </c>
      <c r="H43" s="21" t="n">
        <v>7</v>
      </c>
      <c r="I43" s="21" t="n">
        <v>5</v>
      </c>
      <c r="J43" s="21" t="n">
        <v>4</v>
      </c>
      <c r="K43" s="21" t="n">
        <v>2</v>
      </c>
      <c r="L43" s="21" t="n">
        <v>4</v>
      </c>
      <c r="M43" s="21" t="n">
        <v>5</v>
      </c>
    </row>
    <row r="44">
      <c r="A44" s="20" t="inlineStr">
        <is>
          <t>11° JUZGADO CIVIL</t>
        </is>
      </c>
      <c r="B44" s="20" t="inlineStr">
        <is>
          <t>CIVIL - CIVIL</t>
        </is>
      </c>
      <c r="C44" s="20" t="inlineStr">
        <is>
          <t>Civil-Civil</t>
        </is>
      </c>
      <c r="D44" s="21" t="n">
        <v>105</v>
      </c>
      <c r="E44" s="21" t="n">
        <v>17</v>
      </c>
      <c r="F44" s="21" t="n">
        <v>5</v>
      </c>
      <c r="G44" s="21" t="n">
        <v>15</v>
      </c>
      <c r="H44" s="21" t="n">
        <v>5</v>
      </c>
      <c r="I44" s="21" t="n">
        <v>3</v>
      </c>
      <c r="J44" s="21" t="n">
        <v>4</v>
      </c>
      <c r="K44" s="21" t="n">
        <v>6</v>
      </c>
      <c r="L44" s="21" t="n">
        <v>7</v>
      </c>
      <c r="M44" s="21" t="n">
        <v>4</v>
      </c>
    </row>
    <row r="45">
      <c r="A45" s="20" t="inlineStr">
        <is>
          <t>11° JUZGADO CIVIL</t>
        </is>
      </c>
      <c r="B45" s="20" t="inlineStr">
        <is>
          <t>CIVIL - COMERCIAL</t>
        </is>
      </c>
      <c r="C45" s="20" t="inlineStr">
        <is>
          <t>Resto</t>
        </is>
      </c>
      <c r="D45" s="21" t="n">
        <v>2</v>
      </c>
      <c r="E45" s="21" t="n">
        <v>4</v>
      </c>
      <c r="F45" s="21" t="n">
        <v>0</v>
      </c>
      <c r="G45" s="21" t="n">
        <v>2</v>
      </c>
      <c r="H45" s="21" t="n">
        <v>3</v>
      </c>
      <c r="I45" s="21" t="n">
        <v>2</v>
      </c>
      <c r="J45" s="21" t="n">
        <v>0</v>
      </c>
      <c r="K45" s="21" t="n">
        <v>0</v>
      </c>
      <c r="L45" s="21" t="n">
        <v>1</v>
      </c>
      <c r="M45" s="21" t="n">
        <v>0</v>
      </c>
    </row>
    <row r="46">
      <c r="A46" s="20" t="inlineStr">
        <is>
          <t>11° JUZGADO CIVIL</t>
        </is>
      </c>
      <c r="B46" s="20" t="inlineStr">
        <is>
          <t>CIVIL - CONTENCIOSO ADMINISTRATIVO</t>
        </is>
      </c>
      <c r="C46" s="20" t="inlineStr">
        <is>
          <t>Resto</t>
        </is>
      </c>
      <c r="D46" s="21" t="n">
        <v>3</v>
      </c>
      <c r="E46" s="21" t="n">
        <v>0</v>
      </c>
      <c r="F46" s="21" t="n">
        <v>0</v>
      </c>
      <c r="G46" s="21" t="n">
        <v>0</v>
      </c>
      <c r="H46" s="21" t="n">
        <v>2</v>
      </c>
      <c r="I46" s="21" t="n">
        <v>0</v>
      </c>
      <c r="J46" s="21" t="n">
        <v>1</v>
      </c>
      <c r="K46" s="21" t="n">
        <v>0</v>
      </c>
      <c r="L46" s="21" t="n">
        <v>0</v>
      </c>
      <c r="M46" s="21" t="n">
        <v>0</v>
      </c>
    </row>
    <row r="47">
      <c r="A47" s="20" t="inlineStr">
        <is>
          <t>1° JUZGADO CIVIL TRANSITORIO</t>
        </is>
      </c>
      <c r="B47" s="20" t="inlineStr">
        <is>
          <t>CIVIL - CIVIL</t>
        </is>
      </c>
      <c r="C47" s="20" t="inlineStr">
        <is>
          <t>Civil-Civil</t>
        </is>
      </c>
      <c r="D47" s="21" t="n">
        <v>17</v>
      </c>
      <c r="E47" s="21" t="n">
        <v>13</v>
      </c>
      <c r="F47" s="21" t="n">
        <v>0</v>
      </c>
      <c r="G47" s="21" t="n">
        <v>4</v>
      </c>
      <c r="H47" s="21" t="n">
        <v>5</v>
      </c>
      <c r="I47" s="21" t="n">
        <v>2</v>
      </c>
      <c r="J47" s="21" t="n">
        <v>0</v>
      </c>
      <c r="K47" s="21" t="n">
        <v>4</v>
      </c>
      <c r="L47" s="21" t="n">
        <v>2</v>
      </c>
      <c r="M47" s="21" t="n">
        <v>1</v>
      </c>
    </row>
    <row r="48">
      <c r="A48" s="20" t="inlineStr">
        <is>
          <t>1° JUZGADO CIVIL TRANSITORIO</t>
        </is>
      </c>
      <c r="B48" s="20" t="inlineStr">
        <is>
          <t>CIVIL - COMERCIAL</t>
        </is>
      </c>
      <c r="C48" s="20" t="inlineStr">
        <is>
          <t>Resto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2</v>
      </c>
      <c r="I48" s="21" t="n">
        <v>0</v>
      </c>
      <c r="J48" s="21" t="n">
        <v>0</v>
      </c>
      <c r="K48" s="21" t="n">
        <v>3</v>
      </c>
      <c r="L48" s="21" t="n">
        <v>0</v>
      </c>
      <c r="M48" s="21" t="n">
        <v>0</v>
      </c>
    </row>
    <row r="49">
      <c r="A49" s="20" t="inlineStr">
        <is>
          <t>1° JUZGADO CIVIL TRANSITORIO</t>
        </is>
      </c>
      <c r="B49" s="20" t="inlineStr">
        <is>
          <t>LABORAL - CONTENCIOSO ADMINISTRATIVO</t>
        </is>
      </c>
      <c r="C49" s="20" t="inlineStr">
        <is>
          <t>Resto</t>
        </is>
      </c>
      <c r="D49" s="21" t="n">
        <v>1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</row>
    <row r="50">
      <c r="A50" s="20" t="inlineStr">
        <is>
          <t>2° JUZGADO CIVIL TRANSITORIO</t>
        </is>
      </c>
      <c r="B50" s="20" t="inlineStr">
        <is>
          <t>CIVIL - CIVIL</t>
        </is>
      </c>
      <c r="C50" s="20" t="inlineStr">
        <is>
          <t>Civil-Civil</t>
        </is>
      </c>
      <c r="D50" s="21" t="n">
        <v>430</v>
      </c>
      <c r="E50" s="21" t="n">
        <v>2</v>
      </c>
      <c r="F50" s="21" t="n">
        <v>0</v>
      </c>
      <c r="G50" s="21" t="n">
        <v>229</v>
      </c>
      <c r="H50" s="21" t="n">
        <v>208</v>
      </c>
      <c r="I50" s="21" t="n">
        <v>10</v>
      </c>
      <c r="J50" s="21" t="n">
        <v>14</v>
      </c>
      <c r="K50" s="21" t="n">
        <v>11</v>
      </c>
      <c r="L50" s="21" t="n">
        <v>4</v>
      </c>
      <c r="M50" s="21" t="n">
        <v>6</v>
      </c>
    </row>
    <row r="51">
      <c r="A51" s="20" t="inlineStr">
        <is>
          <t>2° JUZGADO CIVIL TRANSITORIO</t>
        </is>
      </c>
      <c r="B51" s="20" t="inlineStr">
        <is>
          <t>CIVIL - COMERCIAL</t>
        </is>
      </c>
      <c r="C51" s="20" t="inlineStr">
        <is>
          <t>Resto</t>
        </is>
      </c>
      <c r="D51" s="21" t="n">
        <v>2</v>
      </c>
      <c r="E51" s="21" t="n">
        <v>0</v>
      </c>
      <c r="F51" s="21" t="n">
        <v>0</v>
      </c>
      <c r="G51" s="21" t="n">
        <v>0</v>
      </c>
      <c r="H51" s="21" t="n">
        <v>1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</row>
    <row r="52">
      <c r="A52" s="20" t="inlineStr">
        <is>
          <t>2° JUZGADO CIVIL TRANSITORIO</t>
        </is>
      </c>
      <c r="B52" s="20" t="inlineStr">
        <is>
          <t>CIVIL - CONSTITUCIONAL</t>
        </is>
      </c>
      <c r="C52" s="20" t="inlineStr">
        <is>
          <t>Resto</t>
        </is>
      </c>
      <c r="D52" s="21" t="n">
        <v>2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1</v>
      </c>
    </row>
    <row r="53">
      <c r="A53" s="20" t="inlineStr">
        <is>
          <t>2° JUZGADO CIVIL TRANSITORIO</t>
        </is>
      </c>
      <c r="B53" s="20" t="inlineStr">
        <is>
          <t>CIVIL - CONTENCIOSO ADMINISTRATIVO</t>
        </is>
      </c>
      <c r="C53" s="20" t="inlineStr">
        <is>
          <t>Resto</t>
        </is>
      </c>
      <c r="D53" s="21" t="n">
        <v>56</v>
      </c>
      <c r="E53" s="21" t="n">
        <v>0</v>
      </c>
      <c r="F53" s="21" t="n">
        <v>0</v>
      </c>
      <c r="G53" s="21" t="n">
        <v>1</v>
      </c>
      <c r="H53" s="21" t="n">
        <v>2</v>
      </c>
      <c r="I53" s="21" t="n">
        <v>2</v>
      </c>
      <c r="J53" s="21" t="n">
        <v>0</v>
      </c>
      <c r="K53" s="21" t="n">
        <v>0</v>
      </c>
      <c r="L53" s="21" t="n">
        <v>0</v>
      </c>
      <c r="M53" s="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RESUELTOS – TRÁMITE (SIJ 2026)</t>
        </is>
      </c>
    </row>
    <row r="2">
      <c r="A2" s="2" t="inlineStr">
        <is>
          <t>Fuente: Resueltos_Tramite_ene-set_2026_JEC_CI.xlsx</t>
        </is>
      </c>
    </row>
    <row r="3" ht="55" customHeight="1">
      <c r="A3" s="3" t="inlineStr">
        <is>
          <t>Juzgado</t>
        </is>
      </c>
      <c r="B3" s="3" t="inlineStr">
        <is>
          <t>Subespecialidad</t>
        </is>
      </c>
      <c r="C3" s="3" t="inlineStr">
        <is>
          <t>Ene</t>
        </is>
      </c>
      <c r="D3" s="3" t="inlineStr">
        <is>
          <t>Feb</t>
        </is>
      </c>
      <c r="E3" s="3" t="inlineStr">
        <is>
          <t>Mar</t>
        </is>
      </c>
      <c r="F3" s="3" t="inlineStr">
        <is>
          <t>Abr</t>
        </is>
      </c>
      <c r="G3" s="3" t="inlineStr">
        <is>
          <t>May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Ago</t>
        </is>
      </c>
      <c r="K3" s="3" t="inlineStr">
        <is>
          <t>Set</t>
        </is>
      </c>
    </row>
    <row r="4">
      <c r="A4" s="20" t="inlineStr">
        <is>
          <t>1º JUZGADO CIVIL</t>
        </is>
      </c>
      <c r="B4" s="20" t="inlineStr">
        <is>
          <t>CIVIL - CIVIL</t>
        </is>
      </c>
      <c r="C4" s="21" t="n">
        <v>47</v>
      </c>
      <c r="D4" s="21" t="n">
        <v>0</v>
      </c>
      <c r="E4" s="21" t="n">
        <v>43</v>
      </c>
      <c r="F4" s="21" t="n">
        <v>43</v>
      </c>
      <c r="G4" s="21" t="n">
        <v>45</v>
      </c>
      <c r="H4" s="21" t="n">
        <v>43</v>
      </c>
      <c r="I4" s="21" t="n">
        <v>48</v>
      </c>
      <c r="J4" s="21" t="n">
        <v>47</v>
      </c>
      <c r="K4" s="21" t="n">
        <v>50</v>
      </c>
    </row>
    <row r="5">
      <c r="A5" s="20" t="inlineStr">
        <is>
          <t>1º JUZGADO CIVIL</t>
        </is>
      </c>
      <c r="B5" s="20" t="inlineStr">
        <is>
          <t>CIVIL - COMERCIAL</t>
        </is>
      </c>
      <c r="C5" s="21" t="n">
        <v>18</v>
      </c>
      <c r="D5" s="21" t="n">
        <v>0</v>
      </c>
      <c r="E5" s="21" t="n">
        <v>17</v>
      </c>
      <c r="F5" s="21" t="n">
        <v>14</v>
      </c>
      <c r="G5" s="21" t="n">
        <v>9</v>
      </c>
      <c r="H5" s="21" t="n">
        <v>14</v>
      </c>
      <c r="I5" s="21" t="n">
        <v>7</v>
      </c>
      <c r="J5" s="21" t="n">
        <v>5</v>
      </c>
      <c r="K5" s="21" t="n">
        <v>7</v>
      </c>
    </row>
    <row r="6">
      <c r="A6" s="20" t="inlineStr">
        <is>
          <t>1º JUZGADO CIVIL</t>
        </is>
      </c>
      <c r="B6" s="20" t="inlineStr">
        <is>
          <t>FAMILIA - FAMILIA CIVIL</t>
        </is>
      </c>
      <c r="C6" s="21" t="n">
        <v>0</v>
      </c>
      <c r="D6" s="21" t="n">
        <v>0</v>
      </c>
      <c r="E6" s="21" t="n">
        <v>1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</row>
    <row r="7">
      <c r="A7" s="20" t="inlineStr">
        <is>
          <t>1º JUZGADO CIVIL</t>
        </is>
      </c>
      <c r="B7" s="20" t="inlineStr">
        <is>
          <t>CIVIL - CONTENCIOSO ADMINISTRATIVO</t>
        </is>
      </c>
      <c r="C7" s="21" t="n">
        <v>7</v>
      </c>
      <c r="D7" s="21" t="n">
        <v>0</v>
      </c>
      <c r="E7" s="21" t="n">
        <v>4</v>
      </c>
      <c r="F7" s="21" t="n">
        <v>3</v>
      </c>
      <c r="G7" s="21" t="n">
        <v>6</v>
      </c>
      <c r="H7" s="21" t="n">
        <v>0</v>
      </c>
      <c r="I7" s="21" t="n">
        <v>5</v>
      </c>
      <c r="J7" s="21" t="n">
        <v>5</v>
      </c>
      <c r="K7" s="21" t="n">
        <v>1</v>
      </c>
    </row>
    <row r="8">
      <c r="A8" s="20" t="inlineStr">
        <is>
          <t>2º JUZGADO CIVIL</t>
        </is>
      </c>
      <c r="B8" s="20" t="inlineStr">
        <is>
          <t>CIVIL - CIVIL</t>
        </is>
      </c>
      <c r="C8" s="21" t="n">
        <v>38</v>
      </c>
      <c r="D8" s="21" t="n">
        <v>0</v>
      </c>
      <c r="E8" s="21" t="n">
        <v>39</v>
      </c>
      <c r="F8" s="21" t="n">
        <v>40</v>
      </c>
      <c r="G8" s="21" t="n">
        <v>40</v>
      </c>
      <c r="H8" s="21" t="n">
        <v>40</v>
      </c>
      <c r="I8" s="21" t="n">
        <v>24</v>
      </c>
      <c r="J8" s="21" t="n">
        <v>24</v>
      </c>
      <c r="K8" s="21" t="n">
        <v>37</v>
      </c>
    </row>
    <row r="9">
      <c r="A9" s="20" t="inlineStr">
        <is>
          <t>2º JUZGADO CIVIL</t>
        </is>
      </c>
      <c r="B9" s="20" t="inlineStr">
        <is>
          <t>CIVIL - COMERCIAL</t>
        </is>
      </c>
      <c r="C9" s="21" t="n">
        <v>8</v>
      </c>
      <c r="D9" s="21" t="n">
        <v>0</v>
      </c>
      <c r="E9" s="21" t="n">
        <v>10</v>
      </c>
      <c r="F9" s="21" t="n">
        <v>12</v>
      </c>
      <c r="G9" s="21" t="n">
        <v>12</v>
      </c>
      <c r="H9" s="21" t="n">
        <v>9</v>
      </c>
      <c r="I9" s="21" t="n">
        <v>17</v>
      </c>
      <c r="J9" s="21" t="n">
        <v>7</v>
      </c>
      <c r="K9" s="21" t="n">
        <v>17</v>
      </c>
    </row>
    <row r="10">
      <c r="A10" s="20" t="inlineStr">
        <is>
          <t>2º JUZGADO CIVIL</t>
        </is>
      </c>
      <c r="B10" s="20" t="inlineStr">
        <is>
          <t>CIVIL - CONSTITUCIONAL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1</v>
      </c>
    </row>
    <row r="11">
      <c r="A11" s="20" t="inlineStr">
        <is>
          <t>2º JUZGADO CIVIL</t>
        </is>
      </c>
      <c r="B11" s="20" t="inlineStr">
        <is>
          <t>CIVIL - CONTENCIOSO ADMINISTRATIVO</t>
        </is>
      </c>
      <c r="C11" s="21" t="n">
        <v>0</v>
      </c>
      <c r="D11" s="21" t="n">
        <v>0</v>
      </c>
      <c r="E11" s="21" t="n">
        <v>4</v>
      </c>
      <c r="F11" s="21" t="n">
        <v>2</v>
      </c>
      <c r="G11" s="21" t="n">
        <v>5</v>
      </c>
      <c r="H11" s="21" t="n">
        <v>1</v>
      </c>
      <c r="I11" s="21" t="n">
        <v>1</v>
      </c>
      <c r="J11" s="21" t="n">
        <v>2</v>
      </c>
      <c r="K11" s="21" t="n">
        <v>7</v>
      </c>
    </row>
    <row r="12">
      <c r="A12" s="20" t="inlineStr">
        <is>
          <t>3º JUZGADO CIVIL</t>
        </is>
      </c>
      <c r="B12" s="20" t="inlineStr">
        <is>
          <t>CIVIL - CIVIL</t>
        </is>
      </c>
      <c r="C12" s="21" t="n">
        <v>68</v>
      </c>
      <c r="D12" s="21" t="n">
        <v>0</v>
      </c>
      <c r="E12" s="21" t="n">
        <v>44</v>
      </c>
      <c r="F12" s="21" t="n">
        <v>62</v>
      </c>
      <c r="G12" s="21" t="n">
        <v>49</v>
      </c>
      <c r="H12" s="21" t="n">
        <v>41</v>
      </c>
      <c r="I12" s="21" t="n">
        <v>55</v>
      </c>
      <c r="J12" s="21" t="n">
        <v>44</v>
      </c>
      <c r="K12" s="21" t="n">
        <v>51</v>
      </c>
    </row>
    <row r="13">
      <c r="A13" s="20" t="inlineStr">
        <is>
          <t>3º JUZGADO CIVIL</t>
        </is>
      </c>
      <c r="B13" s="20" t="inlineStr">
        <is>
          <t>CIVIL - COMERCIAL</t>
        </is>
      </c>
      <c r="C13" s="21" t="n">
        <v>20</v>
      </c>
      <c r="D13" s="21" t="n">
        <v>0</v>
      </c>
      <c r="E13" s="21" t="n">
        <v>12</v>
      </c>
      <c r="F13" s="21" t="n">
        <v>10</v>
      </c>
      <c r="G13" s="21" t="n">
        <v>12</v>
      </c>
      <c r="H13" s="21" t="n">
        <v>7</v>
      </c>
      <c r="I13" s="21" t="n">
        <v>2</v>
      </c>
      <c r="J13" s="21" t="n">
        <v>6</v>
      </c>
      <c r="K13" s="21" t="n">
        <v>10</v>
      </c>
    </row>
    <row r="14">
      <c r="A14" s="20" t="inlineStr">
        <is>
          <t>3º JUZGADO CIVIL</t>
        </is>
      </c>
      <c r="B14" s="20" t="inlineStr">
        <is>
          <t>CIVIL - CONTENCIOSO ADMINISTRATIVO</t>
        </is>
      </c>
      <c r="C14" s="21" t="n">
        <v>2</v>
      </c>
      <c r="D14" s="21" t="n">
        <v>0</v>
      </c>
      <c r="E14" s="21" t="n">
        <v>4</v>
      </c>
      <c r="F14" s="21" t="n">
        <v>5</v>
      </c>
      <c r="G14" s="21" t="n">
        <v>1</v>
      </c>
      <c r="H14" s="21" t="n">
        <v>3</v>
      </c>
      <c r="I14" s="21" t="n">
        <v>4</v>
      </c>
      <c r="J14" s="21" t="n">
        <v>2</v>
      </c>
      <c r="K14" s="21" t="n">
        <v>1</v>
      </c>
    </row>
    <row r="15">
      <c r="A15" s="20" t="inlineStr">
        <is>
          <t>4º JUZGADO CIVIL</t>
        </is>
      </c>
      <c r="B15" s="20" t="inlineStr">
        <is>
          <t>CIVIL - CIVIL</t>
        </is>
      </c>
      <c r="C15" s="21" t="n">
        <v>22</v>
      </c>
      <c r="D15" s="21" t="n">
        <v>13</v>
      </c>
      <c r="E15" s="21" t="n">
        <v>29</v>
      </c>
      <c r="F15" s="21" t="n">
        <v>41</v>
      </c>
      <c r="G15" s="21" t="n">
        <v>40</v>
      </c>
      <c r="H15" s="21" t="n">
        <v>41</v>
      </c>
      <c r="I15" s="21" t="n">
        <v>47</v>
      </c>
      <c r="J15" s="21" t="n">
        <v>29</v>
      </c>
      <c r="K15" s="21" t="n">
        <v>45</v>
      </c>
    </row>
    <row r="16">
      <c r="A16" s="20" t="inlineStr">
        <is>
          <t>4º JUZGADO CIVIL</t>
        </is>
      </c>
      <c r="B16" s="20" t="inlineStr">
        <is>
          <t>CIVIL - COMERCIAL</t>
        </is>
      </c>
      <c r="C16" s="21" t="n">
        <v>16</v>
      </c>
      <c r="D16" s="21" t="n">
        <v>1</v>
      </c>
      <c r="E16" s="21" t="n">
        <v>12</v>
      </c>
      <c r="F16" s="21" t="n">
        <v>19</v>
      </c>
      <c r="G16" s="21" t="n">
        <v>12</v>
      </c>
      <c r="H16" s="21" t="n">
        <v>13</v>
      </c>
      <c r="I16" s="21" t="n">
        <v>8</v>
      </c>
      <c r="J16" s="21" t="n">
        <v>8</v>
      </c>
      <c r="K16" s="21" t="n">
        <v>10</v>
      </c>
    </row>
    <row r="17">
      <c r="A17" s="20" t="inlineStr">
        <is>
          <t>4º JUZGADO CIVIL</t>
        </is>
      </c>
      <c r="B17" s="20" t="inlineStr">
        <is>
          <t>CIVIL - CONTENCIOSO ADMINISTRATIVO</t>
        </is>
      </c>
      <c r="C17" s="21" t="n">
        <v>1</v>
      </c>
      <c r="D17" s="21" t="n">
        <v>0</v>
      </c>
      <c r="E17" s="21" t="n">
        <v>0</v>
      </c>
      <c r="F17" s="21" t="n">
        <v>2</v>
      </c>
      <c r="G17" s="21" t="n">
        <v>1</v>
      </c>
      <c r="H17" s="21" t="n">
        <v>2</v>
      </c>
      <c r="I17" s="21" t="n">
        <v>6</v>
      </c>
      <c r="J17" s="21" t="n">
        <v>4</v>
      </c>
      <c r="K17" s="21" t="n">
        <v>4</v>
      </c>
    </row>
    <row r="18">
      <c r="A18" s="20" t="inlineStr">
        <is>
          <t>5º JUZGADO CIVIL</t>
        </is>
      </c>
      <c r="B18" s="20" t="inlineStr">
        <is>
          <t>CIVIL - CIVIL</t>
        </is>
      </c>
      <c r="C18" s="21" t="n">
        <v>32</v>
      </c>
      <c r="D18" s="21" t="n">
        <v>0</v>
      </c>
      <c r="E18" s="21" t="n">
        <v>37</v>
      </c>
      <c r="F18" s="21" t="n">
        <v>32</v>
      </c>
      <c r="G18" s="21" t="n">
        <v>44</v>
      </c>
      <c r="H18" s="21" t="n">
        <v>49</v>
      </c>
      <c r="I18" s="21" t="n">
        <v>47</v>
      </c>
      <c r="J18" s="21" t="n">
        <v>38</v>
      </c>
      <c r="K18" s="21" t="n">
        <v>20</v>
      </c>
    </row>
    <row r="19">
      <c r="A19" s="20" t="inlineStr">
        <is>
          <t>5º JUZGADO CIVIL</t>
        </is>
      </c>
      <c r="B19" s="20" t="inlineStr">
        <is>
          <t>CIVIL - COMERCIAL</t>
        </is>
      </c>
      <c r="C19" s="21" t="n">
        <v>13</v>
      </c>
      <c r="D19" s="21" t="n">
        <v>0</v>
      </c>
      <c r="E19" s="21" t="n">
        <v>17</v>
      </c>
      <c r="F19" s="21" t="n">
        <v>15</v>
      </c>
      <c r="G19" s="21" t="n">
        <v>9</v>
      </c>
      <c r="H19" s="21" t="n">
        <v>7</v>
      </c>
      <c r="I19" s="21" t="n">
        <v>13</v>
      </c>
      <c r="J19" s="21" t="n">
        <v>12</v>
      </c>
      <c r="K19" s="21" t="n">
        <v>0</v>
      </c>
    </row>
    <row r="20">
      <c r="A20" s="20" t="inlineStr">
        <is>
          <t>5º JUZGADO CIVIL</t>
        </is>
      </c>
      <c r="B20" s="20" t="inlineStr">
        <is>
          <t>CIVIL - CONTENCIOSO ADMINISTRATIVO</t>
        </is>
      </c>
      <c r="C20" s="21" t="n">
        <v>2</v>
      </c>
      <c r="D20" s="21" t="n">
        <v>0</v>
      </c>
      <c r="E20" s="21" t="n">
        <v>2</v>
      </c>
      <c r="F20" s="21" t="n">
        <v>3</v>
      </c>
      <c r="G20" s="21" t="n">
        <v>4</v>
      </c>
      <c r="H20" s="21" t="n">
        <v>2</v>
      </c>
      <c r="I20" s="21" t="n">
        <v>0</v>
      </c>
      <c r="J20" s="21" t="n">
        <v>7</v>
      </c>
      <c r="K20" s="21" t="n">
        <v>1</v>
      </c>
    </row>
    <row r="21">
      <c r="A21" s="20" t="inlineStr">
        <is>
          <t>6º JUZGADO CIVIL</t>
        </is>
      </c>
      <c r="B21" s="20" t="inlineStr">
        <is>
          <t>CIVIL - CIVIL</t>
        </is>
      </c>
      <c r="C21" s="21" t="n">
        <v>39</v>
      </c>
      <c r="D21" s="21" t="n">
        <v>0</v>
      </c>
      <c r="E21" s="21" t="n">
        <v>51</v>
      </c>
      <c r="F21" s="21" t="n">
        <v>43</v>
      </c>
      <c r="G21" s="21" t="n">
        <v>43</v>
      </c>
      <c r="H21" s="21" t="n">
        <v>35</v>
      </c>
      <c r="I21" s="21" t="n">
        <v>27</v>
      </c>
      <c r="J21" s="21" t="n">
        <v>50</v>
      </c>
      <c r="K21" s="21" t="n">
        <v>44</v>
      </c>
    </row>
    <row r="22">
      <c r="A22" s="20" t="inlineStr">
        <is>
          <t>6º JUZGADO CIVIL</t>
        </is>
      </c>
      <c r="B22" s="20" t="inlineStr">
        <is>
          <t>CIVIL - COMERCIAL</t>
        </is>
      </c>
      <c r="C22" s="21" t="n">
        <v>9</v>
      </c>
      <c r="D22" s="21" t="n">
        <v>0</v>
      </c>
      <c r="E22" s="21" t="n">
        <v>15</v>
      </c>
      <c r="F22" s="21" t="n">
        <v>9</v>
      </c>
      <c r="G22" s="21" t="n">
        <v>11</v>
      </c>
      <c r="H22" s="21" t="n">
        <v>10</v>
      </c>
      <c r="I22" s="21" t="n">
        <v>9</v>
      </c>
      <c r="J22" s="21" t="n">
        <v>3</v>
      </c>
      <c r="K22" s="21" t="n">
        <v>13</v>
      </c>
    </row>
    <row r="23">
      <c r="A23" s="20" t="inlineStr">
        <is>
          <t>6º JUZGADO CIVIL</t>
        </is>
      </c>
      <c r="B23" s="20" t="inlineStr">
        <is>
          <t>CIVIL - CONTENCIOSO ADMINISTRATIVO</t>
        </is>
      </c>
      <c r="C23" s="21" t="n">
        <v>6</v>
      </c>
      <c r="D23" s="21" t="n">
        <v>0</v>
      </c>
      <c r="E23" s="21" t="n">
        <v>1</v>
      </c>
      <c r="F23" s="21" t="n">
        <v>6</v>
      </c>
      <c r="G23" s="21" t="n">
        <v>2</v>
      </c>
      <c r="H23" s="21" t="n">
        <v>5</v>
      </c>
      <c r="I23" s="21" t="n">
        <v>4</v>
      </c>
      <c r="J23" s="21" t="n">
        <v>2</v>
      </c>
      <c r="K23" s="21" t="n">
        <v>3</v>
      </c>
    </row>
    <row r="24">
      <c r="A24" s="20" t="inlineStr">
        <is>
          <t>7º JUZGADO CIVIL</t>
        </is>
      </c>
      <c r="B24" s="20" t="inlineStr">
        <is>
          <t>CIVIL - CIVIL</t>
        </is>
      </c>
      <c r="C24" s="21" t="n">
        <v>36</v>
      </c>
      <c r="D24" s="21" t="n">
        <v>0</v>
      </c>
      <c r="E24" s="21" t="n">
        <v>44</v>
      </c>
      <c r="F24" s="21" t="n">
        <v>40</v>
      </c>
      <c r="G24" s="21" t="n">
        <v>40</v>
      </c>
      <c r="H24" s="21" t="n">
        <v>40</v>
      </c>
      <c r="I24" s="21" t="n">
        <v>52</v>
      </c>
      <c r="J24" s="21" t="n">
        <v>21</v>
      </c>
      <c r="K24" s="21" t="n">
        <v>24</v>
      </c>
    </row>
    <row r="25">
      <c r="A25" s="20" t="inlineStr">
        <is>
          <t>7º JUZGADO CIVIL</t>
        </is>
      </c>
      <c r="B25" s="20" t="inlineStr">
        <is>
          <t>CIVIL - COMERCIAL</t>
        </is>
      </c>
      <c r="C25" s="21" t="n">
        <v>11</v>
      </c>
      <c r="D25" s="21" t="n">
        <v>0</v>
      </c>
      <c r="E25" s="21" t="n">
        <v>9</v>
      </c>
      <c r="F25" s="21" t="n">
        <v>10</v>
      </c>
      <c r="G25" s="21" t="n">
        <v>6</v>
      </c>
      <c r="H25" s="21" t="n">
        <v>10</v>
      </c>
      <c r="I25" s="21" t="n">
        <v>6</v>
      </c>
      <c r="J25" s="21" t="n">
        <v>6</v>
      </c>
      <c r="K25" s="21" t="n">
        <v>6</v>
      </c>
    </row>
    <row r="26">
      <c r="A26" s="20" t="inlineStr">
        <is>
          <t>7º JUZGADO CIVIL</t>
        </is>
      </c>
      <c r="B26" s="20" t="inlineStr">
        <is>
          <t>CIVIL - CONTENCIOSO ADMINISTRATIVO</t>
        </is>
      </c>
      <c r="C26" s="21" t="n">
        <v>1</v>
      </c>
      <c r="D26" s="21" t="n">
        <v>0</v>
      </c>
      <c r="E26" s="21" t="n">
        <v>1</v>
      </c>
      <c r="F26" s="21" t="n">
        <v>4</v>
      </c>
      <c r="G26" s="21" t="n">
        <v>3</v>
      </c>
      <c r="H26" s="21" t="n">
        <v>2</v>
      </c>
      <c r="I26" s="21" t="n">
        <v>1</v>
      </c>
      <c r="J26" s="21" t="n">
        <v>4</v>
      </c>
      <c r="K26" s="21" t="n">
        <v>0</v>
      </c>
    </row>
    <row r="27">
      <c r="A27" s="20" t="inlineStr">
        <is>
          <t>8º JUZGADO CIVIL</t>
        </is>
      </c>
      <c r="B27" s="20" t="inlineStr">
        <is>
          <t>CIVIL - CIVIL</t>
        </is>
      </c>
      <c r="C27" s="21" t="n">
        <v>37</v>
      </c>
      <c r="D27" s="21" t="n">
        <v>0</v>
      </c>
      <c r="E27" s="21" t="n">
        <v>40</v>
      </c>
      <c r="F27" s="21" t="n">
        <v>45</v>
      </c>
      <c r="G27" s="21" t="n">
        <v>58</v>
      </c>
      <c r="H27" s="21" t="n">
        <v>38</v>
      </c>
      <c r="I27" s="21" t="n">
        <v>35</v>
      </c>
      <c r="J27" s="21" t="n">
        <v>39</v>
      </c>
      <c r="K27" s="21" t="n">
        <v>39</v>
      </c>
    </row>
    <row r="28">
      <c r="A28" s="20" t="inlineStr">
        <is>
          <t>8º JUZGADO CIVIL</t>
        </is>
      </c>
      <c r="B28" s="20" t="inlineStr">
        <is>
          <t>CIVIL - COMERCIAL</t>
        </is>
      </c>
      <c r="C28" s="21" t="n">
        <v>4</v>
      </c>
      <c r="D28" s="21" t="n">
        <v>0</v>
      </c>
      <c r="E28" s="21" t="n">
        <v>20</v>
      </c>
      <c r="F28" s="21" t="n">
        <v>14</v>
      </c>
      <c r="G28" s="21" t="n">
        <v>9</v>
      </c>
      <c r="H28" s="21" t="n">
        <v>11</v>
      </c>
      <c r="I28" s="21" t="n">
        <v>11</v>
      </c>
      <c r="J28" s="21" t="n">
        <v>3</v>
      </c>
      <c r="K28" s="21" t="n">
        <v>3</v>
      </c>
    </row>
    <row r="29">
      <c r="A29" s="20" t="inlineStr">
        <is>
          <t>8º JUZGADO CIVIL</t>
        </is>
      </c>
      <c r="B29" s="20" t="inlineStr">
        <is>
          <t>CIVIL - CONTENCIOSO ADMINISTRATIVO</t>
        </is>
      </c>
      <c r="C29" s="21" t="n">
        <v>2</v>
      </c>
      <c r="D29" s="21" t="n">
        <v>0</v>
      </c>
      <c r="E29" s="21" t="n">
        <v>5</v>
      </c>
      <c r="F29" s="21" t="n">
        <v>2</v>
      </c>
      <c r="G29" s="21" t="n">
        <v>1</v>
      </c>
      <c r="H29" s="21" t="n">
        <v>5</v>
      </c>
      <c r="I29" s="21" t="n">
        <v>3</v>
      </c>
      <c r="J29" s="21" t="n">
        <v>2</v>
      </c>
      <c r="K29" s="21" t="n">
        <v>0</v>
      </c>
    </row>
    <row r="30">
      <c r="A30" s="20" t="inlineStr">
        <is>
          <t>9º JUZGADO CIVIL</t>
        </is>
      </c>
      <c r="B30" s="20" t="inlineStr">
        <is>
          <t>CIVIL - CIVIL</t>
        </is>
      </c>
      <c r="C30" s="21" t="n">
        <v>44</v>
      </c>
      <c r="D30" s="21" t="n">
        <v>0</v>
      </c>
      <c r="E30" s="21" t="n">
        <v>44</v>
      </c>
      <c r="F30" s="21" t="n">
        <v>47</v>
      </c>
      <c r="G30" s="21" t="n">
        <v>41</v>
      </c>
      <c r="H30" s="21" t="n">
        <v>41</v>
      </c>
      <c r="I30" s="21" t="n">
        <v>28</v>
      </c>
      <c r="J30" s="21" t="n">
        <v>48</v>
      </c>
      <c r="K30" s="21" t="n">
        <v>39</v>
      </c>
    </row>
    <row r="31">
      <c r="A31" s="20" t="inlineStr">
        <is>
          <t>9º JUZGADO CIVIL</t>
        </is>
      </c>
      <c r="B31" s="20" t="inlineStr">
        <is>
          <t>CIVIL - COMERCIAL</t>
        </is>
      </c>
      <c r="C31" s="21" t="n">
        <v>18</v>
      </c>
      <c r="D31" s="21" t="n">
        <v>0</v>
      </c>
      <c r="E31" s="21" t="n">
        <v>16</v>
      </c>
      <c r="F31" s="21" t="n">
        <v>8</v>
      </c>
      <c r="G31" s="21" t="n">
        <v>9</v>
      </c>
      <c r="H31" s="21" t="n">
        <v>11</v>
      </c>
      <c r="I31" s="21" t="n">
        <v>3</v>
      </c>
      <c r="J31" s="21" t="n">
        <v>8</v>
      </c>
      <c r="K31" s="21" t="n">
        <v>14</v>
      </c>
    </row>
    <row r="32">
      <c r="A32" s="20" t="inlineStr">
        <is>
          <t>9º JUZGADO CIVIL</t>
        </is>
      </c>
      <c r="B32" s="20" t="inlineStr">
        <is>
          <t>CIVIL - CONTENCIOSO ADMINISTRATIVO</t>
        </is>
      </c>
      <c r="C32" s="21" t="n">
        <v>6</v>
      </c>
      <c r="D32" s="21" t="n">
        <v>0</v>
      </c>
      <c r="E32" s="21" t="n">
        <v>0</v>
      </c>
      <c r="F32" s="21" t="n">
        <v>3</v>
      </c>
      <c r="G32" s="21" t="n">
        <v>4</v>
      </c>
      <c r="H32" s="21" t="n">
        <v>4</v>
      </c>
      <c r="I32" s="21" t="n">
        <v>3</v>
      </c>
      <c r="J32" s="21" t="n">
        <v>4</v>
      </c>
      <c r="K32" s="21" t="n">
        <v>1</v>
      </c>
    </row>
    <row r="33">
      <c r="A33" s="20" t="inlineStr">
        <is>
          <t>9º JUZGADO CIVIL</t>
        </is>
      </c>
      <c r="B33" s="20" t="inlineStr">
        <is>
          <t>LABORAL - CONTENCIOSO ADMINISTRATIVO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1</v>
      </c>
      <c r="K33" s="21" t="n">
        <v>0</v>
      </c>
    </row>
    <row r="34">
      <c r="A34" s="20" t="inlineStr">
        <is>
          <t>10º JUZGADO CIVIL</t>
        </is>
      </c>
      <c r="B34" s="20" t="inlineStr">
        <is>
          <t>CIVIL - CIVIL</t>
        </is>
      </c>
      <c r="C34" s="21" t="n">
        <v>53</v>
      </c>
      <c r="D34" s="21" t="n">
        <v>0</v>
      </c>
      <c r="E34" s="21" t="n">
        <v>45</v>
      </c>
      <c r="F34" s="21" t="n">
        <v>42</v>
      </c>
      <c r="G34" s="21" t="n">
        <v>48</v>
      </c>
      <c r="H34" s="21" t="n">
        <v>40</v>
      </c>
      <c r="I34" s="21" t="n">
        <v>45</v>
      </c>
      <c r="J34" s="21" t="n">
        <v>44</v>
      </c>
      <c r="K34" s="21" t="n">
        <v>38</v>
      </c>
    </row>
    <row r="35">
      <c r="A35" s="20" t="inlineStr">
        <is>
          <t>10º JUZGADO CIVIL</t>
        </is>
      </c>
      <c r="B35" s="20" t="inlineStr">
        <is>
          <t>CIVIL - COMERCIAL</t>
        </is>
      </c>
      <c r="C35" s="21" t="n">
        <v>13</v>
      </c>
      <c r="D35" s="21" t="n">
        <v>0</v>
      </c>
      <c r="E35" s="21" t="n">
        <v>14</v>
      </c>
      <c r="F35" s="21" t="n">
        <v>10</v>
      </c>
      <c r="G35" s="21" t="n">
        <v>7</v>
      </c>
      <c r="H35" s="21" t="n">
        <v>13</v>
      </c>
      <c r="I35" s="21" t="n">
        <v>8</v>
      </c>
      <c r="J35" s="21" t="n">
        <v>10</v>
      </c>
      <c r="K35" s="21" t="n">
        <v>9</v>
      </c>
    </row>
    <row r="36">
      <c r="A36" s="20" t="inlineStr">
        <is>
          <t>10º JUZGADO CIVIL</t>
        </is>
      </c>
      <c r="B36" s="20" t="inlineStr">
        <is>
          <t>CIVIL - CONSTITUCIONAL</t>
        </is>
      </c>
      <c r="C36" s="21" t="n">
        <v>1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</row>
    <row r="37">
      <c r="A37" s="20" t="inlineStr">
        <is>
          <t>10º JUZGADO CIVIL</t>
        </is>
      </c>
      <c r="B37" s="20" t="inlineStr">
        <is>
          <t>CIVIL - CONTENCIOSO ADMINISTRATIVO</t>
        </is>
      </c>
      <c r="C37" s="21" t="n">
        <v>7</v>
      </c>
      <c r="D37" s="21" t="n">
        <v>0</v>
      </c>
      <c r="E37" s="21" t="n">
        <v>2</v>
      </c>
      <c r="F37" s="21" t="n">
        <v>5</v>
      </c>
      <c r="G37" s="21" t="n">
        <v>5</v>
      </c>
      <c r="H37" s="21" t="n">
        <v>3</v>
      </c>
      <c r="I37" s="21" t="n">
        <v>0</v>
      </c>
      <c r="J37" s="21" t="n">
        <v>3</v>
      </c>
      <c r="K37" s="21" t="n">
        <v>6</v>
      </c>
    </row>
    <row r="38">
      <c r="A38" s="20" t="inlineStr">
        <is>
          <t>11° JUZGADO CIVIL</t>
        </is>
      </c>
      <c r="B38" s="20" t="inlineStr">
        <is>
          <t>CIVIL - CIVIL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1</v>
      </c>
    </row>
    <row r="39">
      <c r="A39" s="20" t="inlineStr">
        <is>
          <t>1° JUZGADO CIVIL TRANSITORIO</t>
        </is>
      </c>
      <c r="B39" s="20" t="inlineStr">
        <is>
          <t>CIVIL - CIVIL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1</v>
      </c>
      <c r="H39" s="21" t="n">
        <v>0</v>
      </c>
      <c r="I39" s="21" t="n">
        <v>0</v>
      </c>
      <c r="J39" s="21" t="n">
        <v>0</v>
      </c>
      <c r="K39" s="21" t="n">
        <v>0</v>
      </c>
    </row>
    <row r="40">
      <c r="A40" s="20" t="inlineStr">
        <is>
          <t>2° JUZGADO CIVIL TRANSITORIO</t>
        </is>
      </c>
      <c r="B40" s="20" t="inlineStr">
        <is>
          <t>CIVIL - CIVIL</t>
        </is>
      </c>
      <c r="C40" s="21" t="n">
        <v>39</v>
      </c>
      <c r="D40" s="21" t="n">
        <v>37</v>
      </c>
      <c r="E40" s="21" t="n">
        <v>32</v>
      </c>
      <c r="F40" s="21" t="n">
        <v>41</v>
      </c>
      <c r="G40" s="21" t="n">
        <v>41</v>
      </c>
      <c r="H40" s="21" t="n">
        <v>39</v>
      </c>
      <c r="I40" s="21" t="n">
        <v>36</v>
      </c>
      <c r="J40" s="21" t="n">
        <v>44</v>
      </c>
      <c r="K40" s="21" t="n">
        <v>51</v>
      </c>
    </row>
    <row r="41">
      <c r="A41" s="20" t="inlineStr">
        <is>
          <t>2° JUZGADO CIVIL TRANSITORIO</t>
        </is>
      </c>
      <c r="B41" s="20" t="inlineStr">
        <is>
          <t>CIVIL - COMERCIAL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1</v>
      </c>
      <c r="I41" s="21" t="n">
        <v>1</v>
      </c>
      <c r="J41" s="21" t="n">
        <v>0</v>
      </c>
      <c r="K41" s="21" t="n">
        <v>1</v>
      </c>
    </row>
    <row r="42">
      <c r="A42" s="20" t="inlineStr">
        <is>
          <t>2° JUZGADO CIVIL TRANSITORIO</t>
        </is>
      </c>
      <c r="B42" s="20" t="inlineStr">
        <is>
          <t>CIVIL - CONTENCIOSO ADMINISTRATIVO</t>
        </is>
      </c>
      <c r="C42" s="21" t="n">
        <v>4</v>
      </c>
      <c r="D42" s="21" t="n">
        <v>8</v>
      </c>
      <c r="E42" s="21" t="n">
        <v>13</v>
      </c>
      <c r="F42" s="21" t="n">
        <v>3</v>
      </c>
      <c r="G42" s="21" t="n">
        <v>5</v>
      </c>
      <c r="H42" s="21" t="n">
        <v>3</v>
      </c>
      <c r="I42" s="21" t="n">
        <v>6</v>
      </c>
      <c r="J42" s="21" t="n">
        <v>3</v>
      </c>
      <c r="K42" s="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2026-10-02T17:12:11Z</dcterms:created>
  <dcterms:modified xsi:type="dcterms:W3CDTF">2026-10-02T17:12:11Z</dcterms:modified>
</cp:coreProperties>
</file>