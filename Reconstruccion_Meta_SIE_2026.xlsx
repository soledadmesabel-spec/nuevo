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 SIE reconstruida" sheetId="1" state="visible" r:id="rId1"/>
    <sheet name="Hipotesis" sheetId="2" state="visible" r:id="rId2"/>
    <sheet name="Parametros" sheetId="3" state="visible" r:id="rId3"/>
    <sheet name="Ingresos 2026" sheetId="4" state="visible" r:id="rId4"/>
    <sheet name="Ingresos 2025" sheetId="5" state="visible" r:id="rId5"/>
    <sheet name="Resueltos 2025" sheetId="6" state="visible" r:id="rId6"/>
    <sheet name="Resueltos 202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-"/>
    <numFmt numFmtId="165" formatCode="#,##0.0;(#,##0.0);-"/>
    <numFmt numFmtId="166" formatCode="0.0%"/>
    <numFmt numFmtId="167" formatCode="0.0"/>
  </numFmts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i val="1"/>
      <color rgb="00595959"/>
    </font>
    <font>
      <name val="Arial"/>
      <b val="1"/>
    </font>
    <font>
      <name val="Arial"/>
      <i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6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164" fontId="3" fillId="0" borderId="1" applyAlignment="1" pivotButton="0" quotePrefix="0" xfId="0">
      <alignment horizontal="center"/>
    </xf>
    <xf numFmtId="164" fontId="6" fillId="4" borderId="1" pivotButton="0" quotePrefix="0" xfId="0"/>
    <xf numFmtId="164" fontId="4" fillId="4" borderId="1" pivotButton="0" quotePrefix="0" xfId="0"/>
    <xf numFmtId="164" fontId="3" fillId="5" borderId="1" pivotButton="0" quotePrefix="0" xfId="0"/>
    <xf numFmtId="0" fontId="6" fillId="6" borderId="1" pivotButton="0" quotePrefix="0" xfId="0"/>
    <xf numFmtId="0" fontId="0" fillId="6" borderId="1" pivotButton="0" quotePrefix="0" xfId="0"/>
    <xf numFmtId="164" fontId="6" fillId="6" borderId="1" pivotButton="0" quotePrefix="0" xfId="0"/>
    <xf numFmtId="166" fontId="0" fillId="6" borderId="1" pivotButton="0" quotePrefix="0" xfId="0"/>
    <xf numFmtId="0" fontId="6" fillId="0" borderId="0" pivotButton="0" quotePrefix="0" xfId="0"/>
    <xf numFmtId="167" fontId="6" fillId="0" borderId="0" pivotButton="0" quotePrefix="0" xfId="0"/>
    <xf numFmtId="0" fontId="6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1" pivotButton="0" quotePrefix="0" xfId="0"/>
    <xf numFmtId="0" fontId="4" fillId="0" borderId="1" pivotButton="0" quotePrefix="0" xfId="0"/>
    <xf numFmtId="167" fontId="0" fillId="0" borderId="1" pivotButton="0" quotePrefix="0" xfId="0"/>
    <xf numFmtId="0" fontId="0" fillId="0" borderId="1" pivotButton="0" quotePrefix="0" xfId="0"/>
    <xf numFmtId="0" fontId="6" fillId="4" borderId="1" pivotButton="0" quotePrefix="0" xfId="0"/>
    <xf numFmtId="0" fontId="4" fillId="4" borderId="1" pivotButton="0" quotePrefix="0" xfId="0"/>
    <xf numFmtId="167" fontId="0" fillId="4" borderId="1" pivotButton="0" quotePrefix="0" xfId="0"/>
    <xf numFmtId="0" fontId="0" fillId="4" borderId="1" pivotButton="0" quotePrefix="0" xfId="0"/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9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RECONSTRUCCIÓN DE LA "META ESTIMADA SIE" 2026 – JUZGADOS CIVILES SEDE CENTRAL AREQUIPA</t>
        </is>
      </c>
    </row>
    <row r="2">
      <c r="A2" s="2" t="inlineStr">
        <is>
          <t>Regla: R.A. 090-2025-CE-PJ, Anexo 3 (Meta = A + B) con carga proyectada desde los ingresos ene–jun 2026 anualizados a 11 meses efectivos.</t>
        </is>
      </c>
    </row>
    <row r="4" ht="62" customHeight="1">
      <c r="A4" s="3" t="inlineStr">
        <is>
          <t>Juzgado</t>
        </is>
      </c>
      <c r="B4" s="3" t="inlineStr">
        <is>
          <t>Pend. Civil-Civil</t>
        </is>
      </c>
      <c r="C4" s="3" t="inlineStr">
        <is>
          <t>Ingr. CC ene–corte</t>
        </is>
      </c>
      <c r="D4" s="3" t="inlineStr">
        <is>
          <t>Ingr. CC proyectado (÷ef ×11)</t>
        </is>
      </c>
      <c r="E4" s="3" t="inlineStr">
        <is>
          <t>CARGA CC</t>
        </is>
      </c>
      <c r="F4" s="3" t="inlineStr">
        <is>
          <t>Pend. Resto</t>
        </is>
      </c>
      <c r="G4" s="3" t="inlineStr">
        <is>
          <t>Ingr. Resto ene–corte</t>
        </is>
      </c>
      <c r="H4" s="3" t="inlineStr">
        <is>
          <t>Ingr. Resto proyectado</t>
        </is>
      </c>
      <c r="I4" s="3" t="inlineStr">
        <is>
          <t>CARGA RESTO</t>
        </is>
      </c>
      <c r="J4" s="3" t="inlineStr">
        <is>
          <t>% CC</t>
        </is>
      </c>
      <c r="K4" s="3" t="inlineStr">
        <is>
          <t>Caso</t>
        </is>
      </c>
      <c r="L4" s="3" t="inlineStr">
        <is>
          <t>A (Civil-Civil)</t>
        </is>
      </c>
      <c r="M4" s="3" t="inlineStr">
        <is>
          <t>B (77% resto)</t>
        </is>
      </c>
      <c r="N4" s="3" t="inlineStr">
        <is>
          <t>META RECONSTRUIDA</t>
        </is>
      </c>
      <c r="O4" s="3" t="inlineStr">
        <is>
          <t>META SIE (imagen)</t>
        </is>
      </c>
      <c r="P4" s="3" t="inlineStr">
        <is>
          <t>Diferencia (SIE – reconstruida)</t>
        </is>
      </c>
      <c r="Q4" s="3" t="inlineStr">
        <is>
          <t>Producción ene–ago</t>
        </is>
      </c>
      <c r="R4" s="3" t="inlineStr">
        <is>
          <t>% avance s/ meta SIE</t>
        </is>
      </c>
      <c r="S4" s="3" t="inlineStr">
        <is>
          <t>% avance s/ meta reconstruida</t>
        </is>
      </c>
    </row>
    <row r="5">
      <c r="A5" s="4" t="inlineStr">
        <is>
          <t>1º JUZGADO CIVIL</t>
        </is>
      </c>
      <c r="B5" s="5">
        <f>SUMIFS('Ingresos 2026'!$D$4:$D$53,'Ingresos 2026'!$A$4:$A$53,$A5,'Ingresos 2026'!$C$4:$C$53,"Civil-Civil")</f>
        <v/>
      </c>
      <c r="C5" s="5">
        <f>SUMIFS('Ingresos 2026'!$N$4:$N$53,'Ingresos 2026'!$A$4:$A$53,$A5,'Ingresos 2026'!$C$4:$C$53,"Civil-Civil")</f>
        <v/>
      </c>
      <c r="D5" s="6">
        <f>C5/Parametros!$B$13*Parametros!$B$12</f>
        <v/>
      </c>
      <c r="E5" s="6">
        <f>B5+D5</f>
        <v/>
      </c>
      <c r="F5" s="5">
        <f>SUMIFS('Ingresos 2026'!$D$4:$D$53,'Ingresos 2026'!$A$4:$A$53,$A5,'Ingresos 2026'!$C$4:$C$53,"Resto")</f>
        <v/>
      </c>
      <c r="G5" s="5">
        <f>SUMIFS('Ingresos 2026'!$N$4:$N$53,'Ingresos 2026'!$A$4:$A$53,$A5,'Ingresos 2026'!$C$4:$C$53,"Resto")</f>
        <v/>
      </c>
      <c r="H5" s="6">
        <f>G5/Parametros!$B$13*Parametros!$B$12</f>
        <v/>
      </c>
      <c r="I5" s="6">
        <f>F5+H5</f>
        <v/>
      </c>
      <c r="J5" s="7">
        <f>E5/(E5+I5)</f>
        <v/>
      </c>
      <c r="K5" s="8">
        <f>IF(J5&gt;=Parametros!$B$6,1,2)</f>
        <v/>
      </c>
      <c r="L5" s="5">
        <f>IF(K5=1,IF(E5&lt;Parametros!$B$7,ROUNDDOWN(Parametros!$B$5*E5,0),Parametros!$B$8),IF(E5&lt;Parametros!$B$9,ROUNDDOWN(Parametros!$B$5*E5,0),Parametros!$B$10))</f>
        <v/>
      </c>
      <c r="M5" s="5">
        <f>ROUNDDOWN(Parametros!$B$5*I5,0)</f>
        <v/>
      </c>
      <c r="N5" s="9">
        <f>L5+M5</f>
        <v/>
      </c>
      <c r="O5" s="10" t="n">
        <v>547</v>
      </c>
      <c r="P5" s="5">
        <f>O5-N5</f>
        <v/>
      </c>
      <c r="Q5" s="5">
        <f>SUMIFS('Resueltos 2026'!$D$4:$D$200,'Resueltos 2026'!$A$4:$A$200,$A5)+SUMIFS('Resueltos 2026'!$E$4:$E$200,'Resueltos 2026'!$A$4:$A$200,$A5)+SUMIFS('Resueltos 2026'!$F$4:$F$200,'Resueltos 2026'!$A$4:$A$200,$A5)+SUMIFS('Resueltos 2026'!$G$4:$G$200,'Resueltos 2026'!$A$4:$A$200,$A5)+SUMIFS('Resueltos 2026'!$H$4:$H$200,'Resueltos 2026'!$A$4:$A$200,$A5)+SUMIFS('Resueltos 2026'!$I$4:$I$200,'Resueltos 2026'!$A$4:$A$200,$A5)+SUMIFS('Resueltos 2026'!$J$4:$J$200,'Resueltos 2026'!$A$4:$A$200,$A5)+SUMIFS('Resueltos 2026'!$K$4:$K$200,'Resueltos 2026'!$A$4:$A$200,$A5)</f>
        <v/>
      </c>
      <c r="R5" s="7">
        <f>Q5/O5</f>
        <v/>
      </c>
      <c r="S5" s="7">
        <f>Q5/N5</f>
        <v/>
      </c>
    </row>
    <row r="6">
      <c r="A6" s="4" t="inlineStr">
        <is>
          <t>2º JUZGADO CIVIL</t>
        </is>
      </c>
      <c r="B6" s="5">
        <f>SUMIFS('Ingresos 2026'!$D$4:$D$53,'Ingresos 2026'!$A$4:$A$53,$A6,'Ingresos 2026'!$C$4:$C$53,"Civil-Civil")</f>
        <v/>
      </c>
      <c r="C6" s="5">
        <f>SUMIFS('Ingresos 2026'!$N$4:$N$53,'Ingresos 2026'!$A$4:$A$53,$A6,'Ingresos 2026'!$C$4:$C$53,"Civil-Civil")</f>
        <v/>
      </c>
      <c r="D6" s="6">
        <f>C6/Parametros!$B$13*Parametros!$B$12</f>
        <v/>
      </c>
      <c r="E6" s="6">
        <f>B6+D6</f>
        <v/>
      </c>
      <c r="F6" s="5">
        <f>SUMIFS('Ingresos 2026'!$D$4:$D$53,'Ingresos 2026'!$A$4:$A$53,$A6,'Ingresos 2026'!$C$4:$C$53,"Resto")</f>
        <v/>
      </c>
      <c r="G6" s="5">
        <f>SUMIFS('Ingresos 2026'!$N$4:$N$53,'Ingresos 2026'!$A$4:$A$53,$A6,'Ingresos 2026'!$C$4:$C$53,"Resto")</f>
        <v/>
      </c>
      <c r="H6" s="6">
        <f>G6/Parametros!$B$13*Parametros!$B$12</f>
        <v/>
      </c>
      <c r="I6" s="6">
        <f>F6+H6</f>
        <v/>
      </c>
      <c r="J6" s="7">
        <f>E6/(E6+I6)</f>
        <v/>
      </c>
      <c r="K6" s="8">
        <f>IF(J6&gt;=Parametros!$B$6,1,2)</f>
        <v/>
      </c>
      <c r="L6" s="5">
        <f>IF(K6=1,IF(E6&lt;Parametros!$B$7,ROUNDDOWN(Parametros!$B$5*E6,0),Parametros!$B$8),IF(E6&lt;Parametros!$B$9,ROUNDDOWN(Parametros!$B$5*E6,0),Parametros!$B$10))</f>
        <v/>
      </c>
      <c r="M6" s="5">
        <f>ROUNDDOWN(Parametros!$B$5*I6,0)</f>
        <v/>
      </c>
      <c r="N6" s="9">
        <f>L6+M6</f>
        <v/>
      </c>
      <c r="O6" s="10" t="n">
        <v>541</v>
      </c>
      <c r="P6" s="5">
        <f>O6-N6</f>
        <v/>
      </c>
      <c r="Q6" s="5">
        <f>SUMIFS('Resueltos 2026'!$D$4:$D$200,'Resueltos 2026'!$A$4:$A$200,$A6)+SUMIFS('Resueltos 2026'!$E$4:$E$200,'Resueltos 2026'!$A$4:$A$200,$A6)+SUMIFS('Resueltos 2026'!$F$4:$F$200,'Resueltos 2026'!$A$4:$A$200,$A6)+SUMIFS('Resueltos 2026'!$G$4:$G$200,'Resueltos 2026'!$A$4:$A$200,$A6)+SUMIFS('Resueltos 2026'!$H$4:$H$200,'Resueltos 2026'!$A$4:$A$200,$A6)+SUMIFS('Resueltos 2026'!$I$4:$I$200,'Resueltos 2026'!$A$4:$A$200,$A6)+SUMIFS('Resueltos 2026'!$J$4:$J$200,'Resueltos 2026'!$A$4:$A$200,$A6)+SUMIFS('Resueltos 2026'!$K$4:$K$200,'Resueltos 2026'!$A$4:$A$200,$A6)</f>
        <v/>
      </c>
      <c r="R6" s="7">
        <f>Q6/O6</f>
        <v/>
      </c>
      <c r="S6" s="7">
        <f>Q6/N6</f>
        <v/>
      </c>
    </row>
    <row r="7">
      <c r="A7" s="4" t="inlineStr">
        <is>
          <t>3º JUZGADO CIVIL</t>
        </is>
      </c>
      <c r="B7" s="5">
        <f>SUMIFS('Ingresos 2026'!$D$4:$D$53,'Ingresos 2026'!$A$4:$A$53,$A7,'Ingresos 2026'!$C$4:$C$53,"Civil-Civil")</f>
        <v/>
      </c>
      <c r="C7" s="5">
        <f>SUMIFS('Ingresos 2026'!$N$4:$N$53,'Ingresos 2026'!$A$4:$A$53,$A7,'Ingresos 2026'!$C$4:$C$53,"Civil-Civil")</f>
        <v/>
      </c>
      <c r="D7" s="6">
        <f>C7/Parametros!$B$13*Parametros!$B$12</f>
        <v/>
      </c>
      <c r="E7" s="6">
        <f>B7+D7</f>
        <v/>
      </c>
      <c r="F7" s="5">
        <f>SUMIFS('Ingresos 2026'!$D$4:$D$53,'Ingresos 2026'!$A$4:$A$53,$A7,'Ingresos 2026'!$C$4:$C$53,"Resto")</f>
        <v/>
      </c>
      <c r="G7" s="5">
        <f>SUMIFS('Ingresos 2026'!$N$4:$N$53,'Ingresos 2026'!$A$4:$A$53,$A7,'Ingresos 2026'!$C$4:$C$53,"Resto")</f>
        <v/>
      </c>
      <c r="H7" s="6">
        <f>G7/Parametros!$B$13*Parametros!$B$12</f>
        <v/>
      </c>
      <c r="I7" s="6">
        <f>F7+H7</f>
        <v/>
      </c>
      <c r="J7" s="7">
        <f>E7/(E7+I7)</f>
        <v/>
      </c>
      <c r="K7" s="8">
        <f>IF(J7&gt;=Parametros!$B$6,1,2)</f>
        <v/>
      </c>
      <c r="L7" s="5">
        <f>IF(K7=1,IF(E7&lt;Parametros!$B$7,ROUNDDOWN(Parametros!$B$5*E7,0),Parametros!$B$8),IF(E7&lt;Parametros!$B$9,ROUNDDOWN(Parametros!$B$5*E7,0),Parametros!$B$10))</f>
        <v/>
      </c>
      <c r="M7" s="5">
        <f>ROUNDDOWN(Parametros!$B$5*I7,0)</f>
        <v/>
      </c>
      <c r="N7" s="9">
        <f>L7+M7</f>
        <v/>
      </c>
      <c r="O7" s="10" t="n">
        <v>511</v>
      </c>
      <c r="P7" s="5">
        <f>O7-N7</f>
        <v/>
      </c>
      <c r="Q7" s="5">
        <f>SUMIFS('Resueltos 2026'!$D$4:$D$200,'Resueltos 2026'!$A$4:$A$200,$A7)+SUMIFS('Resueltos 2026'!$E$4:$E$200,'Resueltos 2026'!$A$4:$A$200,$A7)+SUMIFS('Resueltos 2026'!$F$4:$F$200,'Resueltos 2026'!$A$4:$A$200,$A7)+SUMIFS('Resueltos 2026'!$G$4:$G$200,'Resueltos 2026'!$A$4:$A$200,$A7)+SUMIFS('Resueltos 2026'!$H$4:$H$200,'Resueltos 2026'!$A$4:$A$200,$A7)+SUMIFS('Resueltos 2026'!$I$4:$I$200,'Resueltos 2026'!$A$4:$A$200,$A7)+SUMIFS('Resueltos 2026'!$J$4:$J$200,'Resueltos 2026'!$A$4:$A$200,$A7)+SUMIFS('Resueltos 2026'!$K$4:$K$200,'Resueltos 2026'!$A$4:$A$200,$A7)</f>
        <v/>
      </c>
      <c r="R7" s="7">
        <f>Q7/O7</f>
        <v/>
      </c>
      <c r="S7" s="7">
        <f>Q7/N7</f>
        <v/>
      </c>
    </row>
    <row r="8">
      <c r="A8" s="4" t="inlineStr">
        <is>
          <t>4º JUZGADO CIVIL</t>
        </is>
      </c>
      <c r="B8" s="5">
        <f>SUMIFS('Ingresos 2026'!$D$4:$D$53,'Ingresos 2026'!$A$4:$A$53,$A8,'Ingresos 2026'!$C$4:$C$53,"Civil-Civil")</f>
        <v/>
      </c>
      <c r="C8" s="5">
        <f>SUMIFS('Ingresos 2026'!$N$4:$N$53,'Ingresos 2026'!$A$4:$A$53,$A8,'Ingresos 2026'!$C$4:$C$53,"Civil-Civil")</f>
        <v/>
      </c>
      <c r="D8" s="6">
        <f>C8/Parametros!$B$13*Parametros!$B$12</f>
        <v/>
      </c>
      <c r="E8" s="6">
        <f>B8+D8</f>
        <v/>
      </c>
      <c r="F8" s="5">
        <f>SUMIFS('Ingresos 2026'!$D$4:$D$53,'Ingresos 2026'!$A$4:$A$53,$A8,'Ingresos 2026'!$C$4:$C$53,"Resto")</f>
        <v/>
      </c>
      <c r="G8" s="5">
        <f>SUMIFS('Ingresos 2026'!$N$4:$N$53,'Ingresos 2026'!$A$4:$A$53,$A8,'Ingresos 2026'!$C$4:$C$53,"Resto")</f>
        <v/>
      </c>
      <c r="H8" s="6">
        <f>G8/Parametros!$B$13*Parametros!$B$12</f>
        <v/>
      </c>
      <c r="I8" s="6">
        <f>F8+H8</f>
        <v/>
      </c>
      <c r="J8" s="7">
        <f>E8/(E8+I8)</f>
        <v/>
      </c>
      <c r="K8" s="8">
        <f>IF(J8&gt;=Parametros!$B$6,1,2)</f>
        <v/>
      </c>
      <c r="L8" s="5">
        <f>IF(K8=1,IF(E8&lt;Parametros!$B$7,ROUNDDOWN(Parametros!$B$5*E8,0),Parametros!$B$8),IF(E8&lt;Parametros!$B$9,ROUNDDOWN(Parametros!$B$5*E8,0),Parametros!$B$10))</f>
        <v/>
      </c>
      <c r="M8" s="5">
        <f>ROUNDDOWN(Parametros!$B$5*I8,0)</f>
        <v/>
      </c>
      <c r="N8" s="9">
        <f>L8+M8</f>
        <v/>
      </c>
      <c r="O8" s="10" t="n">
        <v>534</v>
      </c>
      <c r="P8" s="5">
        <f>O8-N8</f>
        <v/>
      </c>
      <c r="Q8" s="5">
        <f>SUMIFS('Resueltos 2026'!$D$4:$D$200,'Resueltos 2026'!$A$4:$A$200,$A8)+SUMIFS('Resueltos 2026'!$E$4:$E$200,'Resueltos 2026'!$A$4:$A$200,$A8)+SUMIFS('Resueltos 2026'!$F$4:$F$200,'Resueltos 2026'!$A$4:$A$200,$A8)+SUMIFS('Resueltos 2026'!$G$4:$G$200,'Resueltos 2026'!$A$4:$A$200,$A8)+SUMIFS('Resueltos 2026'!$H$4:$H$200,'Resueltos 2026'!$A$4:$A$200,$A8)+SUMIFS('Resueltos 2026'!$I$4:$I$200,'Resueltos 2026'!$A$4:$A$200,$A8)+SUMIFS('Resueltos 2026'!$J$4:$J$200,'Resueltos 2026'!$A$4:$A$200,$A8)+SUMIFS('Resueltos 2026'!$K$4:$K$200,'Resueltos 2026'!$A$4:$A$200,$A8)</f>
        <v/>
      </c>
      <c r="R8" s="7">
        <f>Q8/O8</f>
        <v/>
      </c>
      <c r="S8" s="7">
        <f>Q8/N8</f>
        <v/>
      </c>
    </row>
    <row r="9">
      <c r="A9" s="4" t="inlineStr">
        <is>
          <t>5º JUZGADO CIVIL</t>
        </is>
      </c>
      <c r="B9" s="5">
        <f>SUMIFS('Ingresos 2026'!$D$4:$D$53,'Ingresos 2026'!$A$4:$A$53,$A9,'Ingresos 2026'!$C$4:$C$53,"Civil-Civil")</f>
        <v/>
      </c>
      <c r="C9" s="5">
        <f>SUMIFS('Ingresos 2026'!$N$4:$N$53,'Ingresos 2026'!$A$4:$A$53,$A9,'Ingresos 2026'!$C$4:$C$53,"Civil-Civil")</f>
        <v/>
      </c>
      <c r="D9" s="6">
        <f>C9/Parametros!$B$13*Parametros!$B$12</f>
        <v/>
      </c>
      <c r="E9" s="6">
        <f>B9+D9</f>
        <v/>
      </c>
      <c r="F9" s="5">
        <f>SUMIFS('Ingresos 2026'!$D$4:$D$53,'Ingresos 2026'!$A$4:$A$53,$A9,'Ingresos 2026'!$C$4:$C$53,"Resto")</f>
        <v/>
      </c>
      <c r="G9" s="5">
        <f>SUMIFS('Ingresos 2026'!$N$4:$N$53,'Ingresos 2026'!$A$4:$A$53,$A9,'Ingresos 2026'!$C$4:$C$53,"Resto")</f>
        <v/>
      </c>
      <c r="H9" s="6">
        <f>G9/Parametros!$B$13*Parametros!$B$12</f>
        <v/>
      </c>
      <c r="I9" s="6">
        <f>F9+H9</f>
        <v/>
      </c>
      <c r="J9" s="7">
        <f>E9/(E9+I9)</f>
        <v/>
      </c>
      <c r="K9" s="8">
        <f>IF(J9&gt;=Parametros!$B$6,1,2)</f>
        <v/>
      </c>
      <c r="L9" s="5">
        <f>IF(K9=1,IF(E9&lt;Parametros!$B$7,ROUNDDOWN(Parametros!$B$5*E9,0),Parametros!$B$8),IF(E9&lt;Parametros!$B$9,ROUNDDOWN(Parametros!$B$5*E9,0),Parametros!$B$10))</f>
        <v/>
      </c>
      <c r="M9" s="5">
        <f>ROUNDDOWN(Parametros!$B$5*I9,0)</f>
        <v/>
      </c>
      <c r="N9" s="9">
        <f>L9+M9</f>
        <v/>
      </c>
      <c r="O9" s="10" t="n">
        <v>536</v>
      </c>
      <c r="P9" s="5">
        <f>O9-N9</f>
        <v/>
      </c>
      <c r="Q9" s="5">
        <f>SUMIFS('Resueltos 2026'!$D$4:$D$200,'Resueltos 2026'!$A$4:$A$200,$A9)+SUMIFS('Resueltos 2026'!$E$4:$E$200,'Resueltos 2026'!$A$4:$A$200,$A9)+SUMIFS('Resueltos 2026'!$F$4:$F$200,'Resueltos 2026'!$A$4:$A$200,$A9)+SUMIFS('Resueltos 2026'!$G$4:$G$200,'Resueltos 2026'!$A$4:$A$200,$A9)+SUMIFS('Resueltos 2026'!$H$4:$H$200,'Resueltos 2026'!$A$4:$A$200,$A9)+SUMIFS('Resueltos 2026'!$I$4:$I$200,'Resueltos 2026'!$A$4:$A$200,$A9)+SUMIFS('Resueltos 2026'!$J$4:$J$200,'Resueltos 2026'!$A$4:$A$200,$A9)+SUMIFS('Resueltos 2026'!$K$4:$K$200,'Resueltos 2026'!$A$4:$A$200,$A9)</f>
        <v/>
      </c>
      <c r="R9" s="7">
        <f>Q9/O9</f>
        <v/>
      </c>
      <c r="S9" s="7">
        <f>Q9/N9</f>
        <v/>
      </c>
    </row>
    <row r="10">
      <c r="A10" s="4" t="inlineStr">
        <is>
          <t>6º JUZGADO CIVIL</t>
        </is>
      </c>
      <c r="B10" s="5">
        <f>SUMIFS('Ingresos 2026'!$D$4:$D$53,'Ingresos 2026'!$A$4:$A$53,$A10,'Ingresos 2026'!$C$4:$C$53,"Civil-Civil")</f>
        <v/>
      </c>
      <c r="C10" s="5">
        <f>SUMIFS('Ingresos 2026'!$N$4:$N$53,'Ingresos 2026'!$A$4:$A$53,$A10,'Ingresos 2026'!$C$4:$C$53,"Civil-Civil")</f>
        <v/>
      </c>
      <c r="D10" s="6">
        <f>C10/Parametros!$B$13*Parametros!$B$12</f>
        <v/>
      </c>
      <c r="E10" s="6">
        <f>B10+D10</f>
        <v/>
      </c>
      <c r="F10" s="5">
        <f>SUMIFS('Ingresos 2026'!$D$4:$D$53,'Ingresos 2026'!$A$4:$A$53,$A10,'Ingresos 2026'!$C$4:$C$53,"Resto")</f>
        <v/>
      </c>
      <c r="G10" s="5">
        <f>SUMIFS('Ingresos 2026'!$N$4:$N$53,'Ingresos 2026'!$A$4:$A$53,$A10,'Ingresos 2026'!$C$4:$C$53,"Resto")</f>
        <v/>
      </c>
      <c r="H10" s="6">
        <f>G10/Parametros!$B$13*Parametros!$B$12</f>
        <v/>
      </c>
      <c r="I10" s="6">
        <f>F10+H10</f>
        <v/>
      </c>
      <c r="J10" s="7">
        <f>E10/(E10+I10)</f>
        <v/>
      </c>
      <c r="K10" s="8">
        <f>IF(J10&gt;=Parametros!$B$6,1,2)</f>
        <v/>
      </c>
      <c r="L10" s="5">
        <f>IF(K10=1,IF(E10&lt;Parametros!$B$7,ROUNDDOWN(Parametros!$B$5*E10,0),Parametros!$B$8),IF(E10&lt;Parametros!$B$9,ROUNDDOWN(Parametros!$B$5*E10,0),Parametros!$B$10))</f>
        <v/>
      </c>
      <c r="M10" s="5">
        <f>ROUNDDOWN(Parametros!$B$5*I10,0)</f>
        <v/>
      </c>
      <c r="N10" s="9">
        <f>L10+M10</f>
        <v/>
      </c>
      <c r="O10" s="10" t="n">
        <v>528</v>
      </c>
      <c r="P10" s="5">
        <f>O10-N10</f>
        <v/>
      </c>
      <c r="Q10" s="5">
        <f>SUMIFS('Resueltos 2026'!$D$4:$D$200,'Resueltos 2026'!$A$4:$A$200,$A10)+SUMIFS('Resueltos 2026'!$E$4:$E$200,'Resueltos 2026'!$A$4:$A$200,$A10)+SUMIFS('Resueltos 2026'!$F$4:$F$200,'Resueltos 2026'!$A$4:$A$200,$A10)+SUMIFS('Resueltos 2026'!$G$4:$G$200,'Resueltos 2026'!$A$4:$A$200,$A10)+SUMIFS('Resueltos 2026'!$H$4:$H$200,'Resueltos 2026'!$A$4:$A$200,$A10)+SUMIFS('Resueltos 2026'!$I$4:$I$200,'Resueltos 2026'!$A$4:$A$200,$A10)+SUMIFS('Resueltos 2026'!$J$4:$J$200,'Resueltos 2026'!$A$4:$A$200,$A10)+SUMIFS('Resueltos 2026'!$K$4:$K$200,'Resueltos 2026'!$A$4:$A$200,$A10)</f>
        <v/>
      </c>
      <c r="R10" s="7">
        <f>Q10/O10</f>
        <v/>
      </c>
      <c r="S10" s="7">
        <f>Q10/N10</f>
        <v/>
      </c>
    </row>
    <row r="11">
      <c r="A11" s="4" t="inlineStr">
        <is>
          <t>7º JUZGADO CIVIL</t>
        </is>
      </c>
      <c r="B11" s="5">
        <f>SUMIFS('Ingresos 2026'!$D$4:$D$53,'Ingresos 2026'!$A$4:$A$53,$A11,'Ingresos 2026'!$C$4:$C$53,"Civil-Civil")</f>
        <v/>
      </c>
      <c r="C11" s="5">
        <f>SUMIFS('Ingresos 2026'!$N$4:$N$53,'Ingresos 2026'!$A$4:$A$53,$A11,'Ingresos 2026'!$C$4:$C$53,"Civil-Civil")</f>
        <v/>
      </c>
      <c r="D11" s="6">
        <f>C11/Parametros!$B$13*Parametros!$B$12</f>
        <v/>
      </c>
      <c r="E11" s="6">
        <f>B11+D11</f>
        <v/>
      </c>
      <c r="F11" s="5">
        <f>SUMIFS('Ingresos 2026'!$D$4:$D$53,'Ingresos 2026'!$A$4:$A$53,$A11,'Ingresos 2026'!$C$4:$C$53,"Resto")</f>
        <v/>
      </c>
      <c r="G11" s="5">
        <f>SUMIFS('Ingresos 2026'!$N$4:$N$53,'Ingresos 2026'!$A$4:$A$53,$A11,'Ingresos 2026'!$C$4:$C$53,"Resto")</f>
        <v/>
      </c>
      <c r="H11" s="6">
        <f>G11/Parametros!$B$13*Parametros!$B$12</f>
        <v/>
      </c>
      <c r="I11" s="6">
        <f>F11+H11</f>
        <v/>
      </c>
      <c r="J11" s="7">
        <f>E11/(E11+I11)</f>
        <v/>
      </c>
      <c r="K11" s="8">
        <f>IF(J11&gt;=Parametros!$B$6,1,2)</f>
        <v/>
      </c>
      <c r="L11" s="5">
        <f>IF(K11=1,IF(E11&lt;Parametros!$B$7,ROUNDDOWN(Parametros!$B$5*E11,0),Parametros!$B$8),IF(E11&lt;Parametros!$B$9,ROUNDDOWN(Parametros!$B$5*E11,0),Parametros!$B$10))</f>
        <v/>
      </c>
      <c r="M11" s="5">
        <f>ROUNDDOWN(Parametros!$B$5*I11,0)</f>
        <v/>
      </c>
      <c r="N11" s="9">
        <f>L11+M11</f>
        <v/>
      </c>
      <c r="O11" s="10" t="n">
        <v>504</v>
      </c>
      <c r="P11" s="5">
        <f>O11-N11</f>
        <v/>
      </c>
      <c r="Q11" s="5">
        <f>SUMIFS('Resueltos 2026'!$D$4:$D$200,'Resueltos 2026'!$A$4:$A$200,$A11)+SUMIFS('Resueltos 2026'!$E$4:$E$200,'Resueltos 2026'!$A$4:$A$200,$A11)+SUMIFS('Resueltos 2026'!$F$4:$F$200,'Resueltos 2026'!$A$4:$A$200,$A11)+SUMIFS('Resueltos 2026'!$G$4:$G$200,'Resueltos 2026'!$A$4:$A$200,$A11)+SUMIFS('Resueltos 2026'!$H$4:$H$200,'Resueltos 2026'!$A$4:$A$200,$A11)+SUMIFS('Resueltos 2026'!$I$4:$I$200,'Resueltos 2026'!$A$4:$A$200,$A11)+SUMIFS('Resueltos 2026'!$J$4:$J$200,'Resueltos 2026'!$A$4:$A$200,$A11)+SUMIFS('Resueltos 2026'!$K$4:$K$200,'Resueltos 2026'!$A$4:$A$200,$A11)</f>
        <v/>
      </c>
      <c r="R11" s="7">
        <f>Q11/O11</f>
        <v/>
      </c>
      <c r="S11" s="7">
        <f>Q11/N11</f>
        <v/>
      </c>
    </row>
    <row r="12">
      <c r="A12" s="4" t="inlineStr">
        <is>
          <t>8º JUZGADO CIVIL</t>
        </is>
      </c>
      <c r="B12" s="5">
        <f>SUMIFS('Ingresos 2026'!$D$4:$D$53,'Ingresos 2026'!$A$4:$A$53,$A12,'Ingresos 2026'!$C$4:$C$53,"Civil-Civil")</f>
        <v/>
      </c>
      <c r="C12" s="5">
        <f>SUMIFS('Ingresos 2026'!$N$4:$N$53,'Ingresos 2026'!$A$4:$A$53,$A12,'Ingresos 2026'!$C$4:$C$53,"Civil-Civil")</f>
        <v/>
      </c>
      <c r="D12" s="6">
        <f>C12/Parametros!$B$13*Parametros!$B$12</f>
        <v/>
      </c>
      <c r="E12" s="6">
        <f>B12+D12</f>
        <v/>
      </c>
      <c r="F12" s="5">
        <f>SUMIFS('Ingresos 2026'!$D$4:$D$53,'Ingresos 2026'!$A$4:$A$53,$A12,'Ingresos 2026'!$C$4:$C$53,"Resto")</f>
        <v/>
      </c>
      <c r="G12" s="5">
        <f>SUMIFS('Ingresos 2026'!$N$4:$N$53,'Ingresos 2026'!$A$4:$A$53,$A12,'Ingresos 2026'!$C$4:$C$53,"Resto")</f>
        <v/>
      </c>
      <c r="H12" s="6">
        <f>G12/Parametros!$B$13*Parametros!$B$12</f>
        <v/>
      </c>
      <c r="I12" s="6">
        <f>F12+H12</f>
        <v/>
      </c>
      <c r="J12" s="7">
        <f>E12/(E12+I12)</f>
        <v/>
      </c>
      <c r="K12" s="8">
        <f>IF(J12&gt;=Parametros!$B$6,1,2)</f>
        <v/>
      </c>
      <c r="L12" s="5">
        <f>IF(K12=1,IF(E12&lt;Parametros!$B$7,ROUNDDOWN(Parametros!$B$5*E12,0),Parametros!$B$8),IF(E12&lt;Parametros!$B$9,ROUNDDOWN(Parametros!$B$5*E12,0),Parametros!$B$10))</f>
        <v/>
      </c>
      <c r="M12" s="5">
        <f>ROUNDDOWN(Parametros!$B$5*I12,0)</f>
        <v/>
      </c>
      <c r="N12" s="9">
        <f>L12+M12</f>
        <v/>
      </c>
      <c r="O12" s="10" t="n">
        <v>546</v>
      </c>
      <c r="P12" s="5">
        <f>O12-N12</f>
        <v/>
      </c>
      <c r="Q12" s="5">
        <f>SUMIFS('Resueltos 2026'!$D$4:$D$200,'Resueltos 2026'!$A$4:$A$200,$A12)+SUMIFS('Resueltos 2026'!$E$4:$E$200,'Resueltos 2026'!$A$4:$A$200,$A12)+SUMIFS('Resueltos 2026'!$F$4:$F$200,'Resueltos 2026'!$A$4:$A$200,$A12)+SUMIFS('Resueltos 2026'!$G$4:$G$200,'Resueltos 2026'!$A$4:$A$200,$A12)+SUMIFS('Resueltos 2026'!$H$4:$H$200,'Resueltos 2026'!$A$4:$A$200,$A12)+SUMIFS('Resueltos 2026'!$I$4:$I$200,'Resueltos 2026'!$A$4:$A$200,$A12)+SUMIFS('Resueltos 2026'!$J$4:$J$200,'Resueltos 2026'!$A$4:$A$200,$A12)+SUMIFS('Resueltos 2026'!$K$4:$K$200,'Resueltos 2026'!$A$4:$A$200,$A12)</f>
        <v/>
      </c>
      <c r="R12" s="7">
        <f>Q12/O12</f>
        <v/>
      </c>
      <c r="S12" s="7">
        <f>Q12/N12</f>
        <v/>
      </c>
    </row>
    <row r="13">
      <c r="A13" s="4" t="inlineStr">
        <is>
          <t>9º JUZGADO CIVIL</t>
        </is>
      </c>
      <c r="B13" s="5">
        <f>SUMIFS('Ingresos 2026'!$D$4:$D$53,'Ingresos 2026'!$A$4:$A$53,$A13,'Ingresos 2026'!$C$4:$C$53,"Civil-Civil")</f>
        <v/>
      </c>
      <c r="C13" s="5">
        <f>SUMIFS('Ingresos 2026'!$N$4:$N$53,'Ingresos 2026'!$A$4:$A$53,$A13,'Ingresos 2026'!$C$4:$C$53,"Civil-Civil")</f>
        <v/>
      </c>
      <c r="D13" s="6">
        <f>C13/Parametros!$B$13*Parametros!$B$12</f>
        <v/>
      </c>
      <c r="E13" s="6">
        <f>B13+D13</f>
        <v/>
      </c>
      <c r="F13" s="5">
        <f>SUMIFS('Ingresos 2026'!$D$4:$D$53,'Ingresos 2026'!$A$4:$A$53,$A13,'Ingresos 2026'!$C$4:$C$53,"Resto")</f>
        <v/>
      </c>
      <c r="G13" s="5">
        <f>SUMIFS('Ingresos 2026'!$N$4:$N$53,'Ingresos 2026'!$A$4:$A$53,$A13,'Ingresos 2026'!$C$4:$C$53,"Resto")</f>
        <v/>
      </c>
      <c r="H13" s="6">
        <f>G13/Parametros!$B$13*Parametros!$B$12</f>
        <v/>
      </c>
      <c r="I13" s="6">
        <f>F13+H13</f>
        <v/>
      </c>
      <c r="J13" s="7">
        <f>E13/(E13+I13)</f>
        <v/>
      </c>
      <c r="K13" s="8">
        <f>IF(J13&gt;=Parametros!$B$6,1,2)</f>
        <v/>
      </c>
      <c r="L13" s="5">
        <f>IF(K13=1,IF(E13&lt;Parametros!$B$7,ROUNDDOWN(Parametros!$B$5*E13,0),Parametros!$B$8),IF(E13&lt;Parametros!$B$9,ROUNDDOWN(Parametros!$B$5*E13,0),Parametros!$B$10))</f>
        <v/>
      </c>
      <c r="M13" s="5">
        <f>ROUNDDOWN(Parametros!$B$5*I13,0)</f>
        <v/>
      </c>
      <c r="N13" s="9">
        <f>L13+M13</f>
        <v/>
      </c>
      <c r="O13" s="10" t="n">
        <v>510</v>
      </c>
      <c r="P13" s="5">
        <f>O13-N13</f>
        <v/>
      </c>
      <c r="Q13" s="5">
        <f>SUMIFS('Resueltos 2026'!$D$4:$D$200,'Resueltos 2026'!$A$4:$A$200,$A13)+SUMIFS('Resueltos 2026'!$E$4:$E$200,'Resueltos 2026'!$A$4:$A$200,$A13)+SUMIFS('Resueltos 2026'!$F$4:$F$200,'Resueltos 2026'!$A$4:$A$200,$A13)+SUMIFS('Resueltos 2026'!$G$4:$G$200,'Resueltos 2026'!$A$4:$A$200,$A13)+SUMIFS('Resueltos 2026'!$H$4:$H$200,'Resueltos 2026'!$A$4:$A$200,$A13)+SUMIFS('Resueltos 2026'!$I$4:$I$200,'Resueltos 2026'!$A$4:$A$200,$A13)+SUMIFS('Resueltos 2026'!$J$4:$J$200,'Resueltos 2026'!$A$4:$A$200,$A13)+SUMIFS('Resueltos 2026'!$K$4:$K$200,'Resueltos 2026'!$A$4:$A$200,$A13)</f>
        <v/>
      </c>
      <c r="R13" s="7">
        <f>Q13/O13</f>
        <v/>
      </c>
      <c r="S13" s="7">
        <f>Q13/N13</f>
        <v/>
      </c>
    </row>
    <row r="14">
      <c r="A14" s="4" t="inlineStr">
        <is>
          <t>10º JUZGADO CIVIL</t>
        </is>
      </c>
      <c r="B14" s="5">
        <f>SUMIFS('Ingresos 2026'!$D$4:$D$53,'Ingresos 2026'!$A$4:$A$53,$A14,'Ingresos 2026'!$C$4:$C$53,"Civil-Civil")</f>
        <v/>
      </c>
      <c r="C14" s="5">
        <f>SUMIFS('Ingresos 2026'!$N$4:$N$53,'Ingresos 2026'!$A$4:$A$53,$A14,'Ingresos 2026'!$C$4:$C$53,"Civil-Civil")</f>
        <v/>
      </c>
      <c r="D14" s="6">
        <f>C14/Parametros!$B$13*Parametros!$B$12</f>
        <v/>
      </c>
      <c r="E14" s="6">
        <f>B14+D14</f>
        <v/>
      </c>
      <c r="F14" s="5">
        <f>SUMIFS('Ingresos 2026'!$D$4:$D$53,'Ingresos 2026'!$A$4:$A$53,$A14,'Ingresos 2026'!$C$4:$C$53,"Resto")</f>
        <v/>
      </c>
      <c r="G14" s="5">
        <f>SUMIFS('Ingresos 2026'!$N$4:$N$53,'Ingresos 2026'!$A$4:$A$53,$A14,'Ingresos 2026'!$C$4:$C$53,"Resto")</f>
        <v/>
      </c>
      <c r="H14" s="6">
        <f>G14/Parametros!$B$13*Parametros!$B$12</f>
        <v/>
      </c>
      <c r="I14" s="6">
        <f>F14+H14</f>
        <v/>
      </c>
      <c r="J14" s="7">
        <f>E14/(E14+I14)</f>
        <v/>
      </c>
      <c r="K14" s="8">
        <f>IF(J14&gt;=Parametros!$B$6,1,2)</f>
        <v/>
      </c>
      <c r="L14" s="5">
        <f>IF(K14=1,IF(E14&lt;Parametros!$B$7,ROUNDDOWN(Parametros!$B$5*E14,0),Parametros!$B$8),IF(E14&lt;Parametros!$B$9,ROUNDDOWN(Parametros!$B$5*E14,0),Parametros!$B$10))</f>
        <v/>
      </c>
      <c r="M14" s="5">
        <f>ROUNDDOWN(Parametros!$B$5*I14,0)</f>
        <v/>
      </c>
      <c r="N14" s="9">
        <f>L14+M14</f>
        <v/>
      </c>
      <c r="O14" s="10" t="n">
        <v>538</v>
      </c>
      <c r="P14" s="5">
        <f>O14-N14</f>
        <v/>
      </c>
      <c r="Q14" s="5">
        <f>SUMIFS('Resueltos 2026'!$D$4:$D$200,'Resueltos 2026'!$A$4:$A$200,$A14)+SUMIFS('Resueltos 2026'!$E$4:$E$200,'Resueltos 2026'!$A$4:$A$200,$A14)+SUMIFS('Resueltos 2026'!$F$4:$F$200,'Resueltos 2026'!$A$4:$A$200,$A14)+SUMIFS('Resueltos 2026'!$G$4:$G$200,'Resueltos 2026'!$A$4:$A$200,$A14)+SUMIFS('Resueltos 2026'!$H$4:$H$200,'Resueltos 2026'!$A$4:$A$200,$A14)+SUMIFS('Resueltos 2026'!$I$4:$I$200,'Resueltos 2026'!$A$4:$A$200,$A14)+SUMIFS('Resueltos 2026'!$J$4:$J$200,'Resueltos 2026'!$A$4:$A$200,$A14)+SUMIFS('Resueltos 2026'!$K$4:$K$200,'Resueltos 2026'!$A$4:$A$200,$A14)</f>
        <v/>
      </c>
      <c r="R14" s="7">
        <f>Q14/O14</f>
        <v/>
      </c>
      <c r="S14" s="7">
        <f>Q14/N14</f>
        <v/>
      </c>
    </row>
    <row r="15">
      <c r="A15" s="4" t="inlineStr">
        <is>
          <t>2° JUZGADO CIVIL TRANSITORIO</t>
        </is>
      </c>
      <c r="B15" s="5">
        <f>SUMIFS('Ingresos 2026'!$D$4:$D$53,'Ingresos 2026'!$A$4:$A$53,$A15,'Ingresos 2026'!$C$4:$C$53,"Civil-Civil")</f>
        <v/>
      </c>
      <c r="C15" s="5">
        <f>SUMIFS('Ingresos 2026'!$N$4:$N$53,'Ingresos 2026'!$A$4:$A$53,$A15,'Ingresos 2026'!$C$4:$C$53,"Civil-Civil")</f>
        <v/>
      </c>
      <c r="D15" s="6">
        <f>C15/Parametros!$B$13*Parametros!$B$12</f>
        <v/>
      </c>
      <c r="E15" s="6">
        <f>B15+D15</f>
        <v/>
      </c>
      <c r="F15" s="5">
        <f>SUMIFS('Ingresos 2026'!$D$4:$D$53,'Ingresos 2026'!$A$4:$A$53,$A15,'Ingresos 2026'!$C$4:$C$53,"Resto")</f>
        <v/>
      </c>
      <c r="G15" s="5">
        <f>SUMIFS('Ingresos 2026'!$N$4:$N$53,'Ingresos 2026'!$A$4:$A$53,$A15,'Ingresos 2026'!$C$4:$C$53,"Resto")</f>
        <v/>
      </c>
      <c r="H15" s="6">
        <f>G15/Parametros!$B$13*Parametros!$B$12</f>
        <v/>
      </c>
      <c r="I15" s="6">
        <f>F15+H15</f>
        <v/>
      </c>
      <c r="J15" s="7">
        <f>E15/(E15+I15)</f>
        <v/>
      </c>
      <c r="K15" s="8">
        <f>IF(J15&gt;=Parametros!$B$6,1,2)</f>
        <v/>
      </c>
      <c r="L15" s="5">
        <f>IF(K15=1,IF(E15&lt;Parametros!$B$7,ROUNDDOWN(Parametros!$B$5*E15,0),Parametros!$B$8),IF(E15&lt;Parametros!$B$9,ROUNDDOWN(Parametros!$B$5*E15,0),Parametros!$B$10))</f>
        <v/>
      </c>
      <c r="M15" s="5">
        <f>ROUNDDOWN(Parametros!$B$5*I15,0)</f>
        <v/>
      </c>
      <c r="N15" s="9">
        <f>L15+M15</f>
        <v/>
      </c>
      <c r="O15" s="10" t="n">
        <v>654</v>
      </c>
      <c r="P15" s="11">
        <f>O15-N15</f>
        <v/>
      </c>
      <c r="Q15" s="5">
        <f>SUMIFS('Resueltos 2026'!$D$4:$D$200,'Resueltos 2026'!$A$4:$A$200,$A15)+SUMIFS('Resueltos 2026'!$E$4:$E$200,'Resueltos 2026'!$A$4:$A$200,$A15)+SUMIFS('Resueltos 2026'!$F$4:$F$200,'Resueltos 2026'!$A$4:$A$200,$A15)+SUMIFS('Resueltos 2026'!$G$4:$G$200,'Resueltos 2026'!$A$4:$A$200,$A15)+SUMIFS('Resueltos 2026'!$H$4:$H$200,'Resueltos 2026'!$A$4:$A$200,$A15)+SUMIFS('Resueltos 2026'!$I$4:$I$200,'Resueltos 2026'!$A$4:$A$200,$A15)+SUMIFS('Resueltos 2026'!$J$4:$J$200,'Resueltos 2026'!$A$4:$A$200,$A15)+SUMIFS('Resueltos 2026'!$K$4:$K$200,'Resueltos 2026'!$A$4:$A$200,$A15)</f>
        <v/>
      </c>
      <c r="R15" s="7">
        <f>Q15/O15</f>
        <v/>
      </c>
      <c r="S15" s="7">
        <f>Q15/N15</f>
        <v/>
      </c>
    </row>
    <row r="16">
      <c r="A16" s="12" t="inlineStr">
        <is>
          <t>TOTAL 10 permanentes</t>
        </is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4">
        <f>SUM(N5:N14)</f>
        <v/>
      </c>
      <c r="O16" s="14">
        <f>SUM(O5:O14)</f>
        <v/>
      </c>
      <c r="P16" s="14">
        <f>SUM(P5:P14)</f>
        <v/>
      </c>
      <c r="Q16" s="14">
        <f>SUM(Q5:Q14)</f>
        <v/>
      </c>
      <c r="R16" s="15">
        <f>Q16/O16</f>
        <v/>
      </c>
      <c r="S16" s="15">
        <f>Q16/N16</f>
        <v/>
      </c>
    </row>
    <row r="17">
      <c r="A17" s="12" t="inlineStr">
        <is>
          <t>TOTAL 11 juzgados</t>
        </is>
      </c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4">
        <f>SUM(N5:N15)</f>
        <v/>
      </c>
      <c r="O17" s="14">
        <f>SUM(O5:O15)</f>
        <v/>
      </c>
      <c r="P17" s="14">
        <f>SUM(P5:P15)</f>
        <v/>
      </c>
      <c r="Q17" s="14">
        <f>SUM(Q5:Q15)</f>
        <v/>
      </c>
      <c r="R17" s="15">
        <f>Q17/O17</f>
        <v/>
      </c>
      <c r="S17" s="15">
        <f>Q17/N17</f>
        <v/>
      </c>
    </row>
    <row r="18">
      <c r="A18" s="16" t="inlineStr">
        <is>
          <t>Error absoluto medio (10 permanentes)</t>
        </is>
      </c>
      <c r="P18" s="17">
        <f>SUMPRODUCT(ABS(P5:P14))/10</f>
        <v/>
      </c>
    </row>
    <row r="20" ht="15" customHeight="1">
      <c r="A20" s="18" t="inlineStr">
        <is>
          <t>CONCLUSIÓN</t>
        </is>
      </c>
    </row>
    <row r="21" ht="32" customHeight="1">
      <c r="A21" s="19" t="inlineStr">
        <is>
          <t>• La meta SIE de los 10 juzgados permanentes se reproduce con diferencias de 0 a 3 expedientes con esta regla: Anexo 3 de la R.A. 090-2025 (A = 350 porque la carga Civil-Civil &gt; 455; B = 77% de la carga de las demás subespecialidades), con la carga proyectada así: pendientes al inicio de 2026 + (ingresos ene–jun 2026 ÷ 5 meses efectivos × 11 meses efectivos), redondeando hacia abajo.</t>
        </is>
      </c>
    </row>
    <row r="22" ht="32" customHeight="1">
      <c r="A22" s="19" t="inlineStr">
        <is>
          <t>• Es decir: el SIE estimó la meta con la data al corte de JUNIO 2026 y anualiza sin contar febrero. Las pequeñas diferencias (casi siempre −1/−2) se explican porque la data SIJ que tenemos es posterior (corte 01/10/26) e incluye correcciones de ingresos registradas después de junio.</t>
        </is>
      </c>
    </row>
    <row r="23" ht="32" customHeight="1">
      <c r="A23" s="19" t="inlineStr">
        <is>
          <t>• La data 2025 NO explica la meta SIE (hoja Hipotesis, H1–H3: errores de hasta ±57). Sirve de referencia, pero la meta SIE se basa en la carga 2026.</t>
        </is>
      </c>
    </row>
    <row r="24" ht="32" customHeight="1">
      <c r="A24" s="19" t="inlineStr">
        <is>
          <t>• 2° Juzgado Civil Transitorio: la regla da ~406 y el SIE muestra 654. Ninguna combinación de los datos lo reproduce. Recibió 437 expedientes redistribuidos en mar–abr 2026 (no son ingresos ordinarios), y 654 ≈ 600 × 12/11 = 654.5 (estándar ajustado a 11 meses): es probable que su meta se fije por estándar o por la resolución que lo prorroga, no por el Anexo 3. Verificar con la Oficina de Productividad / Estadística.</t>
        </is>
      </c>
    </row>
    <row r="25" ht="32" customHeight="1">
      <c r="A25" s="19" t="inlineStr">
        <is>
          <t>• Para simular la meta con otro corte, cambiar Parametros!B11 (p. ej. 9 = setiembre).</t>
        </is>
      </c>
    </row>
  </sheetData>
  <mergeCells count="6">
    <mergeCell ref="A25:S25"/>
    <mergeCell ref="A23:S23"/>
    <mergeCell ref="A22:S22"/>
    <mergeCell ref="A21:S21"/>
    <mergeCell ref="A20:S20"/>
    <mergeCell ref="A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6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HIPÓTESIS PROBADAS – DIFERENCIA META SIE MENOS META CALCULADA (expedientes)</t>
        </is>
      </c>
    </row>
    <row r="2">
      <c r="A2" s="2" t="inlineStr">
        <is>
          <t>Todas aplican el Anexo 3 de la R.A. 090-2025; cambia solo la carga usada. Resultados calculados en el análisis (valores fijos).</t>
        </is>
      </c>
    </row>
    <row r="4" ht="45" customHeight="1">
      <c r="A4" s="3" t="inlineStr">
        <is>
          <t>Hipótesis</t>
        </is>
      </c>
      <c r="B4" s="3" t="inlineStr">
        <is>
          <t>1º Civil</t>
        </is>
      </c>
      <c r="C4" s="3" t="inlineStr">
        <is>
          <t>2º Civil</t>
        </is>
      </c>
      <c r="D4" s="3" t="inlineStr">
        <is>
          <t>3º Civil</t>
        </is>
      </c>
      <c r="E4" s="3" t="inlineStr">
        <is>
          <t>4º Civil</t>
        </is>
      </c>
      <c r="F4" s="3" t="inlineStr">
        <is>
          <t>5º Civil</t>
        </is>
      </c>
      <c r="G4" s="3" t="inlineStr">
        <is>
          <t>6º Civil</t>
        </is>
      </c>
      <c r="H4" s="3" t="inlineStr">
        <is>
          <t>7º Civil</t>
        </is>
      </c>
      <c r="I4" s="3" t="inlineStr">
        <is>
          <t>8º Civil</t>
        </is>
      </c>
      <c r="J4" s="3" t="inlineStr">
        <is>
          <t>9º Civil</t>
        </is>
      </c>
      <c r="K4" s="3" t="inlineStr">
        <is>
          <t>10º Civil</t>
        </is>
      </c>
      <c r="L4" s="3" t="inlineStr">
        <is>
          <t>2° Civil Trans.</t>
        </is>
      </c>
      <c r="M4" s="3" t="inlineStr">
        <is>
          <t>Error abs. medio (10 perm.)</t>
        </is>
      </c>
      <c r="N4" s="3" t="inlineStr">
        <is>
          <t>Máx. error abs. (10 perm.)</t>
        </is>
      </c>
    </row>
    <row r="5">
      <c r="A5" s="20" t="inlineStr">
        <is>
          <t>H1. Carga 2025 real: pend. inicio 2025 + ingresos 2025</t>
        </is>
      </c>
      <c r="B5" s="21" t="n">
        <v>43</v>
      </c>
      <c r="C5" s="21" t="n">
        <v>40</v>
      </c>
      <c r="D5" s="21" t="n">
        <v>-2</v>
      </c>
      <c r="E5" s="21" t="n">
        <v>0</v>
      </c>
      <c r="F5" s="21" t="n">
        <v>-13</v>
      </c>
      <c r="G5" s="21" t="n">
        <v>7</v>
      </c>
      <c r="H5" s="21" t="n">
        <v>-5</v>
      </c>
      <c r="I5" s="21" t="n">
        <v>48</v>
      </c>
      <c r="J5" s="21" t="n">
        <v>45</v>
      </c>
      <c r="K5" s="21" t="n">
        <v>57</v>
      </c>
      <c r="L5" s="21" t="n">
        <v>220</v>
      </c>
      <c r="M5" s="22">
        <f>SUMPRODUCT(ABS(B5:K5))/10</f>
        <v/>
      </c>
      <c r="N5" s="23">
        <f>MAX(MAX(B5:K5),-MIN(B5:K5))</f>
        <v/>
      </c>
    </row>
    <row r="6">
      <c r="A6" s="20" t="inlineStr">
        <is>
          <t>H2. Pend. inicio 2026 + ingresos 2025 (año anterior como proyección)</t>
        </is>
      </c>
      <c r="B6" s="21" t="n">
        <v>-31</v>
      </c>
      <c r="C6" s="21" t="n">
        <v>30</v>
      </c>
      <c r="D6" s="21" t="n">
        <v>-23</v>
      </c>
      <c r="E6" s="21" t="n">
        <v>-10</v>
      </c>
      <c r="F6" s="21" t="n">
        <v>-27</v>
      </c>
      <c r="G6" s="21" t="n">
        <v>-7</v>
      </c>
      <c r="H6" s="21" t="n">
        <v>-31</v>
      </c>
      <c r="I6" s="21" t="n">
        <v>11</v>
      </c>
      <c r="J6" s="21" t="n">
        <v>5</v>
      </c>
      <c r="K6" s="21" t="n">
        <v>29</v>
      </c>
      <c r="L6" s="21" t="n">
        <v>174</v>
      </c>
      <c r="M6" s="22">
        <f>SUMPRODUCT(ABS(B6:K6))/10</f>
        <v/>
      </c>
      <c r="N6" s="23">
        <f>MAX(MAX(B6:K6),-MIN(B6:K6))</f>
        <v/>
      </c>
    </row>
    <row r="7">
      <c r="A7" s="20" t="inlineStr">
        <is>
          <t>H3. Pend. 2026 + ingr. ene–ago 2026 + ingr. set–dic 2025</t>
        </is>
      </c>
      <c r="B7" s="21" t="n">
        <v>-8</v>
      </c>
      <c r="C7" s="21" t="n">
        <v>25</v>
      </c>
      <c r="D7" s="21" t="n">
        <v>4</v>
      </c>
      <c r="E7" s="21" t="n">
        <v>-5</v>
      </c>
      <c r="F7" s="21" t="n">
        <v>1</v>
      </c>
      <c r="G7" s="21" t="n">
        <v>9</v>
      </c>
      <c r="H7" s="21" t="n">
        <v>-12</v>
      </c>
      <c r="I7" s="21" t="n">
        <v>17</v>
      </c>
      <c r="J7" s="21" t="n">
        <v>-8</v>
      </c>
      <c r="K7" s="21" t="n">
        <v>24</v>
      </c>
      <c r="L7" s="21" t="n">
        <v>253</v>
      </c>
      <c r="M7" s="22">
        <f>SUMPRODUCT(ABS(B7:K7))/10</f>
        <v/>
      </c>
      <c r="N7" s="23">
        <f>MAX(MAX(B7:K7),-MIN(B7:K7))</f>
        <v/>
      </c>
    </row>
    <row r="8">
      <c r="A8" s="20" t="inlineStr">
        <is>
          <t>H4. Pend. 2026 + ingr. ene–ago 2026 × 12/8</t>
        </is>
      </c>
      <c r="B8" s="21" t="n">
        <v>13</v>
      </c>
      <c r="C8" s="21" t="n">
        <v>30</v>
      </c>
      <c r="D8" s="21" t="n">
        <v>16</v>
      </c>
      <c r="E8" s="21" t="n">
        <v>-5</v>
      </c>
      <c r="F8" s="21" t="n">
        <v>2</v>
      </c>
      <c r="G8" s="21" t="n">
        <v>18</v>
      </c>
      <c r="H8" s="21" t="n">
        <v>10</v>
      </c>
      <c r="I8" s="21" t="n">
        <v>29</v>
      </c>
      <c r="J8" s="21" t="n">
        <v>0</v>
      </c>
      <c r="K8" s="21" t="n">
        <v>18</v>
      </c>
      <c r="L8" s="21" t="n">
        <v>251</v>
      </c>
      <c r="M8" s="22">
        <f>SUMPRODUCT(ABS(B8:K8))/10</f>
        <v/>
      </c>
      <c r="N8" s="23">
        <f>MAX(MAX(B8:K8),-MIN(B8:K8))</f>
        <v/>
      </c>
    </row>
    <row r="9">
      <c r="A9" s="20" t="inlineStr">
        <is>
          <t>H5. Pend. 2026 + ingr. ene–set 2026 × 12/9</t>
        </is>
      </c>
      <c r="B9" s="21" t="n">
        <v>13</v>
      </c>
      <c r="C9" s="21" t="n">
        <v>21</v>
      </c>
      <c r="D9" s="21" t="n">
        <v>17</v>
      </c>
      <c r="E9" s="21" t="n">
        <v>-1</v>
      </c>
      <c r="F9" s="21" t="n">
        <v>3</v>
      </c>
      <c r="G9" s="21" t="n">
        <v>14</v>
      </c>
      <c r="H9" s="21" t="n">
        <v>5</v>
      </c>
      <c r="I9" s="21" t="n">
        <v>17</v>
      </c>
      <c r="J9" s="21" t="n">
        <v>5</v>
      </c>
      <c r="K9" s="21" t="n">
        <v>23</v>
      </c>
      <c r="L9" s="21" t="n">
        <v>250</v>
      </c>
      <c r="M9" s="22">
        <f>SUMPRODUCT(ABS(B9:K9))/10</f>
        <v/>
      </c>
      <c r="N9" s="23">
        <f>MAX(MAX(B9:K9),-MIN(B9:K9))</f>
        <v/>
      </c>
    </row>
    <row r="10">
      <c r="A10" s="20" t="inlineStr">
        <is>
          <t>H6. Pend. 2026 + ingr. ene–jun 2026 × 12/6</t>
        </is>
      </c>
      <c r="B10" s="21" t="n">
        <v>8</v>
      </c>
      <c r="C10" s="21" t="n">
        <v>12</v>
      </c>
      <c r="D10" s="21" t="n">
        <v>6</v>
      </c>
      <c r="E10" s="21" t="n">
        <v>12</v>
      </c>
      <c r="F10" s="21" t="n">
        <v>10</v>
      </c>
      <c r="G10" s="21" t="n">
        <v>9</v>
      </c>
      <c r="H10" s="21" t="n">
        <v>8</v>
      </c>
      <c r="I10" s="21" t="n">
        <v>10</v>
      </c>
      <c r="J10" s="21" t="n">
        <v>8</v>
      </c>
      <c r="K10" s="21" t="n">
        <v>11</v>
      </c>
      <c r="L10" s="21" t="n">
        <v>249</v>
      </c>
      <c r="M10" s="22">
        <f>SUMPRODUCT(ABS(B10:K10))/10</f>
        <v/>
      </c>
      <c r="N10" s="23">
        <f>MAX(MAX(B10:K10),-MIN(B10:K10))</f>
        <v/>
      </c>
    </row>
    <row r="11">
      <c r="A11" s="24" t="inlineStr">
        <is>
          <t>H7. Pend. 2026 + ingr. ene–jun 2026 ÷ 5 × 11 (redondeo abajo)  ← MEJOR AJUSTE</t>
        </is>
      </c>
      <c r="B11" s="25" t="n">
        <v>-2</v>
      </c>
      <c r="C11" s="25" t="n">
        <v>-1</v>
      </c>
      <c r="D11" s="25" t="n">
        <v>-3</v>
      </c>
      <c r="E11" s="25" t="n">
        <v>0</v>
      </c>
      <c r="F11" s="25" t="n">
        <v>0</v>
      </c>
      <c r="G11" s="25" t="n">
        <v>-2</v>
      </c>
      <c r="H11" s="25" t="n">
        <v>-2</v>
      </c>
      <c r="I11" s="25" t="n">
        <v>-1</v>
      </c>
      <c r="J11" s="25" t="n">
        <v>0</v>
      </c>
      <c r="K11" s="25" t="n">
        <v>-1</v>
      </c>
      <c r="L11" s="25" t="n">
        <v>248</v>
      </c>
      <c r="M11" s="26">
        <f>SUMPRODUCT(ABS(B11:K11))/10</f>
        <v/>
      </c>
      <c r="N11" s="27">
        <f>MAX(MAX(B11:K11),-MIN(B11:K11))</f>
        <v/>
      </c>
    </row>
    <row r="14" ht="15" customHeight="1">
      <c r="A14" s="18" t="inlineStr">
        <is>
          <t>LECTURA</t>
        </is>
      </c>
    </row>
    <row r="15" ht="32" customHeight="1">
      <c r="A15" s="19" t="inlineStr">
        <is>
          <t>• H1–H3 usan la data 2025 y fallan (errores dispersos, de signo cambiante). H4–H6 proyectan 2026 con 12 meses y dejan un sesgo constante. Solo H7 (corte junio, 11 meses efectivos) deja errores de 0 a 3 en todos los permanentes.</t>
        </is>
      </c>
    </row>
    <row r="16" ht="32" customHeight="1">
      <c r="A16" s="19" t="inlineStr">
        <is>
          <t>• El 2° Transitorio queda fuera de todas las hipótesis (~+250): su meta no sigue el Anexo 3.</t>
        </is>
      </c>
    </row>
  </sheetData>
  <mergeCells count="3">
    <mergeCell ref="A14:N14"/>
    <mergeCell ref="A16:N16"/>
    <mergeCell ref="A15:N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8" customWidth="1" min="1" max="1"/>
    <col width="10" customWidth="1" min="2" max="2"/>
    <col width="70" customWidth="1" min="3" max="3"/>
  </cols>
  <sheetData>
    <row r="1">
      <c r="A1" s="1" t="inlineStr">
        <is>
          <t>PARÁMETROS – RECONSTRUCCIÓN DE LA META SIE 2026</t>
        </is>
      </c>
    </row>
    <row r="3" ht="20" customHeight="1">
      <c r="A3" s="3" t="inlineStr">
        <is>
          <t>Parámetro</t>
        </is>
      </c>
      <c r="B3" s="3" t="inlineStr">
        <is>
          <t>Valor</t>
        </is>
      </c>
      <c r="C3" s="3" t="inlineStr">
        <is>
          <t>Fuente / comentario</t>
        </is>
      </c>
    </row>
    <row r="4">
      <c r="A4" s="28" t="inlineStr">
        <is>
          <t>Estándar Juzgado Civil Mixto sin VF</t>
        </is>
      </c>
      <c r="B4" s="29" t="n">
        <v>600</v>
      </c>
      <c r="C4" s="30" t="inlineStr">
        <is>
          <t>R.A. 090-2025-CE-PJ, Anexo 1</t>
        </is>
      </c>
    </row>
    <row r="5">
      <c r="A5" s="28" t="inlineStr">
        <is>
          <t>Factor 77%</t>
        </is>
      </c>
      <c r="B5" s="31" t="n">
        <v>0.77</v>
      </c>
      <c r="C5" s="30" t="inlineStr">
        <is>
          <t>R.A. 090-2025-CE-PJ, Anexo 3</t>
        </is>
      </c>
    </row>
    <row r="6">
      <c r="A6" s="28" t="inlineStr">
        <is>
          <t>Umbral Civil-Civil / carga total</t>
        </is>
      </c>
      <c r="B6" s="31" t="n">
        <v>0.75</v>
      </c>
      <c r="C6" s="30" t="inlineStr">
        <is>
          <t>Anexo 3</t>
        </is>
      </c>
    </row>
    <row r="7">
      <c r="A7" s="28" t="inlineStr">
        <is>
          <t>Caso 1: límite carga Civil-Civil</t>
        </is>
      </c>
      <c r="B7" s="29" t="n">
        <v>455</v>
      </c>
      <c r="C7" s="30" t="inlineStr">
        <is>
          <t>Anexo 3</t>
        </is>
      </c>
    </row>
    <row r="8">
      <c r="A8" s="28" t="inlineStr">
        <is>
          <t>Caso 1: meta fija Civil-Civil</t>
        </is>
      </c>
      <c r="B8" s="29" t="n">
        <v>350</v>
      </c>
      <c r="C8" s="30" t="inlineStr">
        <is>
          <t>Anexo 3</t>
        </is>
      </c>
    </row>
    <row r="9">
      <c r="A9" s="28" t="inlineStr">
        <is>
          <t>Caso 2: límite carga Civil-Civil</t>
        </is>
      </c>
      <c r="B9" s="29" t="n">
        <v>390</v>
      </c>
      <c r="C9" s="30" t="inlineStr">
        <is>
          <t>Anexo 3</t>
        </is>
      </c>
    </row>
    <row r="10">
      <c r="A10" s="28" t="inlineStr">
        <is>
          <t>Caso 2: meta fija Civil-Civil</t>
        </is>
      </c>
      <c r="B10" s="29" t="n">
        <v>300</v>
      </c>
      <c r="C10" s="30" t="inlineStr">
        <is>
          <t>Anexo 3</t>
        </is>
      </c>
    </row>
    <row r="11">
      <c r="A11" s="28" t="inlineStr">
        <is>
          <t>Mes de corte de la data usada por el SIE (1=ene … 9=set)</t>
        </is>
      </c>
      <c r="B11" s="32" t="n">
        <v>6</v>
      </c>
      <c r="C11" s="30" t="inlineStr">
        <is>
          <t>Mejor ajuste: junio (ver hoja Hipotesis). Cambiar para simular otros cortes.</t>
        </is>
      </c>
    </row>
    <row r="12">
      <c r="A12" s="28" t="inlineStr">
        <is>
          <t>Meses efectivos del año (sin febrero)</t>
        </is>
      </c>
      <c r="B12" s="29" t="n">
        <v>11</v>
      </c>
      <c r="C12" s="30" t="inlineStr">
        <is>
          <t>Febrero = vacaciones judiciales; coincide con el 63.6% = 7/11 del reporte</t>
        </is>
      </c>
    </row>
    <row r="13">
      <c r="A13" s="28" t="inlineStr">
        <is>
          <t>Meses efectivos hasta el corte</t>
        </is>
      </c>
      <c r="B13" s="28">
        <f>B11-IF(B11&gt;=2,1,0)</f>
        <v/>
      </c>
      <c r="C13" s="30" t="inlineStr">
        <is>
          <t>Meses de corte menos febrero</t>
        </is>
      </c>
    </row>
    <row r="15" ht="32" customHeight="1">
      <c r="A15" s="33" t="inlineStr">
        <is>
          <t>Fórmula reconstruida: Ingresos proyectados = ingresos ene–corte ÷ meses efectivos hasta el corte × 11; Carga = pendientes + ingresos proyectados; Meta = A + B (Anexo 3), redondeando hacia abajo.</t>
        </is>
      </c>
    </row>
  </sheetData>
  <mergeCells count="1">
    <mergeCell ref="A15:C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6" customWidth="1" min="2" max="2"/>
    <col width="11" customWidth="1" min="3" max="3"/>
    <col width="11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1" customWidth="1" min="14" max="14"/>
    <col width="9" customWidth="1" min="15" max="15"/>
  </cols>
  <sheetData>
    <row r="1">
      <c r="A1" s="1" t="inlineStr">
        <is>
          <t>INGRESOS Y PENDIENTES – TRÁMITE 2026 (SIJ)</t>
        </is>
      </c>
    </row>
    <row r="2">
      <c r="A2" s="2" t="inlineStr">
        <is>
          <t>Fuente: Ingresos_Tramite_ene-set_2026_jec_ci.xlsx (corte 01/10/26)</t>
        </is>
      </c>
    </row>
    <row r="3" ht="55" customHeight="1">
      <c r="A3" s="3" t="inlineStr">
        <is>
          <t>Juzgado</t>
        </is>
      </c>
      <c r="B3" s="3" t="inlineStr">
        <is>
          <t>Subespecialidad</t>
        </is>
      </c>
      <c r="C3" s="3" t="inlineStr">
        <is>
          <t>Grupo</t>
        </is>
      </c>
      <c r="D3" s="3" t="inlineStr">
        <is>
          <t>Pendientes año anterior</t>
        </is>
      </c>
      <c r="E3" s="3" t="inlineStr">
        <is>
          <t>Ene</t>
        </is>
      </c>
      <c r="F3" s="3" t="inlineStr">
        <is>
          <t>Feb</t>
        </is>
      </c>
      <c r="G3" s="3" t="inlineStr">
        <is>
          <t>Mar</t>
        </is>
      </c>
      <c r="H3" s="3" t="inlineStr">
        <is>
          <t>Abr</t>
        </is>
      </c>
      <c r="I3" s="3" t="inlineStr">
        <is>
          <t>May</t>
        </is>
      </c>
      <c r="J3" s="3" t="inlineStr">
        <is>
          <t>Jun</t>
        </is>
      </c>
      <c r="K3" s="3" t="inlineStr">
        <is>
          <t>Jul</t>
        </is>
      </c>
      <c r="L3" s="3" t="inlineStr">
        <is>
          <t>Ago</t>
        </is>
      </c>
      <c r="M3" s="3" t="inlineStr">
        <is>
          <t>Set</t>
        </is>
      </c>
      <c r="N3" s="3" t="inlineStr">
        <is>
          <t>Ingresos ene–corte</t>
        </is>
      </c>
      <c r="O3" s="3" t="inlineStr">
        <is>
          <t>Total</t>
        </is>
      </c>
    </row>
    <row r="4">
      <c r="A4" s="20" t="inlineStr">
        <is>
          <t>1º JUZGADO CIVIL</t>
        </is>
      </c>
      <c r="B4" s="20" t="inlineStr">
        <is>
          <t>CIVIL - CIVIL</t>
        </is>
      </c>
      <c r="C4" s="20" t="inlineStr">
        <is>
          <t>Civil-Civil</t>
        </is>
      </c>
      <c r="D4" s="21" t="n">
        <v>409</v>
      </c>
      <c r="E4" s="21" t="n">
        <v>53</v>
      </c>
      <c r="F4" s="21" t="n">
        <v>1</v>
      </c>
      <c r="G4" s="21" t="n">
        <v>48</v>
      </c>
      <c r="H4" s="21" t="n">
        <v>62</v>
      </c>
      <c r="I4" s="21" t="n">
        <v>47</v>
      </c>
      <c r="J4" s="21" t="n">
        <v>49</v>
      </c>
      <c r="K4" s="21" t="n">
        <v>52</v>
      </c>
      <c r="L4" s="21" t="n">
        <v>46</v>
      </c>
      <c r="M4" s="21" t="n">
        <v>50</v>
      </c>
      <c r="N4" s="20">
        <f>SUMPRODUCT(E4:M4*((COLUMN(E4:M4)-COLUMN(E4)+1)&lt;=Parametros!$B$11))</f>
        <v/>
      </c>
      <c r="O4" s="20">
        <f>SUM(E4:M4)</f>
        <v/>
      </c>
    </row>
    <row r="5">
      <c r="A5" s="20" t="inlineStr">
        <is>
          <t>1º JUZGADO CIVIL</t>
        </is>
      </c>
      <c r="B5" s="20" t="inlineStr">
        <is>
          <t>CIVIL - COMERCIAL</t>
        </is>
      </c>
      <c r="C5" s="20" t="inlineStr">
        <is>
          <t>Resto</t>
        </is>
      </c>
      <c r="D5" s="21" t="n">
        <v>85</v>
      </c>
      <c r="E5" s="21" t="n">
        <v>9</v>
      </c>
      <c r="F5" s="21" t="n">
        <v>0</v>
      </c>
      <c r="G5" s="21" t="n">
        <v>10</v>
      </c>
      <c r="H5" s="21" t="n">
        <v>9</v>
      </c>
      <c r="I5" s="21" t="n">
        <v>8</v>
      </c>
      <c r="J5" s="21" t="n">
        <v>8</v>
      </c>
      <c r="K5" s="21" t="n">
        <v>5</v>
      </c>
      <c r="L5" s="21" t="n">
        <v>4</v>
      </c>
      <c r="M5" s="21" t="n">
        <v>6</v>
      </c>
      <c r="N5" s="20">
        <f>SUMPRODUCT(E5:M5*((COLUMN(E5:M5)-COLUMN(E5)+1)&lt;=Parametros!$B$11))</f>
        <v/>
      </c>
      <c r="O5" s="20">
        <f>SUM(E5:M5)</f>
        <v/>
      </c>
    </row>
    <row r="6">
      <c r="A6" s="20" t="inlineStr">
        <is>
          <t>1º JUZGADO CIVIL</t>
        </is>
      </c>
      <c r="B6" s="20" t="inlineStr">
        <is>
          <t>FAMILIA - FAMILIA CIVIL</t>
        </is>
      </c>
      <c r="C6" s="20" t="inlineStr">
        <is>
          <t>Resto</t>
        </is>
      </c>
      <c r="D6" s="21" t="n">
        <v>0</v>
      </c>
      <c r="E6" s="21" t="n">
        <v>0</v>
      </c>
      <c r="F6" s="21" t="n">
        <v>0</v>
      </c>
      <c r="G6" s="21" t="n">
        <v>1</v>
      </c>
      <c r="H6" s="21" t="n">
        <v>0</v>
      </c>
      <c r="I6" s="21" t="n">
        <v>0</v>
      </c>
      <c r="J6" s="21" t="n">
        <v>0</v>
      </c>
      <c r="K6" s="21" t="n">
        <v>0</v>
      </c>
      <c r="L6" s="21" t="n">
        <v>0</v>
      </c>
      <c r="M6" s="21" t="n">
        <v>0</v>
      </c>
      <c r="N6" s="20">
        <f>SUMPRODUCT(E6:M6*((COLUMN(E6:M6)-COLUMN(E6)+1)&lt;=Parametros!$B$11))</f>
        <v/>
      </c>
      <c r="O6" s="20">
        <f>SUM(E6:M6)</f>
        <v/>
      </c>
    </row>
    <row r="7">
      <c r="A7" s="20" t="inlineStr">
        <is>
          <t>1º JUZGADO CIVIL</t>
        </is>
      </c>
      <c r="B7" s="20" t="inlineStr">
        <is>
          <t>CIVIL - CONTENCIOSO ADMINISTRATIVO</t>
        </is>
      </c>
      <c r="C7" s="20" t="inlineStr">
        <is>
          <t>Resto</t>
        </is>
      </c>
      <c r="D7" s="21" t="n">
        <v>35</v>
      </c>
      <c r="E7" s="21" t="n">
        <v>5</v>
      </c>
      <c r="F7" s="21" t="n">
        <v>0</v>
      </c>
      <c r="G7" s="21" t="n">
        <v>5</v>
      </c>
      <c r="H7" s="21" t="n">
        <v>2</v>
      </c>
      <c r="I7" s="21" t="n">
        <v>5</v>
      </c>
      <c r="J7" s="21" t="n">
        <v>1</v>
      </c>
      <c r="K7" s="21" t="n">
        <v>2</v>
      </c>
      <c r="L7" s="21" t="n">
        <v>5</v>
      </c>
      <c r="M7" s="21" t="n">
        <v>4</v>
      </c>
      <c r="N7" s="20">
        <f>SUMPRODUCT(E7:M7*((COLUMN(E7:M7)-COLUMN(E7)+1)&lt;=Parametros!$B$11))</f>
        <v/>
      </c>
      <c r="O7" s="20">
        <f>SUM(E7:M7)</f>
        <v/>
      </c>
    </row>
    <row r="8">
      <c r="A8" s="20" t="inlineStr">
        <is>
          <t>2º JUZGADO CIVIL</t>
        </is>
      </c>
      <c r="B8" s="20" t="inlineStr">
        <is>
          <t>CIVIL - CIVIL</t>
        </is>
      </c>
      <c r="C8" s="20" t="inlineStr">
        <is>
          <t>Civil-Civil</t>
        </is>
      </c>
      <c r="D8" s="21" t="n">
        <v>501</v>
      </c>
      <c r="E8" s="21" t="n">
        <v>50</v>
      </c>
      <c r="F8" s="21" t="n">
        <v>2</v>
      </c>
      <c r="G8" s="21" t="n">
        <v>33</v>
      </c>
      <c r="H8" s="21" t="n">
        <v>60</v>
      </c>
      <c r="I8" s="21" t="n">
        <v>51</v>
      </c>
      <c r="J8" s="21" t="n">
        <v>38</v>
      </c>
      <c r="K8" s="21" t="n">
        <v>18</v>
      </c>
      <c r="L8" s="21" t="n">
        <v>37</v>
      </c>
      <c r="M8" s="21" t="n">
        <v>58</v>
      </c>
      <c r="N8" s="20">
        <f>SUMPRODUCT(E8:M8*((COLUMN(E8:M8)-COLUMN(E8)+1)&lt;=Parametros!$B$11))</f>
        <v/>
      </c>
      <c r="O8" s="20">
        <f>SUM(E8:M8)</f>
        <v/>
      </c>
    </row>
    <row r="9">
      <c r="A9" s="20" t="inlineStr">
        <is>
          <t>2º JUZGADO CIVIL</t>
        </is>
      </c>
      <c r="B9" s="20" t="inlineStr">
        <is>
          <t>CIVIL - COMERCIAL</t>
        </is>
      </c>
      <c r="C9" s="20" t="inlineStr">
        <is>
          <t>Resto</t>
        </is>
      </c>
      <c r="D9" s="21" t="n">
        <v>35</v>
      </c>
      <c r="E9" s="21" t="n">
        <v>12</v>
      </c>
      <c r="F9" s="21" t="n">
        <v>0</v>
      </c>
      <c r="G9" s="21" t="n">
        <v>10</v>
      </c>
      <c r="H9" s="21" t="n">
        <v>13</v>
      </c>
      <c r="I9" s="21" t="n">
        <v>15</v>
      </c>
      <c r="J9" s="21" t="n">
        <v>18</v>
      </c>
      <c r="K9" s="21" t="n">
        <v>7</v>
      </c>
      <c r="L9" s="21" t="n">
        <v>4</v>
      </c>
      <c r="M9" s="21" t="n">
        <v>14</v>
      </c>
      <c r="N9" s="20">
        <f>SUMPRODUCT(E9:M9*((COLUMN(E9:M9)-COLUMN(E9)+1)&lt;=Parametros!$B$11))</f>
        <v/>
      </c>
      <c r="O9" s="20">
        <f>SUM(E9:M9)</f>
        <v/>
      </c>
    </row>
    <row r="10">
      <c r="A10" s="20" t="inlineStr">
        <is>
          <t>2º JUZGADO CIVIL</t>
        </is>
      </c>
      <c r="B10" s="20" t="inlineStr">
        <is>
          <t>FAMILIA - FAMILIA CIVIL</t>
        </is>
      </c>
      <c r="C10" s="20" t="inlineStr">
        <is>
          <t>Resto</t>
        </is>
      </c>
      <c r="D10" s="21" t="n">
        <v>1</v>
      </c>
      <c r="E10" s="21" t="n">
        <v>0</v>
      </c>
      <c r="F10" s="21" t="n">
        <v>0</v>
      </c>
      <c r="G10" s="21" t="n">
        <v>0</v>
      </c>
      <c r="H10" s="21" t="n">
        <v>0</v>
      </c>
      <c r="I10" s="21" t="n">
        <v>0</v>
      </c>
      <c r="J10" s="21" t="n">
        <v>0</v>
      </c>
      <c r="K10" s="21" t="n">
        <v>0</v>
      </c>
      <c r="L10" s="21" t="n">
        <v>0</v>
      </c>
      <c r="M10" s="21" t="n">
        <v>0</v>
      </c>
      <c r="N10" s="20">
        <f>SUMPRODUCT(E10:M10*((COLUMN(E10:M10)-COLUMN(E10)+1)&lt;=Parametros!$B$11))</f>
        <v/>
      </c>
      <c r="O10" s="20">
        <f>SUM(E10:M10)</f>
        <v/>
      </c>
    </row>
    <row r="11">
      <c r="A11" s="20" t="inlineStr">
        <is>
          <t>2º JUZGADO CIVIL</t>
        </is>
      </c>
      <c r="B11" s="20" t="inlineStr">
        <is>
          <t>CIVIL - CONSTITUCIONAL</t>
        </is>
      </c>
      <c r="C11" s="20" t="inlineStr">
        <is>
          <t>Resto</t>
        </is>
      </c>
      <c r="D11" s="21" t="n">
        <v>1</v>
      </c>
      <c r="E11" s="21" t="n">
        <v>0</v>
      </c>
      <c r="F11" s="21" t="n">
        <v>0</v>
      </c>
      <c r="G11" s="21" t="n">
        <v>0</v>
      </c>
      <c r="H11" s="21" t="n">
        <v>0</v>
      </c>
      <c r="I11" s="21" t="n">
        <v>0</v>
      </c>
      <c r="J11" s="21" t="n">
        <v>0</v>
      </c>
      <c r="K11" s="21" t="n">
        <v>0</v>
      </c>
      <c r="L11" s="21" t="n">
        <v>0</v>
      </c>
      <c r="M11" s="21" t="n">
        <v>1</v>
      </c>
      <c r="N11" s="20">
        <f>SUMPRODUCT(E11:M11*((COLUMN(E11:M11)-COLUMN(E11)+1)&lt;=Parametros!$B$11))</f>
        <v/>
      </c>
      <c r="O11" s="20">
        <f>SUM(E11:M11)</f>
        <v/>
      </c>
    </row>
    <row r="12">
      <c r="A12" s="20" t="inlineStr">
        <is>
          <t>2º JUZGADO CIVIL</t>
        </is>
      </c>
      <c r="B12" s="20" t="inlineStr">
        <is>
          <t>CIVIL - CONTENCIOSO ADMINISTRATIVO</t>
        </is>
      </c>
      <c r="C12" s="20" t="inlineStr">
        <is>
          <t>Resto</t>
        </is>
      </c>
      <c r="D12" s="21" t="n">
        <v>22</v>
      </c>
      <c r="E12" s="21" t="n">
        <v>3</v>
      </c>
      <c r="F12" s="21" t="n">
        <v>0</v>
      </c>
      <c r="G12" s="21" t="n">
        <v>5</v>
      </c>
      <c r="H12" s="21" t="n">
        <v>3</v>
      </c>
      <c r="I12" s="21" t="n">
        <v>3</v>
      </c>
      <c r="J12" s="21" t="n">
        <v>5</v>
      </c>
      <c r="K12" s="21" t="n">
        <v>1</v>
      </c>
      <c r="L12" s="21" t="n">
        <v>1</v>
      </c>
      <c r="M12" s="21" t="n">
        <v>6</v>
      </c>
      <c r="N12" s="20">
        <f>SUMPRODUCT(E12:M12*((COLUMN(E12:M12)-COLUMN(E12)+1)&lt;=Parametros!$B$11))</f>
        <v/>
      </c>
      <c r="O12" s="20">
        <f>SUM(E12:M12)</f>
        <v/>
      </c>
    </row>
    <row r="13">
      <c r="A13" s="20" t="inlineStr">
        <is>
          <t>3º JUZGADO CIVIL</t>
        </is>
      </c>
      <c r="B13" s="20" t="inlineStr">
        <is>
          <t>CIVIL - CIVIL</t>
        </is>
      </c>
      <c r="C13" s="20" t="inlineStr">
        <is>
          <t>Civil-Civil</t>
        </is>
      </c>
      <c r="D13" s="21" t="n">
        <v>428</v>
      </c>
      <c r="E13" s="21" t="n">
        <v>49</v>
      </c>
      <c r="F13" s="21" t="n">
        <v>0</v>
      </c>
      <c r="G13" s="21" t="n">
        <v>36</v>
      </c>
      <c r="H13" s="21" t="n">
        <v>70</v>
      </c>
      <c r="I13" s="21" t="n">
        <v>37</v>
      </c>
      <c r="J13" s="21" t="n">
        <v>29</v>
      </c>
      <c r="K13" s="21" t="n">
        <v>64</v>
      </c>
      <c r="L13" s="21" t="n">
        <v>29</v>
      </c>
      <c r="M13" s="21" t="n">
        <v>39</v>
      </c>
      <c r="N13" s="20">
        <f>SUMPRODUCT(E13:M13*((COLUMN(E13:M13)-COLUMN(E13)+1)&lt;=Parametros!$B$11))</f>
        <v/>
      </c>
      <c r="O13" s="20">
        <f>SUM(E13:M13)</f>
        <v/>
      </c>
    </row>
    <row r="14">
      <c r="A14" s="20" t="inlineStr">
        <is>
          <t>3º JUZGADO CIVIL</t>
        </is>
      </c>
      <c r="B14" s="20" t="inlineStr">
        <is>
          <t>CIVIL - COMERCIAL</t>
        </is>
      </c>
      <c r="C14" s="20" t="inlineStr">
        <is>
          <t>Resto</t>
        </is>
      </c>
      <c r="D14" s="21" t="n">
        <v>42</v>
      </c>
      <c r="E14" s="21" t="n">
        <v>7</v>
      </c>
      <c r="F14" s="21" t="n">
        <v>0</v>
      </c>
      <c r="G14" s="21" t="n">
        <v>8</v>
      </c>
      <c r="H14" s="21" t="n">
        <v>10</v>
      </c>
      <c r="I14" s="21" t="n">
        <v>8</v>
      </c>
      <c r="J14" s="21" t="n">
        <v>6</v>
      </c>
      <c r="K14" s="21" t="n">
        <v>2</v>
      </c>
      <c r="L14" s="21" t="n">
        <v>6</v>
      </c>
      <c r="M14" s="21" t="n">
        <v>8</v>
      </c>
      <c r="N14" s="20">
        <f>SUMPRODUCT(E14:M14*((COLUMN(E14:M14)-COLUMN(E14)+1)&lt;=Parametros!$B$11))</f>
        <v/>
      </c>
      <c r="O14" s="20">
        <f>SUM(E14:M14)</f>
        <v/>
      </c>
    </row>
    <row r="15">
      <c r="A15" s="20" t="inlineStr">
        <is>
          <t>3º JUZGADO CIVIL</t>
        </is>
      </c>
      <c r="B15" s="20" t="inlineStr">
        <is>
          <t>CIVIL - CONSTITUCIONAL</t>
        </is>
      </c>
      <c r="C15" s="20" t="inlineStr">
        <is>
          <t>Resto</t>
        </is>
      </c>
      <c r="D15" s="21" t="n">
        <v>1</v>
      </c>
      <c r="E15" s="21" t="n">
        <v>0</v>
      </c>
      <c r="F15" s="21" t="n">
        <v>0</v>
      </c>
      <c r="G15" s="21" t="n">
        <v>0</v>
      </c>
      <c r="H15" s="21" t="n">
        <v>0</v>
      </c>
      <c r="I15" s="21" t="n">
        <v>0</v>
      </c>
      <c r="J15" s="21" t="n">
        <v>0</v>
      </c>
      <c r="K15" s="21" t="n">
        <v>0</v>
      </c>
      <c r="L15" s="21" t="n">
        <v>0</v>
      </c>
      <c r="M15" s="21" t="n">
        <v>0</v>
      </c>
      <c r="N15" s="20">
        <f>SUMPRODUCT(E15:M15*((COLUMN(E15:M15)-COLUMN(E15)+1)&lt;=Parametros!$B$11))</f>
        <v/>
      </c>
      <c r="O15" s="20">
        <f>SUM(E15:M15)</f>
        <v/>
      </c>
    </row>
    <row r="16">
      <c r="A16" s="20" t="inlineStr">
        <is>
          <t>3º JUZGADO CIVIL</t>
        </is>
      </c>
      <c r="B16" s="20" t="inlineStr">
        <is>
          <t>CIVIL - CONTENCIOSO ADMINISTRATIVO</t>
        </is>
      </c>
      <c r="C16" s="20" t="inlineStr">
        <is>
          <t>Resto</t>
        </is>
      </c>
      <c r="D16" s="21" t="n">
        <v>28</v>
      </c>
      <c r="E16" s="21" t="n">
        <v>5</v>
      </c>
      <c r="F16" s="21" t="n">
        <v>0</v>
      </c>
      <c r="G16" s="21" t="n">
        <v>15</v>
      </c>
      <c r="H16" s="21" t="n">
        <v>6</v>
      </c>
      <c r="I16" s="21" t="n">
        <v>0</v>
      </c>
      <c r="J16" s="21" t="n">
        <v>0</v>
      </c>
      <c r="K16" s="21" t="n">
        <v>3</v>
      </c>
      <c r="L16" s="21" t="n">
        <v>2</v>
      </c>
      <c r="M16" s="21" t="n">
        <v>1</v>
      </c>
      <c r="N16" s="20">
        <f>SUMPRODUCT(E16:M16*((COLUMN(E16:M16)-COLUMN(E16)+1)&lt;=Parametros!$B$11))</f>
        <v/>
      </c>
      <c r="O16" s="20">
        <f>SUM(E16:M16)</f>
        <v/>
      </c>
    </row>
    <row r="17">
      <c r="A17" s="20" t="inlineStr">
        <is>
          <t>4º JUZGADO CIVIL</t>
        </is>
      </c>
      <c r="B17" s="20" t="inlineStr">
        <is>
          <t>CIVIL - CIVIL</t>
        </is>
      </c>
      <c r="C17" s="20" t="inlineStr">
        <is>
          <t>Civil-Civil</t>
        </is>
      </c>
      <c r="D17" s="21" t="n">
        <v>606</v>
      </c>
      <c r="E17" s="21" t="n">
        <v>39</v>
      </c>
      <c r="F17" s="21" t="n">
        <v>20</v>
      </c>
      <c r="G17" s="21" t="n">
        <v>49</v>
      </c>
      <c r="H17" s="21" t="n">
        <v>34</v>
      </c>
      <c r="I17" s="21" t="n">
        <v>35</v>
      </c>
      <c r="J17" s="21" t="n">
        <v>34</v>
      </c>
      <c r="K17" s="21" t="n">
        <v>42</v>
      </c>
      <c r="L17" s="21" t="n">
        <v>49</v>
      </c>
      <c r="M17" s="21" t="n">
        <v>32</v>
      </c>
      <c r="N17" s="20">
        <f>SUMPRODUCT(E17:M17*((COLUMN(E17:M17)-COLUMN(E17)+1)&lt;=Parametros!$B$11))</f>
        <v/>
      </c>
      <c r="O17" s="20">
        <f>SUM(E17:M17)</f>
        <v/>
      </c>
    </row>
    <row r="18">
      <c r="A18" s="20" t="inlineStr">
        <is>
          <t>4º JUZGADO CIVIL</t>
        </is>
      </c>
      <c r="B18" s="20" t="inlineStr">
        <is>
          <t>CIVIL - COMERCIAL</t>
        </is>
      </c>
      <c r="C18" s="20" t="inlineStr">
        <is>
          <t>Resto</t>
        </is>
      </c>
      <c r="D18" s="21" t="n">
        <v>45</v>
      </c>
      <c r="E18" s="21" t="n">
        <v>16</v>
      </c>
      <c r="F18" s="21" t="n">
        <v>4</v>
      </c>
      <c r="G18" s="21" t="n">
        <v>12</v>
      </c>
      <c r="H18" s="21" t="n">
        <v>17</v>
      </c>
      <c r="I18" s="21" t="n">
        <v>9</v>
      </c>
      <c r="J18" s="21" t="n">
        <v>3</v>
      </c>
      <c r="K18" s="21" t="n">
        <v>14</v>
      </c>
      <c r="L18" s="21" t="n">
        <v>11</v>
      </c>
      <c r="M18" s="21" t="n">
        <v>8</v>
      </c>
      <c r="N18" s="20">
        <f>SUMPRODUCT(E18:M18*((COLUMN(E18:M18)-COLUMN(E18)+1)&lt;=Parametros!$B$11))</f>
        <v/>
      </c>
      <c r="O18" s="20">
        <f>SUM(E18:M18)</f>
        <v/>
      </c>
    </row>
    <row r="19">
      <c r="A19" s="20" t="inlineStr">
        <is>
          <t>4º JUZGADO CIVIL</t>
        </is>
      </c>
      <c r="B19" s="20" t="inlineStr">
        <is>
          <t>CIVIL - CONSTITUCIONAL</t>
        </is>
      </c>
      <c r="C19" s="20" t="inlineStr">
        <is>
          <t>Resto</t>
        </is>
      </c>
      <c r="D19" s="21" t="n">
        <v>2</v>
      </c>
      <c r="E19" s="21" t="n">
        <v>0</v>
      </c>
      <c r="F19" s="21" t="n">
        <v>0</v>
      </c>
      <c r="G19" s="21" t="n">
        <v>0</v>
      </c>
      <c r="H19" s="21" t="n">
        <v>0</v>
      </c>
      <c r="I19" s="21" t="n">
        <v>0</v>
      </c>
      <c r="J19" s="21" t="n">
        <v>0</v>
      </c>
      <c r="K19" s="21" t="n">
        <v>0</v>
      </c>
      <c r="L19" s="21" t="n">
        <v>0</v>
      </c>
      <c r="M19" s="21" t="n">
        <v>0</v>
      </c>
      <c r="N19" s="20">
        <f>SUMPRODUCT(E19:M19*((COLUMN(E19:M19)-COLUMN(E19)+1)&lt;=Parametros!$B$11))</f>
        <v/>
      </c>
      <c r="O19" s="20">
        <f>SUM(E19:M19)</f>
        <v/>
      </c>
    </row>
    <row r="20">
      <c r="A20" s="20" t="inlineStr">
        <is>
          <t>4º JUZGADO CIVIL</t>
        </is>
      </c>
      <c r="B20" s="20" t="inlineStr">
        <is>
          <t>CIVIL - CONTENCIOSO ADMINISTRATIVO</t>
        </is>
      </c>
      <c r="C20" s="20" t="inlineStr">
        <is>
          <t>Resto</t>
        </is>
      </c>
      <c r="D20" s="21" t="n">
        <v>23</v>
      </c>
      <c r="E20" s="21" t="n">
        <v>3</v>
      </c>
      <c r="F20" s="21" t="n">
        <v>0</v>
      </c>
      <c r="G20" s="21" t="n">
        <v>3</v>
      </c>
      <c r="H20" s="21" t="n">
        <v>4</v>
      </c>
      <c r="I20" s="21" t="n">
        <v>1</v>
      </c>
      <c r="J20" s="21" t="n">
        <v>5</v>
      </c>
      <c r="K20" s="21" t="n">
        <v>7</v>
      </c>
      <c r="L20" s="21" t="n">
        <v>8</v>
      </c>
      <c r="M20" s="21" t="n">
        <v>3</v>
      </c>
      <c r="N20" s="20">
        <f>SUMPRODUCT(E20:M20*((COLUMN(E20:M20)-COLUMN(E20)+1)&lt;=Parametros!$B$11))</f>
        <v/>
      </c>
      <c r="O20" s="20">
        <f>SUM(E20:M20)</f>
        <v/>
      </c>
    </row>
    <row r="21">
      <c r="A21" s="20" t="inlineStr">
        <is>
          <t>5º JUZGADO CIVIL</t>
        </is>
      </c>
      <c r="B21" s="20" t="inlineStr">
        <is>
          <t>CIVIL - CIVIL</t>
        </is>
      </c>
      <c r="C21" s="20" t="inlineStr">
        <is>
          <t>Civil-Civil</t>
        </is>
      </c>
      <c r="D21" s="21" t="n">
        <v>585</v>
      </c>
      <c r="E21" s="21" t="n">
        <v>43</v>
      </c>
      <c r="F21" s="21" t="n">
        <v>0</v>
      </c>
      <c r="G21" s="21" t="n">
        <v>54</v>
      </c>
      <c r="H21" s="21" t="n">
        <v>45</v>
      </c>
      <c r="I21" s="21" t="n">
        <v>58</v>
      </c>
      <c r="J21" s="21" t="n">
        <v>46</v>
      </c>
      <c r="K21" s="21" t="n">
        <v>52</v>
      </c>
      <c r="L21" s="21" t="n">
        <v>36</v>
      </c>
      <c r="M21" s="21" t="n">
        <v>24</v>
      </c>
      <c r="N21" s="20">
        <f>SUMPRODUCT(E21:M21*((COLUMN(E21:M21)-COLUMN(E21)+1)&lt;=Parametros!$B$11))</f>
        <v/>
      </c>
      <c r="O21" s="20">
        <f>SUM(E21:M21)</f>
        <v/>
      </c>
    </row>
    <row r="22">
      <c r="A22" s="20" t="inlineStr">
        <is>
          <t>5º JUZGADO CIVIL</t>
        </is>
      </c>
      <c r="B22" s="20" t="inlineStr">
        <is>
          <t>LABORAL - LABORAL</t>
        </is>
      </c>
      <c r="C22" s="20" t="inlineStr">
        <is>
          <t>Resto</t>
        </is>
      </c>
      <c r="D22" s="21" t="n">
        <v>0</v>
      </c>
      <c r="E22" s="21" t="n">
        <v>0</v>
      </c>
      <c r="F22" s="21" t="n">
        <v>0</v>
      </c>
      <c r="G22" s="21" t="n">
        <v>0</v>
      </c>
      <c r="H22" s="21" t="n">
        <v>0</v>
      </c>
      <c r="I22" s="21" t="n">
        <v>0</v>
      </c>
      <c r="J22" s="21" t="n">
        <v>0</v>
      </c>
      <c r="K22" s="21" t="n">
        <v>0</v>
      </c>
      <c r="L22" s="21" t="n">
        <v>0</v>
      </c>
      <c r="M22" s="21" t="n">
        <v>1</v>
      </c>
      <c r="N22" s="20">
        <f>SUMPRODUCT(E22:M22*((COLUMN(E22:M22)-COLUMN(E22)+1)&lt;=Parametros!$B$11))</f>
        <v/>
      </c>
      <c r="O22" s="20">
        <f>SUM(E22:M22)</f>
        <v/>
      </c>
    </row>
    <row r="23">
      <c r="A23" s="20" t="inlineStr">
        <is>
          <t>5º JUZGADO CIVIL</t>
        </is>
      </c>
      <c r="B23" s="20" t="inlineStr">
        <is>
          <t>CIVIL - COMERCIAL</t>
        </is>
      </c>
      <c r="C23" s="20" t="inlineStr">
        <is>
          <t>Resto</t>
        </is>
      </c>
      <c r="D23" s="21" t="n">
        <v>46</v>
      </c>
      <c r="E23" s="21" t="n">
        <v>4</v>
      </c>
      <c r="F23" s="21" t="n">
        <v>0</v>
      </c>
      <c r="G23" s="21" t="n">
        <v>11</v>
      </c>
      <c r="H23" s="21" t="n">
        <v>12</v>
      </c>
      <c r="I23" s="21" t="n">
        <v>14</v>
      </c>
      <c r="J23" s="21" t="n">
        <v>11</v>
      </c>
      <c r="K23" s="21" t="n">
        <v>9</v>
      </c>
      <c r="L23" s="21" t="n">
        <v>12</v>
      </c>
      <c r="M23" s="21" t="n">
        <v>7</v>
      </c>
      <c r="N23" s="20">
        <f>SUMPRODUCT(E23:M23*((COLUMN(E23:M23)-COLUMN(E23)+1)&lt;=Parametros!$B$11))</f>
        <v/>
      </c>
      <c r="O23" s="20">
        <f>SUM(E23:M23)</f>
        <v/>
      </c>
    </row>
    <row r="24">
      <c r="A24" s="20" t="inlineStr">
        <is>
          <t>5º JUZGADO CIVIL</t>
        </is>
      </c>
      <c r="B24" s="20" t="inlineStr">
        <is>
          <t>CIVIL - CONSTITUCIONAL</t>
        </is>
      </c>
      <c r="C24" s="20" t="inlineStr">
        <is>
          <t>Resto</t>
        </is>
      </c>
      <c r="D24" s="21" t="n">
        <v>3</v>
      </c>
      <c r="E24" s="21" t="n">
        <v>0</v>
      </c>
      <c r="F24" s="21" t="n">
        <v>0</v>
      </c>
      <c r="G24" s="21" t="n">
        <v>0</v>
      </c>
      <c r="H24" s="21" t="n">
        <v>0</v>
      </c>
      <c r="I24" s="21" t="n">
        <v>0</v>
      </c>
      <c r="J24" s="21" t="n">
        <v>0</v>
      </c>
      <c r="K24" s="21" t="n">
        <v>0</v>
      </c>
      <c r="L24" s="21" t="n">
        <v>0</v>
      </c>
      <c r="M24" s="21" t="n">
        <v>1</v>
      </c>
      <c r="N24" s="20">
        <f>SUMPRODUCT(E24:M24*((COLUMN(E24:M24)-COLUMN(E24)+1)&lt;=Parametros!$B$11))</f>
        <v/>
      </c>
      <c r="O24" s="20">
        <f>SUM(E24:M24)</f>
        <v/>
      </c>
    </row>
    <row r="25">
      <c r="A25" s="20" t="inlineStr">
        <is>
          <t>5º JUZGADO CIVIL</t>
        </is>
      </c>
      <c r="B25" s="20" t="inlineStr">
        <is>
          <t>CIVIL - CONTENCIOSO ADMINISTRATIVO</t>
        </is>
      </c>
      <c r="C25" s="20" t="inlineStr">
        <is>
          <t>Resto</t>
        </is>
      </c>
      <c r="D25" s="21" t="n">
        <v>33</v>
      </c>
      <c r="E25" s="21" t="n">
        <v>2</v>
      </c>
      <c r="F25" s="21" t="n">
        <v>0</v>
      </c>
      <c r="G25" s="21" t="n">
        <v>5</v>
      </c>
      <c r="H25" s="21" t="n">
        <v>6</v>
      </c>
      <c r="I25" s="21" t="n">
        <v>3</v>
      </c>
      <c r="J25" s="21" t="n">
        <v>5</v>
      </c>
      <c r="K25" s="21" t="n">
        <v>2</v>
      </c>
      <c r="L25" s="21" t="n">
        <v>9</v>
      </c>
      <c r="M25" s="21" t="n">
        <v>3</v>
      </c>
      <c r="N25" s="20">
        <f>SUMPRODUCT(E25:M25*((COLUMN(E25:M25)-COLUMN(E25)+1)&lt;=Parametros!$B$11))</f>
        <v/>
      </c>
      <c r="O25" s="20">
        <f>SUM(E25:M25)</f>
        <v/>
      </c>
    </row>
    <row r="26">
      <c r="A26" s="20" t="inlineStr">
        <is>
          <t>6º JUZGADO CIVIL</t>
        </is>
      </c>
      <c r="B26" s="20" t="inlineStr">
        <is>
          <t>CIVIL - CIVIL</t>
        </is>
      </c>
      <c r="C26" s="20" t="inlineStr">
        <is>
          <t>Civil-Civil</t>
        </is>
      </c>
      <c r="D26" s="21" t="n">
        <v>577</v>
      </c>
      <c r="E26" s="21" t="n">
        <v>40</v>
      </c>
      <c r="F26" s="21" t="n">
        <v>1</v>
      </c>
      <c r="G26" s="21" t="n">
        <v>45</v>
      </c>
      <c r="H26" s="21" t="n">
        <v>44</v>
      </c>
      <c r="I26" s="21" t="n">
        <v>48</v>
      </c>
      <c r="J26" s="21" t="n">
        <v>39</v>
      </c>
      <c r="K26" s="21" t="n">
        <v>43</v>
      </c>
      <c r="L26" s="21" t="n">
        <v>43</v>
      </c>
      <c r="M26" s="21" t="n">
        <v>37</v>
      </c>
      <c r="N26" s="20">
        <f>SUMPRODUCT(E26:M26*((COLUMN(E26:M26)-COLUMN(E26)+1)&lt;=Parametros!$B$11))</f>
        <v/>
      </c>
      <c r="O26" s="20">
        <f>SUM(E26:M26)</f>
        <v/>
      </c>
    </row>
    <row r="27">
      <c r="A27" s="20" t="inlineStr">
        <is>
          <t>6º JUZGADO CIVIL</t>
        </is>
      </c>
      <c r="B27" s="20" t="inlineStr">
        <is>
          <t>LABORAL - LABORAL</t>
        </is>
      </c>
      <c r="C27" s="20" t="inlineStr">
        <is>
          <t>Resto</t>
        </is>
      </c>
      <c r="D27" s="21" t="n">
        <v>1</v>
      </c>
      <c r="E27" s="21" t="n">
        <v>0</v>
      </c>
      <c r="F27" s="21" t="n">
        <v>0</v>
      </c>
      <c r="G27" s="21" t="n">
        <v>0</v>
      </c>
      <c r="H27" s="21" t="n">
        <v>0</v>
      </c>
      <c r="I27" s="21" t="n">
        <v>0</v>
      </c>
      <c r="J27" s="21" t="n">
        <v>0</v>
      </c>
      <c r="K27" s="21" t="n">
        <v>0</v>
      </c>
      <c r="L27" s="21" t="n">
        <v>0</v>
      </c>
      <c r="M27" s="21" t="n">
        <v>0</v>
      </c>
      <c r="N27" s="20">
        <f>SUMPRODUCT(E27:M27*((COLUMN(E27:M27)-COLUMN(E27)+1)&lt;=Parametros!$B$11))</f>
        <v/>
      </c>
      <c r="O27" s="20">
        <f>SUM(E27:M27)</f>
        <v/>
      </c>
    </row>
    <row r="28">
      <c r="A28" s="20" t="inlineStr">
        <is>
          <t>6º JUZGADO CIVIL</t>
        </is>
      </c>
      <c r="B28" s="20" t="inlineStr">
        <is>
          <t>CIVIL - COMERCIAL</t>
        </is>
      </c>
      <c r="C28" s="20" t="inlineStr">
        <is>
          <t>Resto</t>
        </is>
      </c>
      <c r="D28" s="21" t="n">
        <v>24</v>
      </c>
      <c r="E28" s="21" t="n">
        <v>8</v>
      </c>
      <c r="F28" s="21" t="n">
        <v>0</v>
      </c>
      <c r="G28" s="21" t="n">
        <v>17</v>
      </c>
      <c r="H28" s="21" t="n">
        <v>13</v>
      </c>
      <c r="I28" s="21" t="n">
        <v>8</v>
      </c>
      <c r="J28" s="21" t="n">
        <v>8</v>
      </c>
      <c r="K28" s="21" t="n">
        <v>7</v>
      </c>
      <c r="L28" s="21" t="n">
        <v>6</v>
      </c>
      <c r="M28" s="21" t="n">
        <v>14</v>
      </c>
      <c r="N28" s="20">
        <f>SUMPRODUCT(E28:M28*((COLUMN(E28:M28)-COLUMN(E28)+1)&lt;=Parametros!$B$11))</f>
        <v/>
      </c>
      <c r="O28" s="20">
        <f>SUM(E28:M28)</f>
        <v/>
      </c>
    </row>
    <row r="29">
      <c r="A29" s="20" t="inlineStr">
        <is>
          <t>6º JUZGADO CIVIL</t>
        </is>
      </c>
      <c r="B29" s="20" t="inlineStr">
        <is>
          <t>CIVIL - CONTENCIOSO ADMINISTRATIVO</t>
        </is>
      </c>
      <c r="C29" s="20" t="inlineStr">
        <is>
          <t>Resto</t>
        </is>
      </c>
      <c r="D29" s="21" t="n">
        <v>40</v>
      </c>
      <c r="E29" s="21" t="n">
        <v>3</v>
      </c>
      <c r="F29" s="21" t="n">
        <v>0</v>
      </c>
      <c r="G29" s="21" t="n">
        <v>5</v>
      </c>
      <c r="H29" s="21" t="n">
        <v>6</v>
      </c>
      <c r="I29" s="21" t="n">
        <v>3</v>
      </c>
      <c r="J29" s="21" t="n">
        <v>6</v>
      </c>
      <c r="K29" s="21" t="n">
        <v>3</v>
      </c>
      <c r="L29" s="21" t="n">
        <v>2</v>
      </c>
      <c r="M29" s="21" t="n">
        <v>2</v>
      </c>
      <c r="N29" s="20">
        <f>SUMPRODUCT(E29:M29*((COLUMN(E29:M29)-COLUMN(E29)+1)&lt;=Parametros!$B$11))</f>
        <v/>
      </c>
      <c r="O29" s="20">
        <f>SUM(E29:M29)</f>
        <v/>
      </c>
    </row>
    <row r="30">
      <c r="A30" s="20" t="inlineStr">
        <is>
          <t>7º JUZGADO CIVIL</t>
        </is>
      </c>
      <c r="B30" s="20" t="inlineStr">
        <is>
          <t>CIVIL - CIVIL</t>
        </is>
      </c>
      <c r="C30" s="20" t="inlineStr">
        <is>
          <t>Civil-Civil</t>
        </is>
      </c>
      <c r="D30" s="21" t="n">
        <v>470</v>
      </c>
      <c r="E30" s="21" t="n">
        <v>43</v>
      </c>
      <c r="F30" s="21" t="n">
        <v>2</v>
      </c>
      <c r="G30" s="21" t="n">
        <v>53</v>
      </c>
      <c r="H30" s="21" t="n">
        <v>47</v>
      </c>
      <c r="I30" s="21" t="n">
        <v>44</v>
      </c>
      <c r="J30" s="21" t="n">
        <v>46</v>
      </c>
      <c r="K30" s="21" t="n">
        <v>49</v>
      </c>
      <c r="L30" s="21" t="n">
        <v>33</v>
      </c>
      <c r="M30" s="21" t="n">
        <v>28</v>
      </c>
      <c r="N30" s="20">
        <f>SUMPRODUCT(E30:M30*((COLUMN(E30:M30)-COLUMN(E30)+1)&lt;=Parametros!$B$11))</f>
        <v/>
      </c>
      <c r="O30" s="20">
        <f>SUM(E30:M30)</f>
        <v/>
      </c>
    </row>
    <row r="31">
      <c r="A31" s="20" t="inlineStr">
        <is>
          <t>7º JUZGADO CIVIL</t>
        </is>
      </c>
      <c r="B31" s="20" t="inlineStr">
        <is>
          <t>CIVIL - COMERCIAL</t>
        </is>
      </c>
      <c r="C31" s="20" t="inlineStr">
        <is>
          <t>Resto</t>
        </is>
      </c>
      <c r="D31" s="21" t="n">
        <v>31</v>
      </c>
      <c r="E31" s="21" t="n">
        <v>6</v>
      </c>
      <c r="F31" s="21" t="n">
        <v>0</v>
      </c>
      <c r="G31" s="21" t="n">
        <v>11</v>
      </c>
      <c r="H31" s="21" t="n">
        <v>16</v>
      </c>
      <c r="I31" s="21" t="n">
        <v>10</v>
      </c>
      <c r="J31" s="21" t="n">
        <v>4</v>
      </c>
      <c r="K31" s="21" t="n">
        <v>8</v>
      </c>
      <c r="L31" s="21" t="n">
        <v>6</v>
      </c>
      <c r="M31" s="21" t="n">
        <v>10</v>
      </c>
      <c r="N31" s="20">
        <f>SUMPRODUCT(E31:M31*((COLUMN(E31:M31)-COLUMN(E31)+1)&lt;=Parametros!$B$11))</f>
        <v/>
      </c>
      <c r="O31" s="20">
        <f>SUM(E31:M31)</f>
        <v/>
      </c>
    </row>
    <row r="32">
      <c r="A32" s="20" t="inlineStr">
        <is>
          <t>7º JUZGADO CIVIL</t>
        </is>
      </c>
      <c r="B32" s="20" t="inlineStr">
        <is>
          <t>CIVIL - CONTENCIOSO ADMINISTRATIVO</t>
        </is>
      </c>
      <c r="C32" s="20" t="inlineStr">
        <is>
          <t>Resto</t>
        </is>
      </c>
      <c r="D32" s="21" t="n">
        <v>29</v>
      </c>
      <c r="E32" s="21" t="n">
        <v>4</v>
      </c>
      <c r="F32" s="21" t="n">
        <v>0</v>
      </c>
      <c r="G32" s="21" t="n">
        <v>2</v>
      </c>
      <c r="H32" s="21" t="n">
        <v>4</v>
      </c>
      <c r="I32" s="21" t="n">
        <v>3</v>
      </c>
      <c r="J32" s="21" t="n">
        <v>5</v>
      </c>
      <c r="K32" s="21" t="n">
        <v>3</v>
      </c>
      <c r="L32" s="21" t="n">
        <v>3</v>
      </c>
      <c r="M32" s="21" t="n">
        <v>5</v>
      </c>
      <c r="N32" s="20">
        <f>SUMPRODUCT(E32:M32*((COLUMN(E32:M32)-COLUMN(E32)+1)&lt;=Parametros!$B$11))</f>
        <v/>
      </c>
      <c r="O32" s="20">
        <f>SUM(E32:M32)</f>
        <v/>
      </c>
    </row>
    <row r="33">
      <c r="A33" s="20" t="inlineStr">
        <is>
          <t>8º JUZGADO CIVIL</t>
        </is>
      </c>
      <c r="B33" s="20" t="inlineStr">
        <is>
          <t>CIVIL - CIVIL</t>
        </is>
      </c>
      <c r="C33" s="20" t="inlineStr">
        <is>
          <t>Civil-Civil</t>
        </is>
      </c>
      <c r="D33" s="21" t="n">
        <v>519</v>
      </c>
      <c r="E33" s="21" t="n">
        <v>43</v>
      </c>
      <c r="F33" s="21" t="n">
        <v>1</v>
      </c>
      <c r="G33" s="21" t="n">
        <v>33</v>
      </c>
      <c r="H33" s="21" t="n">
        <v>40</v>
      </c>
      <c r="I33" s="21" t="n">
        <v>46</v>
      </c>
      <c r="J33" s="21" t="n">
        <v>43</v>
      </c>
      <c r="K33" s="21" t="n">
        <v>28</v>
      </c>
      <c r="L33" s="21" t="n">
        <v>38</v>
      </c>
      <c r="M33" s="21" t="n">
        <v>46</v>
      </c>
      <c r="N33" s="20">
        <f>SUMPRODUCT(E33:M33*((COLUMN(E33:M33)-COLUMN(E33)+1)&lt;=Parametros!$B$11))</f>
        <v/>
      </c>
      <c r="O33" s="20">
        <f>SUM(E33:M33)</f>
        <v/>
      </c>
    </row>
    <row r="34">
      <c r="A34" s="20" t="inlineStr">
        <is>
          <t>8º JUZGADO CIVIL</t>
        </is>
      </c>
      <c r="B34" s="20" t="inlineStr">
        <is>
          <t>CIVIL - COMERCIAL</t>
        </is>
      </c>
      <c r="C34" s="20" t="inlineStr">
        <is>
          <t>Resto</t>
        </is>
      </c>
      <c r="D34" s="21" t="n">
        <v>49</v>
      </c>
      <c r="E34" s="21" t="n">
        <v>5</v>
      </c>
      <c r="F34" s="21" t="n">
        <v>0</v>
      </c>
      <c r="G34" s="21" t="n">
        <v>16</v>
      </c>
      <c r="H34" s="21" t="n">
        <v>3</v>
      </c>
      <c r="I34" s="21" t="n">
        <v>14</v>
      </c>
      <c r="J34" s="21" t="n">
        <v>18</v>
      </c>
      <c r="K34" s="21" t="n">
        <v>2</v>
      </c>
      <c r="L34" s="21" t="n">
        <v>4</v>
      </c>
      <c r="M34" s="21" t="n">
        <v>17</v>
      </c>
      <c r="N34" s="20">
        <f>SUMPRODUCT(E34:M34*((COLUMN(E34:M34)-COLUMN(E34)+1)&lt;=Parametros!$B$11))</f>
        <v/>
      </c>
      <c r="O34" s="20">
        <f>SUM(E34:M34)</f>
        <v/>
      </c>
    </row>
    <row r="35">
      <c r="A35" s="20" t="inlineStr">
        <is>
          <t>8º JUZGADO CIVIL</t>
        </is>
      </c>
      <c r="B35" s="20" t="inlineStr">
        <is>
          <t>CIVIL - CONTENCIOSO ADMINISTRATIVO</t>
        </is>
      </c>
      <c r="C35" s="20" t="inlineStr">
        <is>
          <t>Resto</t>
        </is>
      </c>
      <c r="D35" s="21" t="n">
        <v>32</v>
      </c>
      <c r="E35" s="21" t="n">
        <v>3</v>
      </c>
      <c r="F35" s="21" t="n">
        <v>0</v>
      </c>
      <c r="G35" s="21" t="n">
        <v>6</v>
      </c>
      <c r="H35" s="21" t="n">
        <v>7</v>
      </c>
      <c r="I35" s="21" t="n">
        <v>0</v>
      </c>
      <c r="J35" s="21" t="n">
        <v>8</v>
      </c>
      <c r="K35" s="21" t="n">
        <v>2</v>
      </c>
      <c r="L35" s="21" t="n">
        <v>3</v>
      </c>
      <c r="M35" s="21" t="n">
        <v>6</v>
      </c>
      <c r="N35" s="20">
        <f>SUMPRODUCT(E35:M35*((COLUMN(E35:M35)-COLUMN(E35)+1)&lt;=Parametros!$B$11))</f>
        <v/>
      </c>
      <c r="O35" s="20">
        <f>SUM(E35:M35)</f>
        <v/>
      </c>
    </row>
    <row r="36">
      <c r="A36" s="20" t="inlineStr">
        <is>
          <t>9º JUZGADO CIVIL</t>
        </is>
      </c>
      <c r="B36" s="20" t="inlineStr">
        <is>
          <t>CIVIL - CIVIL</t>
        </is>
      </c>
      <c r="C36" s="20" t="inlineStr">
        <is>
          <t>Civil-Civil</t>
        </is>
      </c>
      <c r="D36" s="21" t="n">
        <v>497</v>
      </c>
      <c r="E36" s="21" t="n">
        <v>34</v>
      </c>
      <c r="F36" s="21" t="n">
        <v>0</v>
      </c>
      <c r="G36" s="21" t="n">
        <v>26</v>
      </c>
      <c r="H36" s="21" t="n">
        <v>42</v>
      </c>
      <c r="I36" s="21" t="n">
        <v>47</v>
      </c>
      <c r="J36" s="21" t="n">
        <v>35</v>
      </c>
      <c r="K36" s="21" t="n">
        <v>48</v>
      </c>
      <c r="L36" s="21" t="n">
        <v>62</v>
      </c>
      <c r="M36" s="21" t="n">
        <v>58</v>
      </c>
      <c r="N36" s="20">
        <f>SUMPRODUCT(E36:M36*((COLUMN(E36:M36)-COLUMN(E36)+1)&lt;=Parametros!$B$11))</f>
        <v/>
      </c>
      <c r="O36" s="20">
        <f>SUM(E36:M36)</f>
        <v/>
      </c>
    </row>
    <row r="37">
      <c r="A37" s="20" t="inlineStr">
        <is>
          <t>9º JUZGADO CIVIL</t>
        </is>
      </c>
      <c r="B37" s="20" t="inlineStr">
        <is>
          <t>CIVIL - COMERCIAL</t>
        </is>
      </c>
      <c r="C37" s="20" t="inlineStr">
        <is>
          <t>Resto</t>
        </is>
      </c>
      <c r="D37" s="21" t="n">
        <v>51</v>
      </c>
      <c r="E37" s="21" t="n">
        <v>5</v>
      </c>
      <c r="F37" s="21" t="n">
        <v>0</v>
      </c>
      <c r="G37" s="21" t="n">
        <v>9</v>
      </c>
      <c r="H37" s="21" t="n">
        <v>12</v>
      </c>
      <c r="I37" s="21" t="n">
        <v>6</v>
      </c>
      <c r="J37" s="21" t="n">
        <v>10</v>
      </c>
      <c r="K37" s="21" t="n">
        <v>4</v>
      </c>
      <c r="L37" s="21" t="n">
        <v>14</v>
      </c>
      <c r="M37" s="21" t="n">
        <v>5</v>
      </c>
      <c r="N37" s="20">
        <f>SUMPRODUCT(E37:M37*((COLUMN(E37:M37)-COLUMN(E37)+1)&lt;=Parametros!$B$11))</f>
        <v/>
      </c>
      <c r="O37" s="20">
        <f>SUM(E37:M37)</f>
        <v/>
      </c>
    </row>
    <row r="38">
      <c r="A38" s="20" t="inlineStr">
        <is>
          <t>9º JUZGADO CIVIL</t>
        </is>
      </c>
      <c r="B38" s="20" t="inlineStr">
        <is>
          <t>CIVIL - CONTENCIOSO ADMINISTRATIVO</t>
        </is>
      </c>
      <c r="C38" s="20" t="inlineStr">
        <is>
          <t>Resto</t>
        </is>
      </c>
      <c r="D38" s="21" t="n">
        <v>34</v>
      </c>
      <c r="E38" s="21" t="n">
        <v>5</v>
      </c>
      <c r="F38" s="21" t="n">
        <v>0</v>
      </c>
      <c r="G38" s="21" t="n">
        <v>1</v>
      </c>
      <c r="H38" s="21" t="n">
        <v>1</v>
      </c>
      <c r="I38" s="21" t="n">
        <v>3</v>
      </c>
      <c r="J38" s="21" t="n">
        <v>4</v>
      </c>
      <c r="K38" s="21" t="n">
        <v>1</v>
      </c>
      <c r="L38" s="21" t="n">
        <v>6</v>
      </c>
      <c r="M38" s="21" t="n">
        <v>0</v>
      </c>
      <c r="N38" s="20">
        <f>SUMPRODUCT(E38:M38*((COLUMN(E38:M38)-COLUMN(E38)+1)&lt;=Parametros!$B$11))</f>
        <v/>
      </c>
      <c r="O38" s="20">
        <f>SUM(E38:M38)</f>
        <v/>
      </c>
    </row>
    <row r="39">
      <c r="A39" s="20" t="inlineStr">
        <is>
          <t>9º JUZGADO CIVIL</t>
        </is>
      </c>
      <c r="B39" s="20" t="inlineStr">
        <is>
          <t>LABORAL - CONTENCIOSO ADMINISTRATIVO</t>
        </is>
      </c>
      <c r="C39" s="20" t="inlineStr">
        <is>
          <t>Resto</t>
        </is>
      </c>
      <c r="D39" s="21" t="n">
        <v>0</v>
      </c>
      <c r="E39" s="21" t="n">
        <v>0</v>
      </c>
      <c r="F39" s="21" t="n">
        <v>0</v>
      </c>
      <c r="G39" s="21" t="n">
        <v>0</v>
      </c>
      <c r="H39" s="21" t="n">
        <v>0</v>
      </c>
      <c r="I39" s="21" t="n">
        <v>0</v>
      </c>
      <c r="J39" s="21" t="n">
        <v>0</v>
      </c>
      <c r="K39" s="21" t="n">
        <v>0</v>
      </c>
      <c r="L39" s="21" t="n">
        <v>1</v>
      </c>
      <c r="M39" s="21" t="n">
        <v>0</v>
      </c>
      <c r="N39" s="20">
        <f>SUMPRODUCT(E39:M39*((COLUMN(E39:M39)-COLUMN(E39)+1)&lt;=Parametros!$B$11))</f>
        <v/>
      </c>
      <c r="O39" s="20">
        <f>SUM(E39:M39)</f>
        <v/>
      </c>
    </row>
    <row r="40">
      <c r="A40" s="20" t="inlineStr">
        <is>
          <t>10º JUZGADO CIVIL</t>
        </is>
      </c>
      <c r="B40" s="20" t="inlineStr">
        <is>
          <t>CIVIL - CIVIL</t>
        </is>
      </c>
      <c r="C40" s="20" t="inlineStr">
        <is>
          <t>Civil-Civil</t>
        </is>
      </c>
      <c r="D40" s="21" t="n">
        <v>444</v>
      </c>
      <c r="E40" s="21" t="n">
        <v>36</v>
      </c>
      <c r="F40" s="21" t="n">
        <v>0</v>
      </c>
      <c r="G40" s="21" t="n">
        <v>45</v>
      </c>
      <c r="H40" s="21" t="n">
        <v>52</v>
      </c>
      <c r="I40" s="21" t="n">
        <v>45</v>
      </c>
      <c r="J40" s="21" t="n">
        <v>54</v>
      </c>
      <c r="K40" s="21" t="n">
        <v>40</v>
      </c>
      <c r="L40" s="21" t="n">
        <v>44</v>
      </c>
      <c r="M40" s="21" t="n">
        <v>62</v>
      </c>
      <c r="N40" s="20">
        <f>SUMPRODUCT(E40:M40*((COLUMN(E40:M40)-COLUMN(E40)+1)&lt;=Parametros!$B$11))</f>
        <v/>
      </c>
      <c r="O40" s="20">
        <f>SUM(E40:M40)</f>
        <v/>
      </c>
    </row>
    <row r="41">
      <c r="A41" s="20" t="inlineStr">
        <is>
          <t>10º JUZGADO CIVIL</t>
        </is>
      </c>
      <c r="B41" s="20" t="inlineStr">
        <is>
          <t>CIVIL - COMERCIAL</t>
        </is>
      </c>
      <c r="C41" s="20" t="inlineStr">
        <is>
          <t>Resto</t>
        </is>
      </c>
      <c r="D41" s="21" t="n">
        <v>35</v>
      </c>
      <c r="E41" s="21" t="n">
        <v>3</v>
      </c>
      <c r="F41" s="21" t="n">
        <v>0</v>
      </c>
      <c r="G41" s="21" t="n">
        <v>21</v>
      </c>
      <c r="H41" s="21" t="n">
        <v>10</v>
      </c>
      <c r="I41" s="21" t="n">
        <v>11</v>
      </c>
      <c r="J41" s="21" t="n">
        <v>7</v>
      </c>
      <c r="K41" s="21" t="n">
        <v>6</v>
      </c>
      <c r="L41" s="21" t="n">
        <v>8</v>
      </c>
      <c r="M41" s="21" t="n">
        <v>2</v>
      </c>
      <c r="N41" s="20">
        <f>SUMPRODUCT(E41:M41*((COLUMN(E41:M41)-COLUMN(E41)+1)&lt;=Parametros!$B$11))</f>
        <v/>
      </c>
      <c r="O41" s="20">
        <f>SUM(E41:M41)</f>
        <v/>
      </c>
    </row>
    <row r="42">
      <c r="A42" s="20" t="inlineStr">
        <is>
          <t>10º JUZGADO CIVIL</t>
        </is>
      </c>
      <c r="B42" s="20" t="inlineStr">
        <is>
          <t>CIVIL - CONSTITUCIONAL</t>
        </is>
      </c>
      <c r="C42" s="20" t="inlineStr">
        <is>
          <t>Resto</t>
        </is>
      </c>
      <c r="D42" s="21" t="n">
        <v>1</v>
      </c>
      <c r="E42" s="21" t="n">
        <v>1</v>
      </c>
      <c r="F42" s="21" t="n">
        <v>0</v>
      </c>
      <c r="G42" s="21" t="n">
        <v>0</v>
      </c>
      <c r="H42" s="21" t="n">
        <v>0</v>
      </c>
      <c r="I42" s="21" t="n">
        <v>0</v>
      </c>
      <c r="J42" s="21" t="n">
        <v>0</v>
      </c>
      <c r="K42" s="21" t="n">
        <v>0</v>
      </c>
      <c r="L42" s="21" t="n">
        <v>0</v>
      </c>
      <c r="M42" s="21" t="n">
        <v>0</v>
      </c>
      <c r="N42" s="20">
        <f>SUMPRODUCT(E42:M42*((COLUMN(E42:M42)-COLUMN(E42)+1)&lt;=Parametros!$B$11))</f>
        <v/>
      </c>
      <c r="O42" s="20">
        <f>SUM(E42:M42)</f>
        <v/>
      </c>
    </row>
    <row r="43">
      <c r="A43" s="20" t="inlineStr">
        <is>
          <t>10º JUZGADO CIVIL</t>
        </is>
      </c>
      <c r="B43" s="20" t="inlineStr">
        <is>
          <t>CIVIL - CONTENCIOSO ADMINISTRATIVO</t>
        </is>
      </c>
      <c r="C43" s="20" t="inlineStr">
        <is>
          <t>Resto</t>
        </is>
      </c>
      <c r="D43" s="21" t="n">
        <v>38</v>
      </c>
      <c r="E43" s="21" t="n">
        <v>6</v>
      </c>
      <c r="F43" s="21" t="n">
        <v>0</v>
      </c>
      <c r="G43" s="21" t="n">
        <v>3</v>
      </c>
      <c r="H43" s="21" t="n">
        <v>7</v>
      </c>
      <c r="I43" s="21" t="n">
        <v>5</v>
      </c>
      <c r="J43" s="21" t="n">
        <v>4</v>
      </c>
      <c r="K43" s="21" t="n">
        <v>2</v>
      </c>
      <c r="L43" s="21" t="n">
        <v>4</v>
      </c>
      <c r="M43" s="21" t="n">
        <v>5</v>
      </c>
      <c r="N43" s="20">
        <f>SUMPRODUCT(E43:M43*((COLUMN(E43:M43)-COLUMN(E43)+1)&lt;=Parametros!$B$11))</f>
        <v/>
      </c>
      <c r="O43" s="20">
        <f>SUM(E43:M43)</f>
        <v/>
      </c>
    </row>
    <row r="44">
      <c r="A44" s="20" t="inlineStr">
        <is>
          <t>11° JUZGADO CIVIL</t>
        </is>
      </c>
      <c r="B44" s="20" t="inlineStr">
        <is>
          <t>CIVIL - CIVIL</t>
        </is>
      </c>
      <c r="C44" s="20" t="inlineStr">
        <is>
          <t>Civil-Civil</t>
        </is>
      </c>
      <c r="D44" s="21" t="n">
        <v>105</v>
      </c>
      <c r="E44" s="21" t="n">
        <v>17</v>
      </c>
      <c r="F44" s="21" t="n">
        <v>5</v>
      </c>
      <c r="G44" s="21" t="n">
        <v>15</v>
      </c>
      <c r="H44" s="21" t="n">
        <v>5</v>
      </c>
      <c r="I44" s="21" t="n">
        <v>3</v>
      </c>
      <c r="J44" s="21" t="n">
        <v>4</v>
      </c>
      <c r="K44" s="21" t="n">
        <v>6</v>
      </c>
      <c r="L44" s="21" t="n">
        <v>7</v>
      </c>
      <c r="M44" s="21" t="n">
        <v>4</v>
      </c>
      <c r="N44" s="20">
        <f>SUMPRODUCT(E44:M44*((COLUMN(E44:M44)-COLUMN(E44)+1)&lt;=Parametros!$B$11))</f>
        <v/>
      </c>
      <c r="O44" s="20">
        <f>SUM(E44:M44)</f>
        <v/>
      </c>
    </row>
    <row r="45">
      <c r="A45" s="20" t="inlineStr">
        <is>
          <t>11° JUZGADO CIVIL</t>
        </is>
      </c>
      <c r="B45" s="20" t="inlineStr">
        <is>
          <t>CIVIL - COMERCIAL</t>
        </is>
      </c>
      <c r="C45" s="20" t="inlineStr">
        <is>
          <t>Resto</t>
        </is>
      </c>
      <c r="D45" s="21" t="n">
        <v>2</v>
      </c>
      <c r="E45" s="21" t="n">
        <v>4</v>
      </c>
      <c r="F45" s="21" t="n">
        <v>0</v>
      </c>
      <c r="G45" s="21" t="n">
        <v>2</v>
      </c>
      <c r="H45" s="21" t="n">
        <v>3</v>
      </c>
      <c r="I45" s="21" t="n">
        <v>2</v>
      </c>
      <c r="J45" s="21" t="n">
        <v>0</v>
      </c>
      <c r="K45" s="21" t="n">
        <v>0</v>
      </c>
      <c r="L45" s="21" t="n">
        <v>1</v>
      </c>
      <c r="M45" s="21" t="n">
        <v>0</v>
      </c>
      <c r="N45" s="20">
        <f>SUMPRODUCT(E45:M45*((COLUMN(E45:M45)-COLUMN(E45)+1)&lt;=Parametros!$B$11))</f>
        <v/>
      </c>
      <c r="O45" s="20">
        <f>SUM(E45:M45)</f>
        <v/>
      </c>
    </row>
    <row r="46">
      <c r="A46" s="20" t="inlineStr">
        <is>
          <t>11° JUZGADO CIVIL</t>
        </is>
      </c>
      <c r="B46" s="20" t="inlineStr">
        <is>
          <t>CIVIL - CONTENCIOSO ADMINISTRATIVO</t>
        </is>
      </c>
      <c r="C46" s="20" t="inlineStr">
        <is>
          <t>Resto</t>
        </is>
      </c>
      <c r="D46" s="21" t="n">
        <v>3</v>
      </c>
      <c r="E46" s="21" t="n">
        <v>0</v>
      </c>
      <c r="F46" s="21" t="n">
        <v>0</v>
      </c>
      <c r="G46" s="21" t="n">
        <v>0</v>
      </c>
      <c r="H46" s="21" t="n">
        <v>2</v>
      </c>
      <c r="I46" s="21" t="n">
        <v>0</v>
      </c>
      <c r="J46" s="21" t="n">
        <v>1</v>
      </c>
      <c r="K46" s="21" t="n">
        <v>0</v>
      </c>
      <c r="L46" s="21" t="n">
        <v>0</v>
      </c>
      <c r="M46" s="21" t="n">
        <v>0</v>
      </c>
      <c r="N46" s="20">
        <f>SUMPRODUCT(E46:M46*((COLUMN(E46:M46)-COLUMN(E46)+1)&lt;=Parametros!$B$11))</f>
        <v/>
      </c>
      <c r="O46" s="20">
        <f>SUM(E46:M46)</f>
        <v/>
      </c>
    </row>
    <row r="47">
      <c r="A47" s="20" t="inlineStr">
        <is>
          <t>1° JUZGADO CIVIL TRANSITORIO</t>
        </is>
      </c>
      <c r="B47" s="20" t="inlineStr">
        <is>
          <t>CIVIL - CIVIL</t>
        </is>
      </c>
      <c r="C47" s="20" t="inlineStr">
        <is>
          <t>Civil-Civil</t>
        </is>
      </c>
      <c r="D47" s="21" t="n">
        <v>17</v>
      </c>
      <c r="E47" s="21" t="n">
        <v>13</v>
      </c>
      <c r="F47" s="21" t="n">
        <v>0</v>
      </c>
      <c r="G47" s="21" t="n">
        <v>4</v>
      </c>
      <c r="H47" s="21" t="n">
        <v>5</v>
      </c>
      <c r="I47" s="21" t="n">
        <v>2</v>
      </c>
      <c r="J47" s="21" t="n">
        <v>0</v>
      </c>
      <c r="K47" s="21" t="n">
        <v>4</v>
      </c>
      <c r="L47" s="21" t="n">
        <v>2</v>
      </c>
      <c r="M47" s="21" t="n">
        <v>1</v>
      </c>
      <c r="N47" s="20">
        <f>SUMPRODUCT(E47:M47*((COLUMN(E47:M47)-COLUMN(E47)+1)&lt;=Parametros!$B$11))</f>
        <v/>
      </c>
      <c r="O47" s="20">
        <f>SUM(E47:M47)</f>
        <v/>
      </c>
    </row>
    <row r="48">
      <c r="A48" s="20" t="inlineStr">
        <is>
          <t>1° JUZGADO CIVIL TRANSITORIO</t>
        </is>
      </c>
      <c r="B48" s="20" t="inlineStr">
        <is>
          <t>CIVIL - COMERCIAL</t>
        </is>
      </c>
      <c r="C48" s="20" t="inlineStr">
        <is>
          <t>Resto</t>
        </is>
      </c>
      <c r="D48" s="21" t="n">
        <v>0</v>
      </c>
      <c r="E48" s="21" t="n">
        <v>0</v>
      </c>
      <c r="F48" s="21" t="n">
        <v>0</v>
      </c>
      <c r="G48" s="21" t="n">
        <v>0</v>
      </c>
      <c r="H48" s="21" t="n">
        <v>2</v>
      </c>
      <c r="I48" s="21" t="n">
        <v>0</v>
      </c>
      <c r="J48" s="21" t="n">
        <v>0</v>
      </c>
      <c r="K48" s="21" t="n">
        <v>3</v>
      </c>
      <c r="L48" s="21" t="n">
        <v>0</v>
      </c>
      <c r="M48" s="21" t="n">
        <v>0</v>
      </c>
      <c r="N48" s="20">
        <f>SUMPRODUCT(E48:M48*((COLUMN(E48:M48)-COLUMN(E48)+1)&lt;=Parametros!$B$11))</f>
        <v/>
      </c>
      <c r="O48" s="20">
        <f>SUM(E48:M48)</f>
        <v/>
      </c>
    </row>
    <row r="49">
      <c r="A49" s="20" t="inlineStr">
        <is>
          <t>1° JUZGADO CIVIL TRANSITORIO</t>
        </is>
      </c>
      <c r="B49" s="20" t="inlineStr">
        <is>
          <t>LABORAL - CONTENCIOSO ADMINISTRATIVO</t>
        </is>
      </c>
      <c r="C49" s="20" t="inlineStr">
        <is>
          <t>Resto</t>
        </is>
      </c>
      <c r="D49" s="21" t="n">
        <v>1</v>
      </c>
      <c r="E49" s="21" t="n">
        <v>0</v>
      </c>
      <c r="F49" s="21" t="n">
        <v>0</v>
      </c>
      <c r="G49" s="21" t="n">
        <v>0</v>
      </c>
      <c r="H49" s="21" t="n">
        <v>0</v>
      </c>
      <c r="I49" s="21" t="n">
        <v>0</v>
      </c>
      <c r="J49" s="21" t="n">
        <v>0</v>
      </c>
      <c r="K49" s="21" t="n">
        <v>0</v>
      </c>
      <c r="L49" s="21" t="n">
        <v>0</v>
      </c>
      <c r="M49" s="21" t="n">
        <v>0</v>
      </c>
      <c r="N49" s="20">
        <f>SUMPRODUCT(E49:M49*((COLUMN(E49:M49)-COLUMN(E49)+1)&lt;=Parametros!$B$11))</f>
        <v/>
      </c>
      <c r="O49" s="20">
        <f>SUM(E49:M49)</f>
        <v/>
      </c>
    </row>
    <row r="50">
      <c r="A50" s="20" t="inlineStr">
        <is>
          <t>2° JUZGADO CIVIL TRANSITORIO</t>
        </is>
      </c>
      <c r="B50" s="20" t="inlineStr">
        <is>
          <t>CIVIL - CIVIL</t>
        </is>
      </c>
      <c r="C50" s="20" t="inlineStr">
        <is>
          <t>Civil-Civil</t>
        </is>
      </c>
      <c r="D50" s="21" t="n">
        <v>430</v>
      </c>
      <c r="E50" s="21" t="n">
        <v>2</v>
      </c>
      <c r="F50" s="21" t="n">
        <v>0</v>
      </c>
      <c r="G50" s="21" t="n">
        <v>229</v>
      </c>
      <c r="H50" s="21" t="n">
        <v>208</v>
      </c>
      <c r="I50" s="21" t="n">
        <v>10</v>
      </c>
      <c r="J50" s="21" t="n">
        <v>14</v>
      </c>
      <c r="K50" s="21" t="n">
        <v>11</v>
      </c>
      <c r="L50" s="21" t="n">
        <v>4</v>
      </c>
      <c r="M50" s="21" t="n">
        <v>6</v>
      </c>
      <c r="N50" s="20">
        <f>SUMPRODUCT(E50:M50*((COLUMN(E50:M50)-COLUMN(E50)+1)&lt;=Parametros!$B$11))</f>
        <v/>
      </c>
      <c r="O50" s="20">
        <f>SUM(E50:M50)</f>
        <v/>
      </c>
    </row>
    <row r="51">
      <c r="A51" s="20" t="inlineStr">
        <is>
          <t>2° JUZGADO CIVIL TRANSITORIO</t>
        </is>
      </c>
      <c r="B51" s="20" t="inlineStr">
        <is>
          <t>CIVIL - COMERCIAL</t>
        </is>
      </c>
      <c r="C51" s="20" t="inlineStr">
        <is>
          <t>Resto</t>
        </is>
      </c>
      <c r="D51" s="21" t="n">
        <v>2</v>
      </c>
      <c r="E51" s="21" t="n">
        <v>0</v>
      </c>
      <c r="F51" s="21" t="n">
        <v>0</v>
      </c>
      <c r="G51" s="21" t="n">
        <v>0</v>
      </c>
      <c r="H51" s="21" t="n">
        <v>1</v>
      </c>
      <c r="I51" s="21" t="n">
        <v>0</v>
      </c>
      <c r="J51" s="21" t="n">
        <v>0</v>
      </c>
      <c r="K51" s="21" t="n">
        <v>0</v>
      </c>
      <c r="L51" s="21" t="n">
        <v>0</v>
      </c>
      <c r="M51" s="21" t="n">
        <v>0</v>
      </c>
      <c r="N51" s="20">
        <f>SUMPRODUCT(E51:M51*((COLUMN(E51:M51)-COLUMN(E51)+1)&lt;=Parametros!$B$11))</f>
        <v/>
      </c>
      <c r="O51" s="20">
        <f>SUM(E51:M51)</f>
        <v/>
      </c>
    </row>
    <row r="52">
      <c r="A52" s="20" t="inlineStr">
        <is>
          <t>2° JUZGADO CIVIL TRANSITORIO</t>
        </is>
      </c>
      <c r="B52" s="20" t="inlineStr">
        <is>
          <t>CIVIL - CONSTITUCIONAL</t>
        </is>
      </c>
      <c r="C52" s="20" t="inlineStr">
        <is>
          <t>Resto</t>
        </is>
      </c>
      <c r="D52" s="21" t="n">
        <v>2</v>
      </c>
      <c r="E52" s="21" t="n">
        <v>0</v>
      </c>
      <c r="F52" s="21" t="n">
        <v>0</v>
      </c>
      <c r="G52" s="21" t="n">
        <v>0</v>
      </c>
      <c r="H52" s="21" t="n">
        <v>0</v>
      </c>
      <c r="I52" s="21" t="n">
        <v>0</v>
      </c>
      <c r="J52" s="21" t="n">
        <v>0</v>
      </c>
      <c r="K52" s="21" t="n">
        <v>0</v>
      </c>
      <c r="L52" s="21" t="n">
        <v>0</v>
      </c>
      <c r="M52" s="21" t="n">
        <v>1</v>
      </c>
      <c r="N52" s="20">
        <f>SUMPRODUCT(E52:M52*((COLUMN(E52:M52)-COLUMN(E52)+1)&lt;=Parametros!$B$11))</f>
        <v/>
      </c>
      <c r="O52" s="20">
        <f>SUM(E52:M52)</f>
        <v/>
      </c>
    </row>
    <row r="53">
      <c r="A53" s="20" t="inlineStr">
        <is>
          <t>2° JUZGADO CIVIL TRANSITORIO</t>
        </is>
      </c>
      <c r="B53" s="20" t="inlineStr">
        <is>
          <t>CIVIL - CONTENCIOSO ADMINISTRATIVO</t>
        </is>
      </c>
      <c r="C53" s="20" t="inlineStr">
        <is>
          <t>Resto</t>
        </is>
      </c>
      <c r="D53" s="21" t="n">
        <v>56</v>
      </c>
      <c r="E53" s="21" t="n">
        <v>0</v>
      </c>
      <c r="F53" s="21" t="n">
        <v>0</v>
      </c>
      <c r="G53" s="21" t="n">
        <v>1</v>
      </c>
      <c r="H53" s="21" t="n">
        <v>2</v>
      </c>
      <c r="I53" s="21" t="n">
        <v>2</v>
      </c>
      <c r="J53" s="21" t="n">
        <v>0</v>
      </c>
      <c r="K53" s="21" t="n">
        <v>0</v>
      </c>
      <c r="L53" s="21" t="n">
        <v>0</v>
      </c>
      <c r="M53" s="21" t="n">
        <v>1</v>
      </c>
      <c r="N53" s="20">
        <f>SUMPRODUCT(E53:M53*((COLUMN(E53:M53)-COLUMN(E53)+1)&lt;=Parametros!$B$11))</f>
        <v/>
      </c>
      <c r="O53" s="20">
        <f>SUM(E53:M53)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6" customWidth="1" min="2" max="2"/>
    <col width="11" customWidth="1" min="3" max="3"/>
    <col width="11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11" customWidth="1" min="17" max="17"/>
    <col width="9" customWidth="1" min="18" max="18"/>
  </cols>
  <sheetData>
    <row r="1">
      <c r="A1" s="1" t="inlineStr">
        <is>
          <t>INGRESOS Y PENDIENTES – TRÁMITE 2025 (SIJ)</t>
        </is>
      </c>
    </row>
    <row r="2">
      <c r="A2" s="2" t="inlineStr">
        <is>
          <t>Fuente: Ingresos_Tramite_ene-dic25__CI.xlsx (corte 02/01/26)</t>
        </is>
      </c>
    </row>
    <row r="3" ht="55" customHeight="1">
      <c r="A3" s="3" t="inlineStr">
        <is>
          <t>Juzgado</t>
        </is>
      </c>
      <c r="B3" s="3" t="inlineStr">
        <is>
          <t>Subespecialidad</t>
        </is>
      </c>
      <c r="C3" s="3" t="inlineStr">
        <is>
          <t>Grupo</t>
        </is>
      </c>
      <c r="D3" s="3" t="inlineStr">
        <is>
          <t>Pendientes año anterior</t>
        </is>
      </c>
      <c r="E3" s="3" t="inlineStr">
        <is>
          <t>Ene</t>
        </is>
      </c>
      <c r="F3" s="3" t="inlineStr">
        <is>
          <t>Feb</t>
        </is>
      </c>
      <c r="G3" s="3" t="inlineStr">
        <is>
          <t>Mar</t>
        </is>
      </c>
      <c r="H3" s="3" t="inlineStr">
        <is>
          <t>Abr</t>
        </is>
      </c>
      <c r="I3" s="3" t="inlineStr">
        <is>
          <t>May</t>
        </is>
      </c>
      <c r="J3" s="3" t="inlineStr">
        <is>
          <t>Jun</t>
        </is>
      </c>
      <c r="K3" s="3" t="inlineStr">
        <is>
          <t>Jul</t>
        </is>
      </c>
      <c r="L3" s="3" t="inlineStr">
        <is>
          <t>Ago</t>
        </is>
      </c>
      <c r="M3" s="3" t="inlineStr">
        <is>
          <t>Set</t>
        </is>
      </c>
      <c r="N3" s="3" t="inlineStr">
        <is>
          <t>Oct</t>
        </is>
      </c>
      <c r="O3" s="3" t="inlineStr">
        <is>
          <t>Nov</t>
        </is>
      </c>
      <c r="P3" s="3" t="inlineStr">
        <is>
          <t>Dic</t>
        </is>
      </c>
      <c r="Q3" s="3" t="inlineStr">
        <is>
          <t>Total</t>
        </is>
      </c>
    </row>
    <row r="4">
      <c r="A4" s="20" t="inlineStr">
        <is>
          <t>1º JUZGADO CIVIL</t>
        </is>
      </c>
      <c r="B4" s="20" t="inlineStr">
        <is>
          <t>CIVIL - CIVIL</t>
        </is>
      </c>
      <c r="C4" s="20" t="inlineStr">
        <is>
          <t>Civil-Civil</t>
        </is>
      </c>
      <c r="D4" s="21" t="n">
        <v>382</v>
      </c>
      <c r="E4" s="21" t="n">
        <v>52</v>
      </c>
      <c r="F4" s="21" t="n">
        <v>0</v>
      </c>
      <c r="G4" s="21" t="n">
        <v>40</v>
      </c>
      <c r="H4" s="21" t="n">
        <v>29</v>
      </c>
      <c r="I4" s="21" t="n">
        <v>47</v>
      </c>
      <c r="J4" s="21" t="n">
        <v>53</v>
      </c>
      <c r="K4" s="21" t="n">
        <v>55</v>
      </c>
      <c r="L4" s="21" t="n">
        <v>48</v>
      </c>
      <c r="M4" s="21" t="n">
        <v>54</v>
      </c>
      <c r="N4" s="21" t="n">
        <v>48</v>
      </c>
      <c r="O4" s="21" t="n">
        <v>50</v>
      </c>
      <c r="P4" s="21" t="n">
        <v>43</v>
      </c>
      <c r="Q4" s="20">
        <f>SUM(E4:P4)</f>
        <v/>
      </c>
    </row>
    <row r="5">
      <c r="A5" s="20" t="inlineStr">
        <is>
          <t>1º JUZGADO CIVIL</t>
        </is>
      </c>
      <c r="B5" s="20" t="inlineStr">
        <is>
          <t>CIVIL - COMERCIAL</t>
        </is>
      </c>
      <c r="C5" s="20" t="inlineStr">
        <is>
          <t>Resto</t>
        </is>
      </c>
      <c r="D5" s="21" t="n">
        <v>5</v>
      </c>
      <c r="E5" s="21" t="n">
        <v>11</v>
      </c>
      <c r="F5" s="21" t="n">
        <v>0</v>
      </c>
      <c r="G5" s="21" t="n">
        <v>19</v>
      </c>
      <c r="H5" s="21" t="n">
        <v>6</v>
      </c>
      <c r="I5" s="21" t="n">
        <v>17</v>
      </c>
      <c r="J5" s="21" t="n">
        <v>12</v>
      </c>
      <c r="K5" s="21" t="n">
        <v>3</v>
      </c>
      <c r="L5" s="21" t="n">
        <v>12</v>
      </c>
      <c r="M5" s="21" t="n">
        <v>14</v>
      </c>
      <c r="N5" s="21" t="n">
        <v>14</v>
      </c>
      <c r="O5" s="21" t="n">
        <v>15</v>
      </c>
      <c r="P5" s="21" t="n">
        <v>8</v>
      </c>
      <c r="Q5" s="20">
        <f>SUM(E5:P5)</f>
        <v/>
      </c>
    </row>
    <row r="6">
      <c r="A6" s="20" t="inlineStr">
        <is>
          <t>1º JUZGADO CIVIL</t>
        </is>
      </c>
      <c r="B6" s="20" t="inlineStr">
        <is>
          <t>CIVIL - CONTENCIOSO ADMINISTRATIVO</t>
        </is>
      </c>
      <c r="C6" s="20" t="inlineStr">
        <is>
          <t>Resto</t>
        </is>
      </c>
      <c r="D6" s="21" t="n">
        <v>19</v>
      </c>
      <c r="E6" s="21" t="n">
        <v>4</v>
      </c>
      <c r="F6" s="21" t="n">
        <v>0</v>
      </c>
      <c r="G6" s="21" t="n">
        <v>8</v>
      </c>
      <c r="H6" s="21" t="n">
        <v>5</v>
      </c>
      <c r="I6" s="21" t="n">
        <v>1</v>
      </c>
      <c r="J6" s="21" t="n">
        <v>5</v>
      </c>
      <c r="K6" s="21" t="n">
        <v>2</v>
      </c>
      <c r="L6" s="21" t="n">
        <v>4</v>
      </c>
      <c r="M6" s="21" t="n">
        <v>3</v>
      </c>
      <c r="N6" s="21" t="n">
        <v>7</v>
      </c>
      <c r="O6" s="21" t="n">
        <v>6</v>
      </c>
      <c r="P6" s="21" t="n">
        <v>0</v>
      </c>
      <c r="Q6" s="20">
        <f>SUM(E6:P6)</f>
        <v/>
      </c>
    </row>
    <row r="7">
      <c r="A7" s="20" t="inlineStr">
        <is>
          <t>2º JUZGADO CIVIL</t>
        </is>
      </c>
      <c r="B7" s="20" t="inlineStr">
        <is>
          <t>CIVIL - CIVIL</t>
        </is>
      </c>
      <c r="C7" s="20" t="inlineStr">
        <is>
          <t>Civil-Civil</t>
        </is>
      </c>
      <c r="D7" s="21" t="n">
        <v>799</v>
      </c>
      <c r="E7" s="21" t="n">
        <v>61</v>
      </c>
      <c r="F7" s="21" t="n">
        <v>0</v>
      </c>
      <c r="G7" s="21" t="n">
        <v>28</v>
      </c>
      <c r="H7" s="21" t="n">
        <v>34</v>
      </c>
      <c r="I7" s="21" t="n">
        <v>47</v>
      </c>
      <c r="J7" s="21" t="n">
        <v>43</v>
      </c>
      <c r="K7" s="21" t="n">
        <v>61</v>
      </c>
      <c r="L7" s="21" t="n">
        <v>50</v>
      </c>
      <c r="M7" s="21" t="n">
        <v>38</v>
      </c>
      <c r="N7" s="21" t="n">
        <v>40</v>
      </c>
      <c r="O7" s="21" t="n">
        <v>39</v>
      </c>
      <c r="P7" s="21" t="n">
        <v>45</v>
      </c>
      <c r="Q7" s="20">
        <f>SUM(E7:P7)</f>
        <v/>
      </c>
    </row>
    <row r="8">
      <c r="A8" s="20" t="inlineStr">
        <is>
          <t>2º JUZGADO CIVIL</t>
        </is>
      </c>
      <c r="B8" s="20" t="inlineStr">
        <is>
          <t>CIVIL - COMERCIAL</t>
        </is>
      </c>
      <c r="C8" s="20" t="inlineStr">
        <is>
          <t>Resto</t>
        </is>
      </c>
      <c r="D8" s="21" t="n">
        <v>9</v>
      </c>
      <c r="E8" s="21" t="n">
        <v>11</v>
      </c>
      <c r="F8" s="21" t="n">
        <v>0</v>
      </c>
      <c r="G8" s="21" t="n">
        <v>13</v>
      </c>
      <c r="H8" s="21" t="n">
        <v>5</v>
      </c>
      <c r="I8" s="21" t="n">
        <v>11</v>
      </c>
      <c r="J8" s="21" t="n">
        <v>3</v>
      </c>
      <c r="K8" s="21" t="n">
        <v>21</v>
      </c>
      <c r="L8" s="21" t="n">
        <v>12</v>
      </c>
      <c r="M8" s="21" t="n">
        <v>10</v>
      </c>
      <c r="N8" s="21" t="n">
        <v>14</v>
      </c>
      <c r="O8" s="21" t="n">
        <v>13</v>
      </c>
      <c r="P8" s="21" t="n">
        <v>5</v>
      </c>
      <c r="Q8" s="20">
        <f>SUM(E8:P8)</f>
        <v/>
      </c>
    </row>
    <row r="9">
      <c r="A9" s="20" t="inlineStr">
        <is>
          <t>2º JUZGADO CIVIL</t>
        </is>
      </c>
      <c r="B9" s="20" t="inlineStr">
        <is>
          <t>FAMILIA - FAMILIA CIVIL</t>
        </is>
      </c>
      <c r="C9" s="20" t="inlineStr">
        <is>
          <t>Resto</t>
        </is>
      </c>
      <c r="D9" s="21" t="n">
        <v>1</v>
      </c>
      <c r="E9" s="21" t="n">
        <v>0</v>
      </c>
      <c r="F9" s="21" t="n">
        <v>0</v>
      </c>
      <c r="G9" s="21" t="n">
        <v>0</v>
      </c>
      <c r="H9" s="21" t="n">
        <v>0</v>
      </c>
      <c r="I9" s="21" t="n">
        <v>0</v>
      </c>
      <c r="J9" s="21" t="n">
        <v>0</v>
      </c>
      <c r="K9" s="21" t="n">
        <v>0</v>
      </c>
      <c r="L9" s="21" t="n">
        <v>0</v>
      </c>
      <c r="M9" s="21" t="n">
        <v>0</v>
      </c>
      <c r="N9" s="21" t="n">
        <v>0</v>
      </c>
      <c r="O9" s="21" t="n">
        <v>0</v>
      </c>
      <c r="P9" s="21" t="n">
        <v>0</v>
      </c>
      <c r="Q9" s="20">
        <f>SUM(E9:P9)</f>
        <v/>
      </c>
    </row>
    <row r="10">
      <c r="A10" s="20" t="inlineStr">
        <is>
          <t>2º JUZGADO CIVIL</t>
        </is>
      </c>
      <c r="B10" s="20" t="inlineStr">
        <is>
          <t>CIVIL - CONSTITUCIONAL</t>
        </is>
      </c>
      <c r="C10" s="20" t="inlineStr">
        <is>
          <t>Resto</t>
        </is>
      </c>
      <c r="D10" s="21" t="n">
        <v>1</v>
      </c>
      <c r="E10" s="21" t="n">
        <v>0</v>
      </c>
      <c r="F10" s="21" t="n">
        <v>0</v>
      </c>
      <c r="G10" s="21" t="n">
        <v>0</v>
      </c>
      <c r="H10" s="21" t="n">
        <v>0</v>
      </c>
      <c r="I10" s="21" t="n">
        <v>0</v>
      </c>
      <c r="J10" s="21" t="n">
        <v>0</v>
      </c>
      <c r="K10" s="21" t="n">
        <v>0</v>
      </c>
      <c r="L10" s="21" t="n">
        <v>0</v>
      </c>
      <c r="M10" s="21" t="n">
        <v>0</v>
      </c>
      <c r="N10" s="21" t="n">
        <v>0</v>
      </c>
      <c r="O10" s="21" t="n">
        <v>0</v>
      </c>
      <c r="P10" s="21" t="n">
        <v>0</v>
      </c>
      <c r="Q10" s="20">
        <f>SUM(E10:P10)</f>
        <v/>
      </c>
    </row>
    <row r="11">
      <c r="A11" s="20" t="inlineStr">
        <is>
          <t>2º JUZGADO CIVIL</t>
        </is>
      </c>
      <c r="B11" s="20" t="inlineStr">
        <is>
          <t>CIVIL - CONTENCIOSO ADMINISTRATIVO</t>
        </is>
      </c>
      <c r="C11" s="20" t="inlineStr">
        <is>
          <t>Resto</t>
        </is>
      </c>
      <c r="D11" s="21" t="n">
        <v>35</v>
      </c>
      <c r="E11" s="21" t="n">
        <v>2</v>
      </c>
      <c r="F11" s="21" t="n">
        <v>0</v>
      </c>
      <c r="G11" s="21" t="n">
        <v>3</v>
      </c>
      <c r="H11" s="21" t="n">
        <v>4</v>
      </c>
      <c r="I11" s="21" t="n">
        <v>1</v>
      </c>
      <c r="J11" s="21" t="n">
        <v>1</v>
      </c>
      <c r="K11" s="21" t="n">
        <v>5</v>
      </c>
      <c r="L11" s="21" t="n">
        <v>2</v>
      </c>
      <c r="M11" s="21" t="n">
        <v>4</v>
      </c>
      <c r="N11" s="21" t="n">
        <v>5</v>
      </c>
      <c r="O11" s="21" t="n">
        <v>0</v>
      </c>
      <c r="P11" s="21" t="n">
        <v>5</v>
      </c>
      <c r="Q11" s="20">
        <f>SUM(E11:P11)</f>
        <v/>
      </c>
    </row>
    <row r="12">
      <c r="A12" s="20" t="inlineStr">
        <is>
          <t>3º JUZGADO CIVIL</t>
        </is>
      </c>
      <c r="B12" s="20" t="inlineStr">
        <is>
          <t>CIVIL - CIVIL</t>
        </is>
      </c>
      <c r="C12" s="20" t="inlineStr">
        <is>
          <t>Civil-Civil</t>
        </is>
      </c>
      <c r="D12" s="21" t="n">
        <v>489</v>
      </c>
      <c r="E12" s="21" t="n">
        <v>58</v>
      </c>
      <c r="F12" s="21" t="n">
        <v>0</v>
      </c>
      <c r="G12" s="21" t="n">
        <v>66</v>
      </c>
      <c r="H12" s="21" t="n">
        <v>16</v>
      </c>
      <c r="I12" s="21" t="n">
        <v>62</v>
      </c>
      <c r="J12" s="21" t="n">
        <v>34</v>
      </c>
      <c r="K12" s="21" t="n">
        <v>30</v>
      </c>
      <c r="L12" s="21" t="n">
        <v>53</v>
      </c>
      <c r="M12" s="21" t="n">
        <v>32</v>
      </c>
      <c r="N12" s="21" t="n">
        <v>45</v>
      </c>
      <c r="O12" s="21" t="n">
        <v>39</v>
      </c>
      <c r="P12" s="21" t="n">
        <v>54</v>
      </c>
      <c r="Q12" s="20">
        <f>SUM(E12:P12)</f>
        <v/>
      </c>
    </row>
    <row r="13">
      <c r="A13" s="20" t="inlineStr">
        <is>
          <t>3º JUZGADO CIVIL</t>
        </is>
      </c>
      <c r="B13" s="20" t="inlineStr">
        <is>
          <t>LABORAL - LABORAL</t>
        </is>
      </c>
      <c r="C13" s="20" t="inlineStr">
        <is>
          <t>Resto</t>
        </is>
      </c>
      <c r="D13" s="21" t="n">
        <v>0</v>
      </c>
      <c r="E13" s="21" t="n">
        <v>0</v>
      </c>
      <c r="F13" s="21" t="n">
        <v>0</v>
      </c>
      <c r="G13" s="21" t="n">
        <v>0</v>
      </c>
      <c r="H13" s="21" t="n">
        <v>0</v>
      </c>
      <c r="I13" s="21" t="n">
        <v>1</v>
      </c>
      <c r="J13" s="21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21" t="n">
        <v>0</v>
      </c>
      <c r="P13" s="21" t="n">
        <v>0</v>
      </c>
      <c r="Q13" s="20">
        <f>SUM(E13:P13)</f>
        <v/>
      </c>
    </row>
    <row r="14">
      <c r="A14" s="20" t="inlineStr">
        <is>
          <t>3º JUZGADO CIVIL</t>
        </is>
      </c>
      <c r="B14" s="20" t="inlineStr">
        <is>
          <t>CIVIL - COMERCIAL</t>
        </is>
      </c>
      <c r="C14" s="20" t="inlineStr">
        <is>
          <t>Resto</t>
        </is>
      </c>
      <c r="D14" s="21" t="n">
        <v>10</v>
      </c>
      <c r="E14" s="21" t="n">
        <v>18</v>
      </c>
      <c r="F14" s="21" t="n">
        <v>0</v>
      </c>
      <c r="G14" s="21" t="n">
        <v>17</v>
      </c>
      <c r="H14" s="21" t="n">
        <v>5</v>
      </c>
      <c r="I14" s="21" t="n">
        <v>12</v>
      </c>
      <c r="J14" s="21" t="n">
        <v>13</v>
      </c>
      <c r="K14" s="21" t="n">
        <v>11</v>
      </c>
      <c r="L14" s="21" t="n">
        <v>18</v>
      </c>
      <c r="M14" s="21" t="n">
        <v>17</v>
      </c>
      <c r="N14" s="21" t="n">
        <v>9</v>
      </c>
      <c r="O14" s="21" t="n">
        <v>1</v>
      </c>
      <c r="P14" s="21" t="n">
        <v>18</v>
      </c>
      <c r="Q14" s="20">
        <f>SUM(E14:P14)</f>
        <v/>
      </c>
    </row>
    <row r="15">
      <c r="A15" s="20" t="inlineStr">
        <is>
          <t>3º JUZGADO CIVIL</t>
        </is>
      </c>
      <c r="B15" s="20" t="inlineStr">
        <is>
          <t>CIVIL - CONSTITUCIONAL</t>
        </is>
      </c>
      <c r="C15" s="20" t="inlineStr">
        <is>
          <t>Resto</t>
        </is>
      </c>
      <c r="D15" s="21" t="n">
        <v>1</v>
      </c>
      <c r="E15" s="21" t="n">
        <v>1</v>
      </c>
      <c r="F15" s="21" t="n">
        <v>0</v>
      </c>
      <c r="G15" s="21" t="n">
        <v>0</v>
      </c>
      <c r="H15" s="21" t="n">
        <v>0</v>
      </c>
      <c r="I15" s="21" t="n">
        <v>0</v>
      </c>
      <c r="J15" s="21" t="n">
        <v>0</v>
      </c>
      <c r="K15" s="21" t="n">
        <v>0</v>
      </c>
      <c r="L15" s="21" t="n">
        <v>1</v>
      </c>
      <c r="M15" s="21" t="n">
        <v>0</v>
      </c>
      <c r="N15" s="21" t="n">
        <v>0</v>
      </c>
      <c r="O15" s="21" t="n">
        <v>0</v>
      </c>
      <c r="P15" s="21" t="n">
        <v>0</v>
      </c>
      <c r="Q15" s="20">
        <f>SUM(E15:P15)</f>
        <v/>
      </c>
    </row>
    <row r="16">
      <c r="A16" s="20" t="inlineStr">
        <is>
          <t>3º JUZGADO CIVIL</t>
        </is>
      </c>
      <c r="B16" s="20" t="inlineStr">
        <is>
          <t>CIVIL - CONTENCIOSO ADMINISTRATIVO</t>
        </is>
      </c>
      <c r="C16" s="20" t="inlineStr">
        <is>
          <t>Resto</t>
        </is>
      </c>
      <c r="D16" s="21" t="n">
        <v>33</v>
      </c>
      <c r="E16" s="21" t="n">
        <v>5</v>
      </c>
      <c r="F16" s="21" t="n">
        <v>1</v>
      </c>
      <c r="G16" s="21" t="n">
        <v>2</v>
      </c>
      <c r="H16" s="21" t="n">
        <v>1</v>
      </c>
      <c r="I16" s="21" t="n">
        <v>3</v>
      </c>
      <c r="J16" s="21" t="n">
        <v>2</v>
      </c>
      <c r="K16" s="21" t="n">
        <v>0</v>
      </c>
      <c r="L16" s="21" t="n">
        <v>2</v>
      </c>
      <c r="M16" s="21" t="n">
        <v>2</v>
      </c>
      <c r="N16" s="21" t="n">
        <v>4</v>
      </c>
      <c r="O16" s="21" t="n">
        <v>0</v>
      </c>
      <c r="P16" s="21" t="n">
        <v>4</v>
      </c>
      <c r="Q16" s="20">
        <f>SUM(E16:P16)</f>
        <v/>
      </c>
    </row>
    <row r="17">
      <c r="A17" s="20" t="inlineStr">
        <is>
          <t>4º JUZGADO CIVIL</t>
        </is>
      </c>
      <c r="B17" s="20" t="inlineStr">
        <is>
          <t>CIVIL - CIVIL</t>
        </is>
      </c>
      <c r="C17" s="20" t="inlineStr">
        <is>
          <t>Civil-Civil</t>
        </is>
      </c>
      <c r="D17" s="21" t="n">
        <v>767</v>
      </c>
      <c r="E17" s="21" t="n">
        <v>57</v>
      </c>
      <c r="F17" s="21" t="n">
        <v>1</v>
      </c>
      <c r="G17" s="21" t="n">
        <v>58</v>
      </c>
      <c r="H17" s="21" t="n">
        <v>51</v>
      </c>
      <c r="I17" s="21" t="n">
        <v>60</v>
      </c>
      <c r="J17" s="21" t="n">
        <v>53</v>
      </c>
      <c r="K17" s="21" t="n">
        <v>36</v>
      </c>
      <c r="L17" s="21" t="n">
        <v>52</v>
      </c>
      <c r="M17" s="21" t="n">
        <v>60</v>
      </c>
      <c r="N17" s="21" t="n">
        <v>35</v>
      </c>
      <c r="O17" s="21" t="n">
        <v>36</v>
      </c>
      <c r="P17" s="21" t="n">
        <v>50</v>
      </c>
      <c r="Q17" s="20">
        <f>SUM(E17:P17)</f>
        <v/>
      </c>
    </row>
    <row r="18">
      <c r="A18" s="20" t="inlineStr">
        <is>
          <t>4º JUZGADO CIVIL</t>
        </is>
      </c>
      <c r="B18" s="20" t="inlineStr">
        <is>
          <t>CIVIL - COMERCIAL</t>
        </is>
      </c>
      <c r="C18" s="20" t="inlineStr">
        <is>
          <t>Resto</t>
        </is>
      </c>
      <c r="D18" s="21" t="n">
        <v>4</v>
      </c>
      <c r="E18" s="21" t="n">
        <v>17</v>
      </c>
      <c r="F18" s="21" t="n">
        <v>0</v>
      </c>
      <c r="G18" s="21" t="n">
        <v>14</v>
      </c>
      <c r="H18" s="21" t="n">
        <v>17</v>
      </c>
      <c r="I18" s="21" t="n">
        <v>11</v>
      </c>
      <c r="J18" s="21" t="n">
        <v>15</v>
      </c>
      <c r="K18" s="21" t="n">
        <v>12</v>
      </c>
      <c r="L18" s="21" t="n">
        <v>13</v>
      </c>
      <c r="M18" s="21" t="n">
        <v>15</v>
      </c>
      <c r="N18" s="21" t="n">
        <v>14</v>
      </c>
      <c r="O18" s="21" t="n">
        <v>8</v>
      </c>
      <c r="P18" s="21" t="n">
        <v>10</v>
      </c>
      <c r="Q18" s="20">
        <f>SUM(E18:P18)</f>
        <v/>
      </c>
    </row>
    <row r="19">
      <c r="A19" s="20" t="inlineStr">
        <is>
          <t>4º JUZGADO CIVIL</t>
        </is>
      </c>
      <c r="B19" s="20" t="inlineStr">
        <is>
          <t>CIVIL - CONSTITUCIONAL</t>
        </is>
      </c>
      <c r="C19" s="20" t="inlineStr">
        <is>
          <t>Resto</t>
        </is>
      </c>
      <c r="D19" s="21" t="n">
        <v>3</v>
      </c>
      <c r="E19" s="21" t="n">
        <v>0</v>
      </c>
      <c r="F19" s="21" t="n">
        <v>0</v>
      </c>
      <c r="G19" s="21" t="n">
        <v>0</v>
      </c>
      <c r="H19" s="21" t="n">
        <v>0</v>
      </c>
      <c r="I19" s="21" t="n">
        <v>0</v>
      </c>
      <c r="J19" s="21" t="n">
        <v>0</v>
      </c>
      <c r="K19" s="21" t="n">
        <v>0</v>
      </c>
      <c r="L19" s="21" t="n">
        <v>0</v>
      </c>
      <c r="M19" s="21" t="n">
        <v>0</v>
      </c>
      <c r="N19" s="21" t="n">
        <v>0</v>
      </c>
      <c r="O19" s="21" t="n">
        <v>0</v>
      </c>
      <c r="P19" s="21" t="n">
        <v>0</v>
      </c>
      <c r="Q19" s="20">
        <f>SUM(E19:P19)</f>
        <v/>
      </c>
    </row>
    <row r="20">
      <c r="A20" s="20" t="inlineStr">
        <is>
          <t>4º JUZGADO CIVIL</t>
        </is>
      </c>
      <c r="B20" s="20" t="inlineStr">
        <is>
          <t>CIVIL - CONTENCIOSO ADMINISTRATIVO</t>
        </is>
      </c>
      <c r="C20" s="20" t="inlineStr">
        <is>
          <t>Resto</t>
        </is>
      </c>
      <c r="D20" s="21" t="n">
        <v>50</v>
      </c>
      <c r="E20" s="21" t="n">
        <v>2</v>
      </c>
      <c r="F20" s="21" t="n">
        <v>0</v>
      </c>
      <c r="G20" s="21" t="n">
        <v>3</v>
      </c>
      <c r="H20" s="21" t="n">
        <v>5</v>
      </c>
      <c r="I20" s="21" t="n">
        <v>5</v>
      </c>
      <c r="J20" s="21" t="n">
        <v>4</v>
      </c>
      <c r="K20" s="21" t="n">
        <v>2</v>
      </c>
      <c r="L20" s="21" t="n">
        <v>4</v>
      </c>
      <c r="M20" s="21" t="n">
        <v>1</v>
      </c>
      <c r="N20" s="21" t="n">
        <v>2</v>
      </c>
      <c r="O20" s="21" t="n">
        <v>5</v>
      </c>
      <c r="P20" s="21" t="n">
        <v>3</v>
      </c>
      <c r="Q20" s="20">
        <f>SUM(E20:P20)</f>
        <v/>
      </c>
    </row>
    <row r="21">
      <c r="A21" s="20" t="inlineStr">
        <is>
          <t>5º JUZGADO CIVIL</t>
        </is>
      </c>
      <c r="B21" s="20" t="inlineStr">
        <is>
          <t>CIVIL - CIVIL</t>
        </is>
      </c>
      <c r="C21" s="20" t="inlineStr">
        <is>
          <t>Civil-Civil</t>
        </is>
      </c>
      <c r="D21" s="21" t="n">
        <v>763</v>
      </c>
      <c r="E21" s="21" t="n">
        <v>46</v>
      </c>
      <c r="F21" s="21" t="n">
        <v>0</v>
      </c>
      <c r="G21" s="21" t="n">
        <v>68</v>
      </c>
      <c r="H21" s="21" t="n">
        <v>54</v>
      </c>
      <c r="I21" s="21" t="n">
        <v>44</v>
      </c>
      <c r="J21" s="21" t="n">
        <v>62</v>
      </c>
      <c r="K21" s="21" t="n">
        <v>39</v>
      </c>
      <c r="L21" s="21" t="n">
        <v>55</v>
      </c>
      <c r="M21" s="21" t="n">
        <v>48</v>
      </c>
      <c r="N21" s="21" t="n">
        <v>41</v>
      </c>
      <c r="O21" s="21" t="n">
        <v>30</v>
      </c>
      <c r="P21" s="21" t="n">
        <v>40</v>
      </c>
      <c r="Q21" s="20">
        <f>SUM(E21:P21)</f>
        <v/>
      </c>
    </row>
    <row r="22">
      <c r="A22" s="20" t="inlineStr">
        <is>
          <t>5º JUZGADO CIVIL</t>
        </is>
      </c>
      <c r="B22" s="20" t="inlineStr">
        <is>
          <t>CIVIL - COMERCIAL</t>
        </is>
      </c>
      <c r="C22" s="20" t="inlineStr">
        <is>
          <t>Resto</t>
        </is>
      </c>
      <c r="D22" s="21" t="n">
        <v>3</v>
      </c>
      <c r="E22" s="21" t="n">
        <v>14</v>
      </c>
      <c r="F22" s="21" t="n">
        <v>0</v>
      </c>
      <c r="G22" s="21" t="n">
        <v>29</v>
      </c>
      <c r="H22" s="21" t="n">
        <v>9</v>
      </c>
      <c r="I22" s="21" t="n">
        <v>9</v>
      </c>
      <c r="J22" s="21" t="n">
        <v>15</v>
      </c>
      <c r="K22" s="21" t="n">
        <v>13</v>
      </c>
      <c r="L22" s="21" t="n">
        <v>18</v>
      </c>
      <c r="M22" s="21" t="n">
        <v>11</v>
      </c>
      <c r="N22" s="21" t="n">
        <v>14</v>
      </c>
      <c r="O22" s="21" t="n">
        <v>6</v>
      </c>
      <c r="P22" s="21" t="n">
        <v>11</v>
      </c>
      <c r="Q22" s="20">
        <f>SUM(E22:P22)</f>
        <v/>
      </c>
    </row>
    <row r="23">
      <c r="A23" s="20" t="inlineStr">
        <is>
          <t>5º JUZGADO CIVIL</t>
        </is>
      </c>
      <c r="B23" s="20" t="inlineStr">
        <is>
          <t>CIVIL - CONSTITUCIONAL</t>
        </is>
      </c>
      <c r="C23" s="20" t="inlineStr">
        <is>
          <t>Resto</t>
        </is>
      </c>
      <c r="D23" s="21" t="n">
        <v>8</v>
      </c>
      <c r="E23" s="21" t="n">
        <v>0</v>
      </c>
      <c r="F23" s="21" t="n">
        <v>0</v>
      </c>
      <c r="G23" s="21" t="n">
        <v>0</v>
      </c>
      <c r="H23" s="21" t="n">
        <v>0</v>
      </c>
      <c r="I23" s="21" t="n">
        <v>0</v>
      </c>
      <c r="J23" s="21" t="n">
        <v>0</v>
      </c>
      <c r="K23" s="21" t="n">
        <v>0</v>
      </c>
      <c r="L23" s="21" t="n">
        <v>1</v>
      </c>
      <c r="M23" s="21" t="n">
        <v>0</v>
      </c>
      <c r="N23" s="21" t="n">
        <v>0</v>
      </c>
      <c r="O23" s="21" t="n">
        <v>0</v>
      </c>
      <c r="P23" s="21" t="n">
        <v>0</v>
      </c>
      <c r="Q23" s="20">
        <f>SUM(E23:P23)</f>
        <v/>
      </c>
    </row>
    <row r="24">
      <c r="A24" s="20" t="inlineStr">
        <is>
          <t>5º JUZGADO CIVIL</t>
        </is>
      </c>
      <c r="B24" s="20" t="inlineStr">
        <is>
          <t>CIVIL - CONTENCIOSO ADMINISTRATIVO</t>
        </is>
      </c>
      <c r="C24" s="20" t="inlineStr">
        <is>
          <t>Resto</t>
        </is>
      </c>
      <c r="D24" s="21" t="n">
        <v>52</v>
      </c>
      <c r="E24" s="21" t="n">
        <v>1</v>
      </c>
      <c r="F24" s="21" t="n">
        <v>0</v>
      </c>
      <c r="G24" s="21" t="n">
        <v>3</v>
      </c>
      <c r="H24" s="21" t="n">
        <v>6</v>
      </c>
      <c r="I24" s="21" t="n">
        <v>5</v>
      </c>
      <c r="J24" s="21" t="n">
        <v>6</v>
      </c>
      <c r="K24" s="21" t="n">
        <v>8</v>
      </c>
      <c r="L24" s="21" t="n">
        <v>5</v>
      </c>
      <c r="M24" s="21" t="n">
        <v>1</v>
      </c>
      <c r="N24" s="21" t="n">
        <v>3</v>
      </c>
      <c r="O24" s="21" t="n">
        <v>1</v>
      </c>
      <c r="P24" s="21" t="n">
        <v>6</v>
      </c>
      <c r="Q24" s="20">
        <f>SUM(E24:P24)</f>
        <v/>
      </c>
    </row>
    <row r="25">
      <c r="A25" s="20" t="inlineStr">
        <is>
          <t>6º JUZGADO CIVIL</t>
        </is>
      </c>
      <c r="B25" s="20" t="inlineStr">
        <is>
          <t>CIVIL - CIVIL</t>
        </is>
      </c>
      <c r="C25" s="20" t="inlineStr">
        <is>
          <t>Civil-Civil</t>
        </is>
      </c>
      <c r="D25" s="21" t="n">
        <v>568</v>
      </c>
      <c r="E25" s="21" t="n">
        <v>40</v>
      </c>
      <c r="F25" s="21" t="n">
        <v>0</v>
      </c>
      <c r="G25" s="21" t="n">
        <v>61</v>
      </c>
      <c r="H25" s="21" t="n">
        <v>60</v>
      </c>
      <c r="I25" s="21" t="n">
        <v>42</v>
      </c>
      <c r="J25" s="21" t="n">
        <v>39</v>
      </c>
      <c r="K25" s="21" t="n">
        <v>34</v>
      </c>
      <c r="L25" s="21" t="n">
        <v>40</v>
      </c>
      <c r="M25" s="21" t="n">
        <v>42</v>
      </c>
      <c r="N25" s="21" t="n">
        <v>43</v>
      </c>
      <c r="O25" s="21" t="n">
        <v>40</v>
      </c>
      <c r="P25" s="21" t="n">
        <v>48</v>
      </c>
      <c r="Q25" s="20">
        <f>SUM(E25:P25)</f>
        <v/>
      </c>
    </row>
    <row r="26">
      <c r="A26" s="20" t="inlineStr">
        <is>
          <t>6º JUZGADO CIVIL</t>
        </is>
      </c>
      <c r="B26" s="20" t="inlineStr">
        <is>
          <t>LABORAL - LABORAL</t>
        </is>
      </c>
      <c r="C26" s="20" t="inlineStr">
        <is>
          <t>Resto</t>
        </is>
      </c>
      <c r="D26" s="21" t="n">
        <v>1</v>
      </c>
      <c r="E26" s="21" t="n">
        <v>1</v>
      </c>
      <c r="F26" s="21" t="n">
        <v>0</v>
      </c>
      <c r="G26" s="21" t="n">
        <v>0</v>
      </c>
      <c r="H26" s="21" t="n">
        <v>0</v>
      </c>
      <c r="I26" s="21" t="n">
        <v>0</v>
      </c>
      <c r="J26" s="21" t="n">
        <v>0</v>
      </c>
      <c r="K26" s="21" t="n">
        <v>0</v>
      </c>
      <c r="L26" s="21" t="n">
        <v>0</v>
      </c>
      <c r="M26" s="21" t="n">
        <v>0</v>
      </c>
      <c r="N26" s="21" t="n">
        <v>0</v>
      </c>
      <c r="O26" s="21" t="n">
        <v>0</v>
      </c>
      <c r="P26" s="21" t="n">
        <v>0</v>
      </c>
      <c r="Q26" s="20">
        <f>SUM(E26:P26)</f>
        <v/>
      </c>
    </row>
    <row r="27">
      <c r="A27" s="20" t="inlineStr">
        <is>
          <t>6º JUZGADO CIVIL</t>
        </is>
      </c>
      <c r="B27" s="20" t="inlineStr">
        <is>
          <t>CIVIL - COMERCIAL</t>
        </is>
      </c>
      <c r="C27" s="20" t="inlineStr">
        <is>
          <t>Resto</t>
        </is>
      </c>
      <c r="D27" s="21" t="n">
        <v>9</v>
      </c>
      <c r="E27" s="21" t="n">
        <v>16</v>
      </c>
      <c r="F27" s="21" t="n">
        <v>0</v>
      </c>
      <c r="G27" s="21" t="n">
        <v>18</v>
      </c>
      <c r="H27" s="21" t="n">
        <v>10</v>
      </c>
      <c r="I27" s="21" t="n">
        <v>12</v>
      </c>
      <c r="J27" s="21" t="n">
        <v>15</v>
      </c>
      <c r="K27" s="21" t="n">
        <v>9</v>
      </c>
      <c r="L27" s="21" t="n">
        <v>8</v>
      </c>
      <c r="M27" s="21" t="n">
        <v>15</v>
      </c>
      <c r="N27" s="21" t="n">
        <v>13</v>
      </c>
      <c r="O27" s="21" t="n">
        <v>15</v>
      </c>
      <c r="P27" s="21" t="n">
        <v>7</v>
      </c>
      <c r="Q27" s="20">
        <f>SUM(E27:P27)</f>
        <v/>
      </c>
    </row>
    <row r="28">
      <c r="A28" s="20" t="inlineStr">
        <is>
          <t>6º JUZGADO CIVIL</t>
        </is>
      </c>
      <c r="B28" s="20" t="inlineStr">
        <is>
          <t>CIVIL - CONSTITUCIONAL</t>
        </is>
      </c>
      <c r="C28" s="20" t="inlineStr">
        <is>
          <t>Resto</t>
        </is>
      </c>
      <c r="D28" s="21" t="n">
        <v>1</v>
      </c>
      <c r="E28" s="21" t="n">
        <v>0</v>
      </c>
      <c r="F28" s="21" t="n">
        <v>0</v>
      </c>
      <c r="G28" s="21" t="n">
        <v>0</v>
      </c>
      <c r="H28" s="21" t="n">
        <v>0</v>
      </c>
      <c r="I28" s="21" t="n">
        <v>1</v>
      </c>
      <c r="J28" s="21" t="n">
        <v>0</v>
      </c>
      <c r="K28" s="21" t="n">
        <v>0</v>
      </c>
      <c r="L28" s="21" t="n">
        <v>0</v>
      </c>
      <c r="M28" s="21" t="n">
        <v>0</v>
      </c>
      <c r="N28" s="21" t="n">
        <v>0</v>
      </c>
      <c r="O28" s="21" t="n">
        <v>0</v>
      </c>
      <c r="P28" s="21" t="n">
        <v>0</v>
      </c>
      <c r="Q28" s="20">
        <f>SUM(E28:P28)</f>
        <v/>
      </c>
    </row>
    <row r="29">
      <c r="A29" s="20" t="inlineStr">
        <is>
          <t>6º JUZGADO CIVIL</t>
        </is>
      </c>
      <c r="B29" s="20" t="inlineStr">
        <is>
          <t>CIVIL - CONTENCIOSO ADMINISTRATIVO</t>
        </is>
      </c>
      <c r="C29" s="20" t="inlineStr">
        <is>
          <t>Resto</t>
        </is>
      </c>
      <c r="D29" s="21" t="n">
        <v>36</v>
      </c>
      <c r="E29" s="21" t="n">
        <v>1</v>
      </c>
      <c r="F29" s="21" t="n">
        <v>0</v>
      </c>
      <c r="G29" s="21" t="n">
        <v>5</v>
      </c>
      <c r="H29" s="21" t="n">
        <v>8</v>
      </c>
      <c r="I29" s="21" t="n">
        <v>2</v>
      </c>
      <c r="J29" s="21" t="n">
        <v>5</v>
      </c>
      <c r="K29" s="21" t="n">
        <v>2</v>
      </c>
      <c r="L29" s="21" t="n">
        <v>2</v>
      </c>
      <c r="M29" s="21" t="n">
        <v>2</v>
      </c>
      <c r="N29" s="21" t="n">
        <v>3</v>
      </c>
      <c r="O29" s="21" t="n">
        <v>5</v>
      </c>
      <c r="P29" s="21" t="n">
        <v>0</v>
      </c>
      <c r="Q29" s="20">
        <f>SUM(E29:P29)</f>
        <v/>
      </c>
    </row>
    <row r="30">
      <c r="A30" s="20" t="inlineStr">
        <is>
          <t>7º JUZGADO CIVIL</t>
        </is>
      </c>
      <c r="B30" s="20" t="inlineStr">
        <is>
          <t>CIVIL - CIVIL</t>
        </is>
      </c>
      <c r="C30" s="20" t="inlineStr">
        <is>
          <t>Civil-Civil</t>
        </is>
      </c>
      <c r="D30" s="21" t="n">
        <v>405</v>
      </c>
      <c r="E30" s="21" t="n">
        <v>67</v>
      </c>
      <c r="F30" s="21" t="n">
        <v>3</v>
      </c>
      <c r="G30" s="21" t="n">
        <v>39</v>
      </c>
      <c r="H30" s="21" t="n">
        <v>44</v>
      </c>
      <c r="I30" s="21" t="n">
        <v>38</v>
      </c>
      <c r="J30" s="21" t="n">
        <v>50</v>
      </c>
      <c r="K30" s="21" t="n">
        <v>60</v>
      </c>
      <c r="L30" s="21" t="n">
        <v>44</v>
      </c>
      <c r="M30" s="21" t="n">
        <v>41</v>
      </c>
      <c r="N30" s="21" t="n">
        <v>42</v>
      </c>
      <c r="O30" s="21" t="n">
        <v>59</v>
      </c>
      <c r="P30" s="21" t="n">
        <v>45</v>
      </c>
      <c r="Q30" s="20">
        <f>SUM(E30:P30)</f>
        <v/>
      </c>
    </row>
    <row r="31">
      <c r="A31" s="20" t="inlineStr">
        <is>
          <t>7º JUZGADO CIVIL</t>
        </is>
      </c>
      <c r="B31" s="20" t="inlineStr">
        <is>
          <t>CIVIL - COMERCIAL</t>
        </is>
      </c>
      <c r="C31" s="20" t="inlineStr">
        <is>
          <t>Resto</t>
        </is>
      </c>
      <c r="D31" s="21" t="n">
        <v>7</v>
      </c>
      <c r="E31" s="21" t="n">
        <v>14</v>
      </c>
      <c r="F31" s="21" t="n">
        <v>0</v>
      </c>
      <c r="G31" s="21" t="n">
        <v>14</v>
      </c>
      <c r="H31" s="21" t="n">
        <v>13</v>
      </c>
      <c r="I31" s="21" t="n">
        <v>15</v>
      </c>
      <c r="J31" s="21" t="n">
        <v>12</v>
      </c>
      <c r="K31" s="21" t="n">
        <v>12</v>
      </c>
      <c r="L31" s="21" t="n">
        <v>6</v>
      </c>
      <c r="M31" s="21" t="n">
        <v>18</v>
      </c>
      <c r="N31" s="21" t="n">
        <v>13</v>
      </c>
      <c r="O31" s="21" t="n">
        <v>16</v>
      </c>
      <c r="P31" s="21" t="n">
        <v>9</v>
      </c>
      <c r="Q31" s="20">
        <f>SUM(E31:P31)</f>
        <v/>
      </c>
    </row>
    <row r="32">
      <c r="A32" s="20" t="inlineStr">
        <is>
          <t>7º JUZGADO CIVIL</t>
        </is>
      </c>
      <c r="B32" s="20" t="inlineStr">
        <is>
          <t>CIVIL - CONSTITUCIONAL</t>
        </is>
      </c>
      <c r="C32" s="20" t="inlineStr">
        <is>
          <t>Resto</t>
        </is>
      </c>
      <c r="D32" s="21" t="n">
        <v>0</v>
      </c>
      <c r="E32" s="21" t="n">
        <v>0</v>
      </c>
      <c r="F32" s="21" t="n">
        <v>0</v>
      </c>
      <c r="G32" s="21" t="n">
        <v>0</v>
      </c>
      <c r="H32" s="21" t="n">
        <v>0</v>
      </c>
      <c r="I32" s="21" t="n">
        <v>0</v>
      </c>
      <c r="J32" s="21" t="n">
        <v>0</v>
      </c>
      <c r="K32" s="21" t="n">
        <v>0</v>
      </c>
      <c r="L32" s="21" t="n">
        <v>0</v>
      </c>
      <c r="M32" s="21" t="n">
        <v>0</v>
      </c>
      <c r="N32" s="21" t="n">
        <v>1</v>
      </c>
      <c r="O32" s="21" t="n">
        <v>0</v>
      </c>
      <c r="P32" s="21" t="n">
        <v>0</v>
      </c>
      <c r="Q32" s="20">
        <f>SUM(E32:P32)</f>
        <v/>
      </c>
    </row>
    <row r="33">
      <c r="A33" s="20" t="inlineStr">
        <is>
          <t>7º JUZGADO CIVIL</t>
        </is>
      </c>
      <c r="B33" s="20" t="inlineStr">
        <is>
          <t>CIVIL - CONTENCIOSO ADMINISTRATIVO</t>
        </is>
      </c>
      <c r="C33" s="20" t="inlineStr">
        <is>
          <t>Resto</t>
        </is>
      </c>
      <c r="D33" s="21" t="n">
        <v>19</v>
      </c>
      <c r="E33" s="21" t="n">
        <v>3</v>
      </c>
      <c r="F33" s="21" t="n">
        <v>0</v>
      </c>
      <c r="G33" s="21" t="n">
        <v>7</v>
      </c>
      <c r="H33" s="21" t="n">
        <v>2</v>
      </c>
      <c r="I33" s="21" t="n">
        <v>1</v>
      </c>
      <c r="J33" s="21" t="n">
        <v>4</v>
      </c>
      <c r="K33" s="21" t="n">
        <v>6</v>
      </c>
      <c r="L33" s="21" t="n">
        <v>1</v>
      </c>
      <c r="M33" s="21" t="n">
        <v>6</v>
      </c>
      <c r="N33" s="21" t="n">
        <v>1</v>
      </c>
      <c r="O33" s="21" t="n">
        <v>2</v>
      </c>
      <c r="P33" s="21" t="n">
        <v>4</v>
      </c>
      <c r="Q33" s="20">
        <f>SUM(E33:P33)</f>
        <v/>
      </c>
    </row>
    <row r="34">
      <c r="A34" s="20" t="inlineStr">
        <is>
          <t>8º JUZGADO CIVIL</t>
        </is>
      </c>
      <c r="B34" s="20" t="inlineStr">
        <is>
          <t>CIVIL - CIVIL</t>
        </is>
      </c>
      <c r="C34" s="20" t="inlineStr">
        <is>
          <t>Civil-Civil</t>
        </is>
      </c>
      <c r="D34" s="21" t="n">
        <v>671</v>
      </c>
      <c r="E34" s="21" t="n">
        <v>58</v>
      </c>
      <c r="F34" s="21" t="n">
        <v>0</v>
      </c>
      <c r="G34" s="21" t="n">
        <v>40</v>
      </c>
      <c r="H34" s="21" t="n">
        <v>67</v>
      </c>
      <c r="I34" s="21" t="n">
        <v>44</v>
      </c>
      <c r="J34" s="21" t="n">
        <v>19</v>
      </c>
      <c r="K34" s="21" t="n">
        <v>47</v>
      </c>
      <c r="L34" s="21" t="n">
        <v>22</v>
      </c>
      <c r="M34" s="21" t="n">
        <v>54</v>
      </c>
      <c r="N34" s="21" t="n">
        <v>23</v>
      </c>
      <c r="O34" s="21" t="n">
        <v>44</v>
      </c>
      <c r="P34" s="21" t="n">
        <v>60</v>
      </c>
      <c r="Q34" s="20">
        <f>SUM(E34:P34)</f>
        <v/>
      </c>
    </row>
    <row r="35">
      <c r="A35" s="20" t="inlineStr">
        <is>
          <t>8º JUZGADO CIVIL</t>
        </is>
      </c>
      <c r="B35" s="20" t="inlineStr">
        <is>
          <t>CIVIL - COMERCIAL</t>
        </is>
      </c>
      <c r="C35" s="20" t="inlineStr">
        <is>
          <t>Resto</t>
        </is>
      </c>
      <c r="D35" s="21" t="n">
        <v>1</v>
      </c>
      <c r="E35" s="21" t="n">
        <v>16</v>
      </c>
      <c r="F35" s="21" t="n">
        <v>0</v>
      </c>
      <c r="G35" s="21" t="n">
        <v>9</v>
      </c>
      <c r="H35" s="21" t="n">
        <v>16</v>
      </c>
      <c r="I35" s="21" t="n">
        <v>5</v>
      </c>
      <c r="J35" s="21" t="n">
        <v>8</v>
      </c>
      <c r="K35" s="21" t="n">
        <v>7</v>
      </c>
      <c r="L35" s="21" t="n">
        <v>21</v>
      </c>
      <c r="M35" s="21" t="n">
        <v>10</v>
      </c>
      <c r="N35" s="21" t="n">
        <v>9</v>
      </c>
      <c r="O35" s="21" t="n">
        <v>20</v>
      </c>
      <c r="P35" s="21" t="n">
        <v>10</v>
      </c>
      <c r="Q35" s="20">
        <f>SUM(E35:P35)</f>
        <v/>
      </c>
    </row>
    <row r="36">
      <c r="A36" s="20" t="inlineStr">
        <is>
          <t>8º JUZGADO CIVIL</t>
        </is>
      </c>
      <c r="B36" s="20" t="inlineStr">
        <is>
          <t>CIVIL - CONTENCIOSO ADMINISTRATIVO</t>
        </is>
      </c>
      <c r="C36" s="20" t="inlineStr">
        <is>
          <t>Resto</t>
        </is>
      </c>
      <c r="D36" s="21" t="n">
        <v>32</v>
      </c>
      <c r="E36" s="21" t="n">
        <v>2</v>
      </c>
      <c r="F36" s="21" t="n">
        <v>0</v>
      </c>
      <c r="G36" s="21" t="n">
        <v>3</v>
      </c>
      <c r="H36" s="21" t="n">
        <v>4</v>
      </c>
      <c r="I36" s="21" t="n">
        <v>0</v>
      </c>
      <c r="J36" s="21" t="n">
        <v>2</v>
      </c>
      <c r="K36" s="21" t="n">
        <v>4</v>
      </c>
      <c r="L36" s="21" t="n">
        <v>1</v>
      </c>
      <c r="M36" s="21" t="n">
        <v>9</v>
      </c>
      <c r="N36" s="21" t="n">
        <v>1</v>
      </c>
      <c r="O36" s="21" t="n">
        <v>2</v>
      </c>
      <c r="P36" s="21" t="n">
        <v>0</v>
      </c>
      <c r="Q36" s="20">
        <f>SUM(E36:P36)</f>
        <v/>
      </c>
    </row>
    <row r="37">
      <c r="A37" s="20" t="inlineStr">
        <is>
          <t>9º JUZGADO CIVIL</t>
        </is>
      </c>
      <c r="B37" s="20" t="inlineStr">
        <is>
          <t>CIVIL - CIVIL</t>
        </is>
      </c>
      <c r="C37" s="20" t="inlineStr">
        <is>
          <t>Civil-Civil</t>
        </is>
      </c>
      <c r="D37" s="21" t="n">
        <v>479</v>
      </c>
      <c r="E37" s="21" t="n">
        <v>35</v>
      </c>
      <c r="F37" s="21" t="n">
        <v>0</v>
      </c>
      <c r="G37" s="21" t="n">
        <v>16</v>
      </c>
      <c r="H37" s="21" t="n">
        <v>40</v>
      </c>
      <c r="I37" s="21" t="n">
        <v>47</v>
      </c>
      <c r="J37" s="21" t="n">
        <v>38</v>
      </c>
      <c r="K37" s="21" t="n">
        <v>14</v>
      </c>
      <c r="L37" s="21" t="n">
        <v>56</v>
      </c>
      <c r="M37" s="21" t="n">
        <v>47</v>
      </c>
      <c r="N37" s="21" t="n">
        <v>34</v>
      </c>
      <c r="O37" s="21" t="n">
        <v>28</v>
      </c>
      <c r="P37" s="21" t="n">
        <v>31</v>
      </c>
      <c r="Q37" s="20">
        <f>SUM(E37:P37)</f>
        <v/>
      </c>
    </row>
    <row r="38">
      <c r="A38" s="20" t="inlineStr">
        <is>
          <t>9º JUZGADO CIVIL</t>
        </is>
      </c>
      <c r="B38" s="20" t="inlineStr">
        <is>
          <t>CIVIL - COMERCIAL</t>
        </is>
      </c>
      <c r="C38" s="20" t="inlineStr">
        <is>
          <t>Resto</t>
        </is>
      </c>
      <c r="D38" s="21" t="n">
        <v>7</v>
      </c>
      <c r="E38" s="21" t="n">
        <v>5</v>
      </c>
      <c r="F38" s="21" t="n">
        <v>0</v>
      </c>
      <c r="G38" s="21" t="n">
        <v>0</v>
      </c>
      <c r="H38" s="21" t="n">
        <v>16</v>
      </c>
      <c r="I38" s="21" t="n">
        <v>3</v>
      </c>
      <c r="J38" s="21" t="n">
        <v>10</v>
      </c>
      <c r="K38" s="21" t="n">
        <v>12</v>
      </c>
      <c r="L38" s="21" t="n">
        <v>8</v>
      </c>
      <c r="M38" s="21" t="n">
        <v>15</v>
      </c>
      <c r="N38" s="21" t="n">
        <v>6</v>
      </c>
      <c r="O38" s="21" t="n">
        <v>6</v>
      </c>
      <c r="P38" s="21" t="n">
        <v>13</v>
      </c>
      <c r="Q38" s="20">
        <f>SUM(E38:P38)</f>
        <v/>
      </c>
    </row>
    <row r="39">
      <c r="A39" s="20" t="inlineStr">
        <is>
          <t>9º JUZGADO CIVIL</t>
        </is>
      </c>
      <c r="B39" s="20" t="inlineStr">
        <is>
          <t>CIVIL - CONSTITUCIONAL</t>
        </is>
      </c>
      <c r="C39" s="20" t="inlineStr">
        <is>
          <t>Resto</t>
        </is>
      </c>
      <c r="D39" s="21" t="n">
        <v>1</v>
      </c>
      <c r="E39" s="21" t="n">
        <v>0</v>
      </c>
      <c r="F39" s="21" t="n">
        <v>0</v>
      </c>
      <c r="G39" s="21" t="n">
        <v>0</v>
      </c>
      <c r="H39" s="21" t="n">
        <v>0</v>
      </c>
      <c r="I39" s="21" t="n">
        <v>0</v>
      </c>
      <c r="J39" s="21" t="n">
        <v>0</v>
      </c>
      <c r="K39" s="21" t="n">
        <v>0</v>
      </c>
      <c r="L39" s="21" t="n">
        <v>0</v>
      </c>
      <c r="M39" s="21" t="n">
        <v>0</v>
      </c>
      <c r="N39" s="21" t="n">
        <v>0</v>
      </c>
      <c r="O39" s="21" t="n">
        <v>0</v>
      </c>
      <c r="P39" s="21" t="n">
        <v>0</v>
      </c>
      <c r="Q39" s="20">
        <f>SUM(E39:P39)</f>
        <v/>
      </c>
    </row>
    <row r="40">
      <c r="A40" s="20" t="inlineStr">
        <is>
          <t>9º JUZGADO CIVIL</t>
        </is>
      </c>
      <c r="B40" s="20" t="inlineStr">
        <is>
          <t>CIVIL - CONTENCIOSO ADMINISTRATIVO</t>
        </is>
      </c>
      <c r="C40" s="20" t="inlineStr">
        <is>
          <t>Resto</t>
        </is>
      </c>
      <c r="D40" s="21" t="n">
        <v>25</v>
      </c>
      <c r="E40" s="21" t="n">
        <v>0</v>
      </c>
      <c r="F40" s="21" t="n">
        <v>0</v>
      </c>
      <c r="G40" s="21" t="n">
        <v>0</v>
      </c>
      <c r="H40" s="21" t="n">
        <v>2</v>
      </c>
      <c r="I40" s="21" t="n">
        <v>1</v>
      </c>
      <c r="J40" s="21" t="n">
        <v>4</v>
      </c>
      <c r="K40" s="21" t="n">
        <v>1</v>
      </c>
      <c r="L40" s="21" t="n">
        <v>2</v>
      </c>
      <c r="M40" s="21" t="n">
        <v>4</v>
      </c>
      <c r="N40" s="21" t="n">
        <v>3</v>
      </c>
      <c r="O40" s="21" t="n">
        <v>2</v>
      </c>
      <c r="P40" s="21" t="n">
        <v>2</v>
      </c>
      <c r="Q40" s="20">
        <f>SUM(E40:P40)</f>
        <v/>
      </c>
    </row>
    <row r="41">
      <c r="A41" s="20" t="inlineStr">
        <is>
          <t>9º JUZGADO CIVIL</t>
        </is>
      </c>
      <c r="B41" s="20" t="inlineStr">
        <is>
          <t>LABORAL - CONTENCIOSO ADMINISTRATIVO</t>
        </is>
      </c>
      <c r="C41" s="20" t="inlineStr">
        <is>
          <t>Resto</t>
        </is>
      </c>
      <c r="D41" s="21" t="n">
        <v>0</v>
      </c>
      <c r="E41" s="21" t="n">
        <v>0</v>
      </c>
      <c r="F41" s="21" t="n">
        <v>0</v>
      </c>
      <c r="G41" s="21" t="n">
        <v>0</v>
      </c>
      <c r="H41" s="21" t="n">
        <v>0</v>
      </c>
      <c r="I41" s="21" t="n">
        <v>0</v>
      </c>
      <c r="J41" s="21" t="n">
        <v>0</v>
      </c>
      <c r="K41" s="21" t="n">
        <v>1</v>
      </c>
      <c r="L41" s="21" t="n">
        <v>0</v>
      </c>
      <c r="M41" s="21" t="n">
        <v>0</v>
      </c>
      <c r="N41" s="21" t="n">
        <v>0</v>
      </c>
      <c r="O41" s="21" t="n">
        <v>0</v>
      </c>
      <c r="P41" s="21" t="n">
        <v>0</v>
      </c>
      <c r="Q41" s="20">
        <f>SUM(E41:P41)</f>
        <v/>
      </c>
    </row>
    <row r="42">
      <c r="A42" s="20" t="inlineStr">
        <is>
          <t>10º JUZGADO CIVIL</t>
        </is>
      </c>
      <c r="B42" s="20" t="inlineStr">
        <is>
          <t>CIVIL - CIVIL</t>
        </is>
      </c>
      <c r="C42" s="20" t="inlineStr">
        <is>
          <t>Civil-Civil</t>
        </is>
      </c>
      <c r="D42" s="21" t="n">
        <v>427</v>
      </c>
      <c r="E42" s="21" t="n">
        <v>32</v>
      </c>
      <c r="F42" s="21" t="n">
        <v>1</v>
      </c>
      <c r="G42" s="21" t="n">
        <v>32</v>
      </c>
      <c r="H42" s="21" t="n">
        <v>32</v>
      </c>
      <c r="I42" s="21" t="n">
        <v>45</v>
      </c>
      <c r="J42" s="21" t="n">
        <v>44</v>
      </c>
      <c r="K42" s="21" t="n">
        <v>41</v>
      </c>
      <c r="L42" s="21" t="n">
        <v>50</v>
      </c>
      <c r="M42" s="21" t="n">
        <v>38</v>
      </c>
      <c r="N42" s="21" t="n">
        <v>25</v>
      </c>
      <c r="O42" s="21" t="n">
        <v>36</v>
      </c>
      <c r="P42" s="21" t="n">
        <v>20</v>
      </c>
      <c r="Q42" s="20">
        <f>SUM(E42:P42)</f>
        <v/>
      </c>
    </row>
    <row r="43">
      <c r="A43" s="20" t="inlineStr">
        <is>
          <t>10º JUZGADO CIVIL</t>
        </is>
      </c>
      <c r="B43" s="20" t="inlineStr">
        <is>
          <t>CIVIL - COMERCIAL</t>
        </is>
      </c>
      <c r="C43" s="20" t="inlineStr">
        <is>
          <t>Resto</t>
        </is>
      </c>
      <c r="D43" s="21" t="n">
        <v>3</v>
      </c>
      <c r="E43" s="21" t="n">
        <v>4</v>
      </c>
      <c r="F43" s="21" t="n">
        <v>0</v>
      </c>
      <c r="G43" s="21" t="n">
        <v>6</v>
      </c>
      <c r="H43" s="21" t="n">
        <v>4</v>
      </c>
      <c r="I43" s="21" t="n">
        <v>9</v>
      </c>
      <c r="J43" s="21" t="n">
        <v>18</v>
      </c>
      <c r="K43" s="21" t="n">
        <v>12</v>
      </c>
      <c r="L43" s="21" t="n">
        <v>9</v>
      </c>
      <c r="M43" s="21" t="n">
        <v>8</v>
      </c>
      <c r="N43" s="21" t="n">
        <v>4</v>
      </c>
      <c r="O43" s="21" t="n">
        <v>14</v>
      </c>
      <c r="P43" s="21" t="n">
        <v>9</v>
      </c>
      <c r="Q43" s="20">
        <f>SUM(E43:P43)</f>
        <v/>
      </c>
    </row>
    <row r="44">
      <c r="A44" s="20" t="inlineStr">
        <is>
          <t>10º JUZGADO CIVIL</t>
        </is>
      </c>
      <c r="B44" s="20" t="inlineStr">
        <is>
          <t>FAMILIA - FAMILIA CIVIL</t>
        </is>
      </c>
      <c r="C44" s="20" t="inlineStr">
        <is>
          <t>Resto</t>
        </is>
      </c>
      <c r="D44" s="21" t="n">
        <v>0</v>
      </c>
      <c r="E44" s="21" t="n">
        <v>0</v>
      </c>
      <c r="F44" s="21" t="n">
        <v>0</v>
      </c>
      <c r="G44" s="21" t="n">
        <v>0</v>
      </c>
      <c r="H44" s="21" t="n">
        <v>0</v>
      </c>
      <c r="I44" s="21" t="n">
        <v>0</v>
      </c>
      <c r="J44" s="21" t="n">
        <v>1</v>
      </c>
      <c r="K44" s="21" t="n">
        <v>0</v>
      </c>
      <c r="L44" s="21" t="n">
        <v>0</v>
      </c>
      <c r="M44" s="21" t="n">
        <v>0</v>
      </c>
      <c r="N44" s="21" t="n">
        <v>0</v>
      </c>
      <c r="O44" s="21" t="n">
        <v>0</v>
      </c>
      <c r="P44" s="21" t="n">
        <v>0</v>
      </c>
      <c r="Q44" s="20">
        <f>SUM(E44:P44)</f>
        <v/>
      </c>
    </row>
    <row r="45">
      <c r="A45" s="20" t="inlineStr">
        <is>
          <t>10º JUZGADO CIVIL</t>
        </is>
      </c>
      <c r="B45" s="20" t="inlineStr">
        <is>
          <t>CIVIL - CONSTITUCIONAL</t>
        </is>
      </c>
      <c r="C45" s="20" t="inlineStr">
        <is>
          <t>Resto</t>
        </is>
      </c>
      <c r="D45" s="21" t="n">
        <v>1</v>
      </c>
      <c r="E45" s="21" t="n">
        <v>0</v>
      </c>
      <c r="F45" s="21" t="n">
        <v>0</v>
      </c>
      <c r="G45" s="21" t="n">
        <v>0</v>
      </c>
      <c r="H45" s="21" t="n">
        <v>0</v>
      </c>
      <c r="I45" s="21" t="n">
        <v>1</v>
      </c>
      <c r="J45" s="21" t="n">
        <v>0</v>
      </c>
      <c r="K45" s="21" t="n">
        <v>0</v>
      </c>
      <c r="L45" s="21" t="n">
        <v>0</v>
      </c>
      <c r="M45" s="21" t="n">
        <v>0</v>
      </c>
      <c r="N45" s="21" t="n">
        <v>0</v>
      </c>
      <c r="O45" s="21" t="n">
        <v>0</v>
      </c>
      <c r="P45" s="21" t="n">
        <v>0</v>
      </c>
      <c r="Q45" s="20">
        <f>SUM(E45:P45)</f>
        <v/>
      </c>
    </row>
    <row r="46">
      <c r="A46" s="20" t="inlineStr">
        <is>
          <t>10º JUZGADO CIVIL</t>
        </is>
      </c>
      <c r="B46" s="20" t="inlineStr">
        <is>
          <t>CIVIL - CONTENCIOSO ADMINISTRATIVO</t>
        </is>
      </c>
      <c r="C46" s="20" t="inlineStr">
        <is>
          <t>Resto</t>
        </is>
      </c>
      <c r="D46" s="21" t="n">
        <v>33</v>
      </c>
      <c r="E46" s="21" t="n">
        <v>0</v>
      </c>
      <c r="F46" s="21" t="n">
        <v>0</v>
      </c>
      <c r="G46" s="21" t="n">
        <v>4</v>
      </c>
      <c r="H46" s="21" t="n">
        <v>4</v>
      </c>
      <c r="I46" s="21" t="n">
        <v>3</v>
      </c>
      <c r="J46" s="21" t="n">
        <v>8</v>
      </c>
      <c r="K46" s="21" t="n">
        <v>5</v>
      </c>
      <c r="L46" s="21" t="n">
        <v>4</v>
      </c>
      <c r="M46" s="21" t="n">
        <v>0</v>
      </c>
      <c r="N46" s="21" t="n">
        <v>2</v>
      </c>
      <c r="O46" s="21" t="n">
        <v>2</v>
      </c>
      <c r="P46" s="21" t="n">
        <v>2</v>
      </c>
      <c r="Q46" s="20">
        <f>SUM(E46:P46)</f>
        <v/>
      </c>
    </row>
    <row r="47">
      <c r="A47" s="20" t="inlineStr">
        <is>
          <t>11° JUZGADO CIVIL</t>
        </is>
      </c>
      <c r="B47" s="20" t="inlineStr">
        <is>
          <t>CIVIL - CIVIL</t>
        </is>
      </c>
      <c r="C47" s="20" t="inlineStr">
        <is>
          <t>Civil-Civil</t>
        </is>
      </c>
      <c r="D47" s="21" t="n">
        <v>0</v>
      </c>
      <c r="E47" s="21" t="n">
        <v>11</v>
      </c>
      <c r="F47" s="21" t="n">
        <v>2</v>
      </c>
      <c r="G47" s="21" t="n">
        <v>10</v>
      </c>
      <c r="H47" s="21" t="n">
        <v>2</v>
      </c>
      <c r="I47" s="21" t="n">
        <v>7</v>
      </c>
      <c r="J47" s="21" t="n">
        <v>13</v>
      </c>
      <c r="K47" s="21" t="n">
        <v>11</v>
      </c>
      <c r="L47" s="21" t="n">
        <v>8</v>
      </c>
      <c r="M47" s="21" t="n">
        <v>12</v>
      </c>
      <c r="N47" s="21" t="n">
        <v>8</v>
      </c>
      <c r="O47" s="21" t="n">
        <v>3</v>
      </c>
      <c r="P47" s="21" t="n">
        <v>5</v>
      </c>
      <c r="Q47" s="20">
        <f>SUM(E47:P47)</f>
        <v/>
      </c>
    </row>
    <row r="48">
      <c r="A48" s="20" t="inlineStr">
        <is>
          <t>11° JUZGADO CIVIL</t>
        </is>
      </c>
      <c r="B48" s="20" t="inlineStr">
        <is>
          <t>CIVIL - COMERCIAL</t>
        </is>
      </c>
      <c r="C48" s="20" t="inlineStr">
        <is>
          <t>Resto</t>
        </is>
      </c>
      <c r="D48" s="21" t="n">
        <v>0</v>
      </c>
      <c r="E48" s="21" t="n">
        <v>0</v>
      </c>
      <c r="F48" s="21" t="n">
        <v>0</v>
      </c>
      <c r="G48" s="21" t="n">
        <v>0</v>
      </c>
      <c r="H48" s="21" t="n">
        <v>1</v>
      </c>
      <c r="I48" s="21" t="n">
        <v>0</v>
      </c>
      <c r="J48" s="21" t="n">
        <v>0</v>
      </c>
      <c r="K48" s="21" t="n">
        <v>1</v>
      </c>
      <c r="L48" s="21" t="n">
        <v>0</v>
      </c>
      <c r="M48" s="21" t="n">
        <v>1</v>
      </c>
      <c r="N48" s="21" t="n">
        <v>0</v>
      </c>
      <c r="O48" s="21" t="n">
        <v>1</v>
      </c>
      <c r="P48" s="21" t="n">
        <v>0</v>
      </c>
      <c r="Q48" s="20">
        <f>SUM(E48:P48)</f>
        <v/>
      </c>
    </row>
    <row r="49">
      <c r="A49" s="20" t="inlineStr">
        <is>
          <t>11° JUZGADO CIVIL</t>
        </is>
      </c>
      <c r="B49" s="20" t="inlineStr">
        <is>
          <t>CIVIL - CONTENCIOSO ADMINISTRATIVO</t>
        </is>
      </c>
      <c r="C49" s="20" t="inlineStr">
        <is>
          <t>Resto</t>
        </is>
      </c>
      <c r="D49" s="21" t="n">
        <v>0</v>
      </c>
      <c r="E49" s="21" t="n">
        <v>1</v>
      </c>
      <c r="F49" s="21" t="n">
        <v>0</v>
      </c>
      <c r="G49" s="21" t="n">
        <v>0</v>
      </c>
      <c r="H49" s="21" t="n">
        <v>0</v>
      </c>
      <c r="I49" s="21" t="n">
        <v>0</v>
      </c>
      <c r="J49" s="21" t="n">
        <v>0</v>
      </c>
      <c r="K49" s="21" t="n">
        <v>1</v>
      </c>
      <c r="L49" s="21" t="n">
        <v>0</v>
      </c>
      <c r="M49" s="21" t="n">
        <v>0</v>
      </c>
      <c r="N49" s="21" t="n">
        <v>0</v>
      </c>
      <c r="O49" s="21" t="n">
        <v>1</v>
      </c>
      <c r="P49" s="21" t="n">
        <v>0</v>
      </c>
      <c r="Q49" s="20">
        <f>SUM(E49:P49)</f>
        <v/>
      </c>
    </row>
    <row r="50">
      <c r="A50" s="20" t="inlineStr">
        <is>
          <t>1° JUZGADO CIVIL TRANSITORIO</t>
        </is>
      </c>
      <c r="B50" s="20" t="inlineStr">
        <is>
          <t>CIVIL - CIVIL</t>
        </is>
      </c>
      <c r="C50" s="20" t="inlineStr">
        <is>
          <t>Civil-Civil</t>
        </is>
      </c>
      <c r="D50" s="21" t="n">
        <v>0</v>
      </c>
      <c r="E50" s="21" t="n">
        <v>7</v>
      </c>
      <c r="F50" s="21" t="n">
        <v>0</v>
      </c>
      <c r="G50" s="21" t="n">
        <v>6</v>
      </c>
      <c r="H50" s="21" t="n">
        <v>7</v>
      </c>
      <c r="I50" s="21" t="n">
        <v>8</v>
      </c>
      <c r="J50" s="21" t="n">
        <v>7</v>
      </c>
      <c r="K50" s="21" t="n">
        <v>9</v>
      </c>
      <c r="L50" s="21" t="n">
        <v>3</v>
      </c>
      <c r="M50" s="21" t="n">
        <v>9</v>
      </c>
      <c r="N50" s="21" t="n">
        <v>2</v>
      </c>
      <c r="O50" s="21" t="n">
        <v>2</v>
      </c>
      <c r="P50" s="21" t="n">
        <v>6</v>
      </c>
      <c r="Q50" s="20">
        <f>SUM(E50:P50)</f>
        <v/>
      </c>
    </row>
    <row r="51">
      <c r="A51" s="20" t="inlineStr">
        <is>
          <t>1° JUZGADO CIVIL TRANSITORIO</t>
        </is>
      </c>
      <c r="B51" s="20" t="inlineStr">
        <is>
          <t>CIVIL - CONSTITUCIONAL</t>
        </is>
      </c>
      <c r="C51" s="20" t="inlineStr">
        <is>
          <t>Resto</t>
        </is>
      </c>
      <c r="D51" s="21" t="n">
        <v>0</v>
      </c>
      <c r="E51" s="21" t="n">
        <v>0</v>
      </c>
      <c r="F51" s="21" t="n">
        <v>0</v>
      </c>
      <c r="G51" s="21" t="n">
        <v>0</v>
      </c>
      <c r="H51" s="21" t="n">
        <v>0</v>
      </c>
      <c r="I51" s="21" t="n">
        <v>0</v>
      </c>
      <c r="J51" s="21" t="n">
        <v>0</v>
      </c>
      <c r="K51" s="21" t="n">
        <v>0</v>
      </c>
      <c r="L51" s="21" t="n">
        <v>1</v>
      </c>
      <c r="M51" s="21" t="n">
        <v>0</v>
      </c>
      <c r="N51" s="21" t="n">
        <v>0</v>
      </c>
      <c r="O51" s="21" t="n">
        <v>0</v>
      </c>
      <c r="P51" s="21" t="n">
        <v>0</v>
      </c>
      <c r="Q51" s="20">
        <f>SUM(E51:P51)</f>
        <v/>
      </c>
    </row>
    <row r="52">
      <c r="A52" s="20" t="inlineStr">
        <is>
          <t>1° JUZGADO CIVIL TRANSITORIO</t>
        </is>
      </c>
      <c r="B52" s="20" t="inlineStr">
        <is>
          <t>CIVIL - CONTENCIOSO ADMINISTRATIVO</t>
        </is>
      </c>
      <c r="C52" s="20" t="inlineStr">
        <is>
          <t>Resto</t>
        </is>
      </c>
      <c r="D52" s="21" t="n">
        <v>0</v>
      </c>
      <c r="E52" s="21" t="n">
        <v>1</v>
      </c>
      <c r="F52" s="21" t="n">
        <v>0</v>
      </c>
      <c r="G52" s="21" t="n">
        <v>0</v>
      </c>
      <c r="H52" s="21" t="n">
        <v>1</v>
      </c>
      <c r="I52" s="21" t="n">
        <v>0</v>
      </c>
      <c r="J52" s="21" t="n">
        <v>0</v>
      </c>
      <c r="K52" s="21" t="n">
        <v>1</v>
      </c>
      <c r="L52" s="21" t="n">
        <v>0</v>
      </c>
      <c r="M52" s="21" t="n">
        <v>1</v>
      </c>
      <c r="N52" s="21" t="n">
        <v>0</v>
      </c>
      <c r="O52" s="21" t="n">
        <v>0</v>
      </c>
      <c r="P52" s="21" t="n">
        <v>0</v>
      </c>
      <c r="Q52" s="20">
        <f>SUM(E52:P52)</f>
        <v/>
      </c>
    </row>
    <row r="53">
      <c r="A53" s="20" t="inlineStr">
        <is>
          <t>1° JUZGADO CIVIL TRANSITORIO</t>
        </is>
      </c>
      <c r="B53" s="20" t="inlineStr">
        <is>
          <t>LABORAL - CONTENCIOSO ADMINISTRATIVO</t>
        </is>
      </c>
      <c r="C53" s="20" t="inlineStr">
        <is>
          <t>Resto</t>
        </is>
      </c>
      <c r="D53" s="21" t="n">
        <v>0</v>
      </c>
      <c r="E53" s="21" t="n">
        <v>0</v>
      </c>
      <c r="F53" s="21" t="n">
        <v>0</v>
      </c>
      <c r="G53" s="21" t="n">
        <v>0</v>
      </c>
      <c r="H53" s="21" t="n">
        <v>0</v>
      </c>
      <c r="I53" s="21" t="n">
        <v>1</v>
      </c>
      <c r="J53" s="21" t="n">
        <v>0</v>
      </c>
      <c r="K53" s="21" t="n">
        <v>0</v>
      </c>
      <c r="L53" s="21" t="n">
        <v>0</v>
      </c>
      <c r="M53" s="21" t="n">
        <v>0</v>
      </c>
      <c r="N53" s="21" t="n">
        <v>0</v>
      </c>
      <c r="O53" s="21" t="n">
        <v>0</v>
      </c>
      <c r="P53" s="21" t="n">
        <v>0</v>
      </c>
      <c r="Q53" s="20">
        <f>SUM(E53:P53)</f>
        <v/>
      </c>
    </row>
    <row r="54">
      <c r="A54" s="20" t="inlineStr">
        <is>
          <t>2° JUZGADO CIVIL TRANSITORIO</t>
        </is>
      </c>
      <c r="B54" s="20" t="inlineStr">
        <is>
          <t>CIVIL - CIVIL</t>
        </is>
      </c>
      <c r="C54" s="20" t="inlineStr">
        <is>
          <t>Civil-Civil</t>
        </is>
      </c>
      <c r="D54" s="21" t="n">
        <v>0</v>
      </c>
      <c r="E54" s="21" t="n">
        <v>0</v>
      </c>
      <c r="F54" s="21" t="n">
        <v>0</v>
      </c>
      <c r="G54" s="21" t="n">
        <v>0</v>
      </c>
      <c r="H54" s="21" t="n">
        <v>0</v>
      </c>
      <c r="I54" s="21" t="n">
        <v>807</v>
      </c>
      <c r="J54" s="21" t="n">
        <v>5</v>
      </c>
      <c r="K54" s="21" t="n">
        <v>2</v>
      </c>
      <c r="L54" s="21" t="n">
        <v>1</v>
      </c>
      <c r="M54" s="21" t="n">
        <v>1</v>
      </c>
      <c r="N54" s="21" t="n">
        <v>1</v>
      </c>
      <c r="O54" s="21" t="n">
        <v>2</v>
      </c>
      <c r="P54" s="21" t="n">
        <v>2</v>
      </c>
      <c r="Q54" s="20">
        <f>SUM(E54:P54)</f>
        <v/>
      </c>
    </row>
    <row r="55">
      <c r="A55" s="20" t="inlineStr">
        <is>
          <t>2° JUZGADO CIVIL TRANSITORIO</t>
        </is>
      </c>
      <c r="B55" s="20" t="inlineStr">
        <is>
          <t>CIVIL - COMERCIAL</t>
        </is>
      </c>
      <c r="C55" s="20" t="inlineStr">
        <is>
          <t>Resto</t>
        </is>
      </c>
      <c r="D55" s="21" t="n">
        <v>0</v>
      </c>
      <c r="E55" s="21" t="n">
        <v>0</v>
      </c>
      <c r="F55" s="21" t="n">
        <v>0</v>
      </c>
      <c r="G55" s="21" t="n">
        <v>0</v>
      </c>
      <c r="H55" s="21" t="n">
        <v>0</v>
      </c>
      <c r="I55" s="21" t="n">
        <v>9</v>
      </c>
      <c r="J55" s="21" t="n">
        <v>0</v>
      </c>
      <c r="K55" s="21" t="n">
        <v>0</v>
      </c>
      <c r="L55" s="21" t="n">
        <v>0</v>
      </c>
      <c r="M55" s="21" t="n">
        <v>0</v>
      </c>
      <c r="N55" s="21" t="n">
        <v>0</v>
      </c>
      <c r="O55" s="21" t="n">
        <v>0</v>
      </c>
      <c r="P55" s="21" t="n">
        <v>0</v>
      </c>
      <c r="Q55" s="20">
        <f>SUM(E55:P55)</f>
        <v/>
      </c>
    </row>
    <row r="56">
      <c r="A56" s="20" t="inlineStr">
        <is>
          <t>2° JUZGADO CIVIL TRANSITORIO</t>
        </is>
      </c>
      <c r="B56" s="20" t="inlineStr">
        <is>
          <t>CIVIL - CONSTITUCIONAL</t>
        </is>
      </c>
      <c r="C56" s="20" t="inlineStr">
        <is>
          <t>Resto</t>
        </is>
      </c>
      <c r="D56" s="21" t="n">
        <v>0</v>
      </c>
      <c r="E56" s="21" t="n">
        <v>0</v>
      </c>
      <c r="F56" s="21" t="n">
        <v>0</v>
      </c>
      <c r="G56" s="21" t="n">
        <v>0</v>
      </c>
      <c r="H56" s="21" t="n">
        <v>0</v>
      </c>
      <c r="I56" s="21" t="n">
        <v>2</v>
      </c>
      <c r="J56" s="21" t="n">
        <v>0</v>
      </c>
      <c r="K56" s="21" t="n">
        <v>0</v>
      </c>
      <c r="L56" s="21" t="n">
        <v>0</v>
      </c>
      <c r="M56" s="21" t="n">
        <v>0</v>
      </c>
      <c r="N56" s="21" t="n">
        <v>0</v>
      </c>
      <c r="O56" s="21" t="n">
        <v>0</v>
      </c>
      <c r="P56" s="21" t="n">
        <v>0</v>
      </c>
      <c r="Q56" s="20">
        <f>SUM(E56:P56)</f>
        <v/>
      </c>
    </row>
    <row r="57">
      <c r="A57" s="20" t="inlineStr">
        <is>
          <t>2° JUZGADO CIVIL TRANSITORIO</t>
        </is>
      </c>
      <c r="B57" s="20" t="inlineStr">
        <is>
          <t>CIVIL - CONTENCIOSO ADMINISTRATIVO</t>
        </is>
      </c>
      <c r="C57" s="20" t="inlineStr">
        <is>
          <t>Resto</t>
        </is>
      </c>
      <c r="D57" s="21" t="n">
        <v>0</v>
      </c>
      <c r="E57" s="21" t="n">
        <v>0</v>
      </c>
      <c r="F57" s="21" t="n">
        <v>0</v>
      </c>
      <c r="G57" s="21" t="n">
        <v>0</v>
      </c>
      <c r="H57" s="21" t="n">
        <v>0</v>
      </c>
      <c r="I57" s="21" t="n">
        <v>98</v>
      </c>
      <c r="J57" s="21" t="n">
        <v>0</v>
      </c>
      <c r="K57" s="21" t="n">
        <v>0</v>
      </c>
      <c r="L57" s="21" t="n">
        <v>0</v>
      </c>
      <c r="M57" s="21" t="n">
        <v>0</v>
      </c>
      <c r="N57" s="21" t="n">
        <v>0</v>
      </c>
      <c r="O57" s="21" t="n">
        <v>0</v>
      </c>
      <c r="P57" s="21" t="n">
        <v>0</v>
      </c>
      <c r="Q57" s="20">
        <f>SUM(E57:P57)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6" customWidth="1" min="2" max="2"/>
    <col width="11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11" customWidth="1" min="16" max="16"/>
    <col width="9" customWidth="1" min="17" max="17"/>
  </cols>
  <sheetData>
    <row r="1">
      <c r="A1" s="1" t="inlineStr">
        <is>
          <t>RESUELTOS – TRÁMITE 2025 (SIJ)</t>
        </is>
      </c>
    </row>
    <row r="2">
      <c r="A2" s="2" t="inlineStr">
        <is>
          <t>Fuente: Resueltos_Tramite_ene-dic25_ci.xlsx</t>
        </is>
      </c>
    </row>
    <row r="3" ht="55" customHeight="1">
      <c r="A3" s="3" t="inlineStr">
        <is>
          <t>Juzgado</t>
        </is>
      </c>
      <c r="B3" s="3" t="inlineStr">
        <is>
          <t>Subespecialidad</t>
        </is>
      </c>
      <c r="C3" s="3" t="inlineStr">
        <is>
          <t>Grupo</t>
        </is>
      </c>
      <c r="D3" s="3" t="inlineStr">
        <is>
          <t>Ene</t>
        </is>
      </c>
      <c r="E3" s="3" t="inlineStr">
        <is>
          <t>Feb</t>
        </is>
      </c>
      <c r="F3" s="3" t="inlineStr">
        <is>
          <t>Mar</t>
        </is>
      </c>
      <c r="G3" s="3" t="inlineStr">
        <is>
          <t>Abr</t>
        </is>
      </c>
      <c r="H3" s="3" t="inlineStr">
        <is>
          <t>May</t>
        </is>
      </c>
      <c r="I3" s="3" t="inlineStr">
        <is>
          <t>Jun</t>
        </is>
      </c>
      <c r="J3" s="3" t="inlineStr">
        <is>
          <t>Jul</t>
        </is>
      </c>
      <c r="K3" s="3" t="inlineStr">
        <is>
          <t>Ago</t>
        </is>
      </c>
      <c r="L3" s="3" t="inlineStr">
        <is>
          <t>Set</t>
        </is>
      </c>
      <c r="M3" s="3" t="inlineStr">
        <is>
          <t>Oct</t>
        </is>
      </c>
      <c r="N3" s="3" t="inlineStr">
        <is>
          <t>Nov</t>
        </is>
      </c>
      <c r="O3" s="3" t="inlineStr">
        <is>
          <t>Dic</t>
        </is>
      </c>
      <c r="P3" s="3" t="inlineStr">
        <is>
          <t>Total</t>
        </is>
      </c>
    </row>
    <row r="4">
      <c r="A4" s="20" t="inlineStr">
        <is>
          <t>1º JUZGADO CIVIL</t>
        </is>
      </c>
      <c r="B4" s="20" t="inlineStr">
        <is>
          <t>CIVIL - CIVIL</t>
        </is>
      </c>
      <c r="C4" s="20" t="inlineStr">
        <is>
          <t>Civil-Civil</t>
        </is>
      </c>
      <c r="D4" s="21" t="n">
        <v>55</v>
      </c>
      <c r="E4" s="21" t="n">
        <v>0</v>
      </c>
      <c r="F4" s="21" t="n">
        <v>52</v>
      </c>
      <c r="G4" s="21" t="n">
        <v>49</v>
      </c>
      <c r="H4" s="21" t="n">
        <v>41</v>
      </c>
      <c r="I4" s="21" t="n">
        <v>45</v>
      </c>
      <c r="J4" s="21" t="n">
        <v>52</v>
      </c>
      <c r="K4" s="21" t="n">
        <v>49</v>
      </c>
      <c r="L4" s="21" t="n">
        <v>49</v>
      </c>
      <c r="M4" s="21" t="n">
        <v>54</v>
      </c>
      <c r="N4" s="21" t="n">
        <v>56</v>
      </c>
      <c r="O4" s="21" t="n">
        <v>22</v>
      </c>
      <c r="P4" s="20">
        <f>SUM(D4:O4)</f>
        <v/>
      </c>
    </row>
    <row r="5">
      <c r="A5" s="20" t="inlineStr">
        <is>
          <t>1º JUZGADO CIVIL</t>
        </is>
      </c>
      <c r="B5" s="20" t="inlineStr">
        <is>
          <t>CIVIL - COMERCIAL</t>
        </is>
      </c>
      <c r="C5" s="20" t="inlineStr">
        <is>
          <t>Resto</t>
        </is>
      </c>
      <c r="D5" s="21" t="n">
        <v>7</v>
      </c>
      <c r="E5" s="21" t="n">
        <v>0</v>
      </c>
      <c r="F5" s="21" t="n">
        <v>8</v>
      </c>
      <c r="G5" s="21" t="n">
        <v>9</v>
      </c>
      <c r="H5" s="21" t="n">
        <v>8</v>
      </c>
      <c r="I5" s="21" t="n">
        <v>11</v>
      </c>
      <c r="J5" s="21" t="n">
        <v>10</v>
      </c>
      <c r="K5" s="21" t="n">
        <v>4</v>
      </c>
      <c r="L5" s="21" t="n">
        <v>17</v>
      </c>
      <c r="M5" s="21" t="n">
        <v>12</v>
      </c>
      <c r="N5" s="21" t="n">
        <v>6</v>
      </c>
      <c r="O5" s="21" t="n">
        <v>1</v>
      </c>
      <c r="P5" s="20">
        <f>SUM(D5:O5)</f>
        <v/>
      </c>
    </row>
    <row r="6">
      <c r="A6" s="20" t="inlineStr">
        <is>
          <t>1º JUZGADO CIVIL</t>
        </is>
      </c>
      <c r="B6" s="20" t="inlineStr">
        <is>
          <t>CIVIL - CONTENCIOSO ADMINISTRATIVO</t>
        </is>
      </c>
      <c r="C6" s="20" t="inlineStr">
        <is>
          <t>Resto</t>
        </is>
      </c>
      <c r="D6" s="21" t="n">
        <v>1</v>
      </c>
      <c r="E6" s="21" t="n">
        <v>0</v>
      </c>
      <c r="F6" s="21" t="n">
        <v>7</v>
      </c>
      <c r="G6" s="21" t="n">
        <v>2</v>
      </c>
      <c r="H6" s="21" t="n">
        <v>4</v>
      </c>
      <c r="I6" s="21" t="n">
        <v>2</v>
      </c>
      <c r="J6" s="21" t="n">
        <v>3</v>
      </c>
      <c r="K6" s="21" t="n">
        <v>6</v>
      </c>
      <c r="L6" s="21" t="n">
        <v>3</v>
      </c>
      <c r="M6" s="21" t="n">
        <v>4</v>
      </c>
      <c r="N6" s="21" t="n">
        <v>3</v>
      </c>
      <c r="O6" s="21" t="n">
        <v>1</v>
      </c>
      <c r="P6" s="20">
        <f>SUM(D6:O6)</f>
        <v/>
      </c>
    </row>
    <row r="7">
      <c r="A7" s="20" t="inlineStr">
        <is>
          <t>2º JUZGADO CIVIL</t>
        </is>
      </c>
      <c r="B7" s="20" t="inlineStr">
        <is>
          <t>CIVIL - CIVIL</t>
        </is>
      </c>
      <c r="C7" s="20" t="inlineStr">
        <is>
          <t>Civil-Civil</t>
        </is>
      </c>
      <c r="D7" s="21" t="n">
        <v>68</v>
      </c>
      <c r="E7" s="21" t="n">
        <v>0</v>
      </c>
      <c r="F7" s="21" t="n">
        <v>39</v>
      </c>
      <c r="G7" s="21" t="n">
        <v>47</v>
      </c>
      <c r="H7" s="21" t="n">
        <v>42</v>
      </c>
      <c r="I7" s="21" t="n">
        <v>45</v>
      </c>
      <c r="J7" s="21" t="n">
        <v>43</v>
      </c>
      <c r="K7" s="21" t="n">
        <v>37</v>
      </c>
      <c r="L7" s="21" t="n">
        <v>47</v>
      </c>
      <c r="M7" s="21" t="n">
        <v>44</v>
      </c>
      <c r="N7" s="21" t="n">
        <v>50</v>
      </c>
      <c r="O7" s="21" t="n">
        <v>40</v>
      </c>
      <c r="P7" s="20">
        <f>SUM(D7:O7)</f>
        <v/>
      </c>
    </row>
    <row r="8">
      <c r="A8" s="20" t="inlineStr">
        <is>
          <t>2º JUZGADO CIVIL</t>
        </is>
      </c>
      <c r="B8" s="20" t="inlineStr">
        <is>
          <t>CIVIL - COMERCIAL</t>
        </is>
      </c>
      <c r="C8" s="20" t="inlineStr">
        <is>
          <t>Resto</t>
        </is>
      </c>
      <c r="D8" s="21" t="n">
        <v>2</v>
      </c>
      <c r="E8" s="21" t="n">
        <v>0</v>
      </c>
      <c r="F8" s="21" t="n">
        <v>4</v>
      </c>
      <c r="G8" s="21" t="n">
        <v>9</v>
      </c>
      <c r="H8" s="21" t="n">
        <v>3</v>
      </c>
      <c r="I8" s="21" t="n">
        <v>10</v>
      </c>
      <c r="J8" s="21" t="n">
        <v>1</v>
      </c>
      <c r="K8" s="21" t="n">
        <v>6</v>
      </c>
      <c r="L8" s="21" t="n">
        <v>15</v>
      </c>
      <c r="M8" s="21" t="n">
        <v>12</v>
      </c>
      <c r="N8" s="21" t="n">
        <v>13</v>
      </c>
      <c r="O8" s="21" t="n">
        <v>15</v>
      </c>
      <c r="P8" s="20">
        <f>SUM(D8:O8)</f>
        <v/>
      </c>
    </row>
    <row r="9">
      <c r="A9" s="20" t="inlineStr">
        <is>
          <t>2º JUZGADO CIVIL</t>
        </is>
      </c>
      <c r="B9" s="20" t="inlineStr">
        <is>
          <t>CIVIL - CONTENCIOSO ADMINISTRATIVO</t>
        </is>
      </c>
      <c r="C9" s="20" t="inlineStr">
        <is>
          <t>Resto</t>
        </is>
      </c>
      <c r="D9" s="21" t="n">
        <v>1</v>
      </c>
      <c r="E9" s="21" t="n">
        <v>0</v>
      </c>
      <c r="F9" s="21" t="n">
        <v>1</v>
      </c>
      <c r="G9" s="21" t="n">
        <v>4</v>
      </c>
      <c r="H9" s="21" t="n">
        <v>0</v>
      </c>
      <c r="I9" s="21" t="n">
        <v>1</v>
      </c>
      <c r="J9" s="21" t="n">
        <v>5</v>
      </c>
      <c r="K9" s="21" t="n">
        <v>0</v>
      </c>
      <c r="L9" s="21" t="n">
        <v>1</v>
      </c>
      <c r="M9" s="21" t="n">
        <v>3</v>
      </c>
      <c r="N9" s="21" t="n">
        <v>1</v>
      </c>
      <c r="O9" s="21" t="n">
        <v>1</v>
      </c>
      <c r="P9" s="20">
        <f>SUM(D9:O9)</f>
        <v/>
      </c>
    </row>
    <row r="10">
      <c r="A10" s="20" t="inlineStr">
        <is>
          <t>3º JUZGADO CIVIL</t>
        </is>
      </c>
      <c r="B10" s="20" t="inlineStr">
        <is>
          <t>CIVIL - CIVIL</t>
        </is>
      </c>
      <c r="C10" s="20" t="inlineStr">
        <is>
          <t>Civil-Civil</t>
        </is>
      </c>
      <c r="D10" s="21" t="n">
        <v>100</v>
      </c>
      <c r="E10" s="21" t="n">
        <v>0</v>
      </c>
      <c r="F10" s="21" t="n">
        <v>77</v>
      </c>
      <c r="G10" s="21" t="n">
        <v>51</v>
      </c>
      <c r="H10" s="21" t="n">
        <v>56</v>
      </c>
      <c r="I10" s="21" t="n">
        <v>31</v>
      </c>
      <c r="J10" s="21" t="n">
        <v>37</v>
      </c>
      <c r="K10" s="21" t="n">
        <v>37</v>
      </c>
      <c r="L10" s="21" t="n">
        <v>37</v>
      </c>
      <c r="M10" s="21" t="n">
        <v>38</v>
      </c>
      <c r="N10" s="21" t="n">
        <v>44</v>
      </c>
      <c r="O10" s="21" t="n">
        <v>28</v>
      </c>
      <c r="P10" s="20">
        <f>SUM(D10:O10)</f>
        <v/>
      </c>
    </row>
    <row r="11">
      <c r="A11" s="20" t="inlineStr">
        <is>
          <t>3º JUZGADO CIVIL</t>
        </is>
      </c>
      <c r="B11" s="20" t="inlineStr">
        <is>
          <t>CIVIL - COMERCIAL</t>
        </is>
      </c>
      <c r="C11" s="20" t="inlineStr">
        <is>
          <t>Resto</t>
        </is>
      </c>
      <c r="D11" s="21" t="n">
        <v>10</v>
      </c>
      <c r="E11" s="21" t="n">
        <v>0</v>
      </c>
      <c r="F11" s="21" t="n">
        <v>13</v>
      </c>
      <c r="G11" s="21" t="n">
        <v>7</v>
      </c>
      <c r="H11" s="21" t="n">
        <v>12</v>
      </c>
      <c r="I11" s="21" t="n">
        <v>15</v>
      </c>
      <c r="J11" s="21" t="n">
        <v>13</v>
      </c>
      <c r="K11" s="21" t="n">
        <v>10</v>
      </c>
      <c r="L11" s="21" t="n">
        <v>11</v>
      </c>
      <c r="M11" s="21" t="n">
        <v>10</v>
      </c>
      <c r="N11" s="21" t="n">
        <v>4</v>
      </c>
      <c r="O11" s="21" t="n">
        <v>0</v>
      </c>
      <c r="P11" s="20">
        <f>SUM(D11:O11)</f>
        <v/>
      </c>
    </row>
    <row r="12">
      <c r="A12" s="20" t="inlineStr">
        <is>
          <t>3º JUZGADO CIVIL</t>
        </is>
      </c>
      <c r="B12" s="20" t="inlineStr">
        <is>
          <t>CIVIL - CONSTITUCIONAL</t>
        </is>
      </c>
      <c r="C12" s="20" t="inlineStr">
        <is>
          <t>Resto</t>
        </is>
      </c>
      <c r="D12" s="21" t="n">
        <v>1</v>
      </c>
      <c r="E12" s="21" t="n">
        <v>0</v>
      </c>
      <c r="F12" s="21" t="n">
        <v>0</v>
      </c>
      <c r="G12" s="21" t="n">
        <v>0</v>
      </c>
      <c r="H12" s="21" t="n">
        <v>0</v>
      </c>
      <c r="I12" s="21" t="n">
        <v>0</v>
      </c>
      <c r="J12" s="21" t="n">
        <v>0</v>
      </c>
      <c r="K12" s="21" t="n">
        <v>1</v>
      </c>
      <c r="L12" s="21" t="n">
        <v>0</v>
      </c>
      <c r="M12" s="21" t="n">
        <v>0</v>
      </c>
      <c r="N12" s="21" t="n">
        <v>0</v>
      </c>
      <c r="O12" s="21" t="n">
        <v>0</v>
      </c>
      <c r="P12" s="20">
        <f>SUM(D12:O12)</f>
        <v/>
      </c>
    </row>
    <row r="13">
      <c r="A13" s="20" t="inlineStr">
        <is>
          <t>3º JUZGADO CIVIL</t>
        </is>
      </c>
      <c r="B13" s="20" t="inlineStr">
        <is>
          <t>CIVIL - CONTENCIOSO ADMINISTRATIVO</t>
        </is>
      </c>
      <c r="C13" s="20" t="inlineStr">
        <is>
          <t>Resto</t>
        </is>
      </c>
      <c r="D13" s="21" t="n">
        <v>5</v>
      </c>
      <c r="E13" s="21" t="n">
        <v>0</v>
      </c>
      <c r="F13" s="21" t="n">
        <v>2</v>
      </c>
      <c r="G13" s="21" t="n">
        <v>2</v>
      </c>
      <c r="H13" s="21" t="n">
        <v>6</v>
      </c>
      <c r="I13" s="21" t="n">
        <v>4</v>
      </c>
      <c r="J13" s="21" t="n">
        <v>0</v>
      </c>
      <c r="K13" s="21" t="n">
        <v>2</v>
      </c>
      <c r="L13" s="21" t="n">
        <v>5</v>
      </c>
      <c r="M13" s="21" t="n">
        <v>4</v>
      </c>
      <c r="N13" s="21" t="n">
        <v>0</v>
      </c>
      <c r="O13" s="21" t="n">
        <v>2</v>
      </c>
      <c r="P13" s="20">
        <f>SUM(D13:O13)</f>
        <v/>
      </c>
    </row>
    <row r="14">
      <c r="A14" s="20" t="inlineStr">
        <is>
          <t>4º JUZGADO CIVIL</t>
        </is>
      </c>
      <c r="B14" s="20" t="inlineStr">
        <is>
          <t>CIVIL - CIVIL</t>
        </is>
      </c>
      <c r="C14" s="20" t="inlineStr">
        <is>
          <t>Civil-Civil</t>
        </is>
      </c>
      <c r="D14" s="21" t="n">
        <v>52</v>
      </c>
      <c r="E14" s="21" t="n">
        <v>0</v>
      </c>
      <c r="F14" s="21" t="n">
        <v>53</v>
      </c>
      <c r="G14" s="21" t="n">
        <v>75</v>
      </c>
      <c r="H14" s="21" t="n">
        <v>38</v>
      </c>
      <c r="I14" s="21" t="n">
        <v>34</v>
      </c>
      <c r="J14" s="21" t="n">
        <v>27</v>
      </c>
      <c r="K14" s="21" t="n">
        <v>38</v>
      </c>
      <c r="L14" s="21" t="n">
        <v>35</v>
      </c>
      <c r="M14" s="21" t="n">
        <v>29</v>
      </c>
      <c r="N14" s="21" t="n">
        <v>38</v>
      </c>
      <c r="O14" s="21" t="n">
        <v>52</v>
      </c>
      <c r="P14" s="20">
        <f>SUM(D14:O14)</f>
        <v/>
      </c>
    </row>
    <row r="15">
      <c r="A15" s="20" t="inlineStr">
        <is>
          <t>4º JUZGADO CIVIL</t>
        </is>
      </c>
      <c r="B15" s="20" t="inlineStr">
        <is>
          <t>CIVIL - COMERCIAL</t>
        </is>
      </c>
      <c r="C15" s="20" t="inlineStr">
        <is>
          <t>Resto</t>
        </is>
      </c>
      <c r="D15" s="21" t="n">
        <v>3</v>
      </c>
      <c r="E15" s="21" t="n">
        <v>0</v>
      </c>
      <c r="F15" s="21" t="n">
        <v>3</v>
      </c>
      <c r="G15" s="21" t="n">
        <v>6</v>
      </c>
      <c r="H15" s="21" t="n">
        <v>12</v>
      </c>
      <c r="I15" s="21" t="n">
        <v>9</v>
      </c>
      <c r="J15" s="21" t="n">
        <v>11</v>
      </c>
      <c r="K15" s="21" t="n">
        <v>12</v>
      </c>
      <c r="L15" s="21" t="n">
        <v>14</v>
      </c>
      <c r="M15" s="21" t="n">
        <v>13</v>
      </c>
      <c r="N15" s="21" t="n">
        <v>7</v>
      </c>
      <c r="O15" s="21" t="n">
        <v>10</v>
      </c>
      <c r="P15" s="20">
        <f>SUM(D15:O15)</f>
        <v/>
      </c>
    </row>
    <row r="16">
      <c r="A16" s="20" t="inlineStr">
        <is>
          <t>4º JUZGADO CIVIL</t>
        </is>
      </c>
      <c r="B16" s="20" t="inlineStr">
        <is>
          <t>CIVIL - CONSTITUCIONAL</t>
        </is>
      </c>
      <c r="C16" s="20" t="inlineStr">
        <is>
          <t>Resto</t>
        </is>
      </c>
      <c r="D16" s="21" t="n">
        <v>0</v>
      </c>
      <c r="E16" s="21" t="n">
        <v>0</v>
      </c>
      <c r="F16" s="21" t="n">
        <v>0</v>
      </c>
      <c r="G16" s="21" t="n">
        <v>0</v>
      </c>
      <c r="H16" s="21" t="n">
        <v>0</v>
      </c>
      <c r="I16" s="21" t="n">
        <v>0</v>
      </c>
      <c r="J16" s="21" t="n">
        <v>0</v>
      </c>
      <c r="K16" s="21" t="n">
        <v>0</v>
      </c>
      <c r="L16" s="21" t="n">
        <v>0</v>
      </c>
      <c r="M16" s="21" t="n">
        <v>0</v>
      </c>
      <c r="N16" s="21" t="n">
        <v>1</v>
      </c>
      <c r="O16" s="21" t="n">
        <v>0</v>
      </c>
      <c r="P16" s="20">
        <f>SUM(D16:O16)</f>
        <v/>
      </c>
    </row>
    <row r="17">
      <c r="A17" s="20" t="inlineStr">
        <is>
          <t>4º JUZGADO CIVIL</t>
        </is>
      </c>
      <c r="B17" s="20" t="inlineStr">
        <is>
          <t>CIVIL - CONTENCIOSO ADMINISTRATIVO</t>
        </is>
      </c>
      <c r="C17" s="20" t="inlineStr">
        <is>
          <t>Resto</t>
        </is>
      </c>
      <c r="D17" s="21" t="n">
        <v>1</v>
      </c>
      <c r="E17" s="21" t="n">
        <v>0</v>
      </c>
      <c r="F17" s="21" t="n">
        <v>4</v>
      </c>
      <c r="G17" s="21" t="n">
        <v>7</v>
      </c>
      <c r="H17" s="21" t="n">
        <v>6</v>
      </c>
      <c r="I17" s="21" t="n">
        <v>4</v>
      </c>
      <c r="J17" s="21" t="n">
        <v>1</v>
      </c>
      <c r="K17" s="21" t="n">
        <v>0</v>
      </c>
      <c r="L17" s="21" t="n">
        <v>1</v>
      </c>
      <c r="M17" s="21" t="n">
        <v>1</v>
      </c>
      <c r="N17" s="21" t="n">
        <v>6</v>
      </c>
      <c r="O17" s="21" t="n">
        <v>2</v>
      </c>
      <c r="P17" s="20">
        <f>SUM(D17:O17)</f>
        <v/>
      </c>
    </row>
    <row r="18">
      <c r="A18" s="20" t="inlineStr">
        <is>
          <t>5º JUZGADO CIVIL</t>
        </is>
      </c>
      <c r="B18" s="20" t="inlineStr">
        <is>
          <t>CIVIL - CIVIL</t>
        </is>
      </c>
      <c r="C18" s="20" t="inlineStr">
        <is>
          <t>Civil-Civil</t>
        </is>
      </c>
      <c r="D18" s="21" t="n">
        <v>35</v>
      </c>
      <c r="E18" s="21" t="n">
        <v>4</v>
      </c>
      <c r="F18" s="21" t="n">
        <v>53</v>
      </c>
      <c r="G18" s="21" t="n">
        <v>76</v>
      </c>
      <c r="H18" s="21" t="n">
        <v>33</v>
      </c>
      <c r="I18" s="21" t="n">
        <v>68</v>
      </c>
      <c r="J18" s="21" t="n">
        <v>33</v>
      </c>
      <c r="K18" s="21" t="n">
        <v>41</v>
      </c>
      <c r="L18" s="21" t="n">
        <v>27</v>
      </c>
      <c r="M18" s="21" t="n">
        <v>28</v>
      </c>
      <c r="N18" s="21" t="n">
        <v>43</v>
      </c>
      <c r="O18" s="21" t="n">
        <v>34</v>
      </c>
      <c r="P18" s="20">
        <f>SUM(D18:O18)</f>
        <v/>
      </c>
    </row>
    <row r="19">
      <c r="A19" s="20" t="inlineStr">
        <is>
          <t>5º JUZGADO CIVIL</t>
        </is>
      </c>
      <c r="B19" s="20" t="inlineStr">
        <is>
          <t>CIVIL - COMERCIAL</t>
        </is>
      </c>
      <c r="C19" s="20" t="inlineStr">
        <is>
          <t>Resto</t>
        </is>
      </c>
      <c r="D19" s="21" t="n">
        <v>2</v>
      </c>
      <c r="E19" s="21" t="n">
        <v>0</v>
      </c>
      <c r="F19" s="21" t="n">
        <v>9</v>
      </c>
      <c r="G19" s="21" t="n">
        <v>3</v>
      </c>
      <c r="H19" s="21" t="n">
        <v>8</v>
      </c>
      <c r="I19" s="21" t="n">
        <v>9</v>
      </c>
      <c r="J19" s="21" t="n">
        <v>11</v>
      </c>
      <c r="K19" s="21" t="n">
        <v>12</v>
      </c>
      <c r="L19" s="21" t="n">
        <v>17</v>
      </c>
      <c r="M19" s="21" t="n">
        <v>13</v>
      </c>
      <c r="N19" s="21" t="n">
        <v>6</v>
      </c>
      <c r="O19" s="21" t="n">
        <v>9</v>
      </c>
      <c r="P19" s="20">
        <f>SUM(D19:O19)</f>
        <v/>
      </c>
    </row>
    <row r="20">
      <c r="A20" s="20" t="inlineStr">
        <is>
          <t>5º JUZGADO CIVIL</t>
        </is>
      </c>
      <c r="B20" s="20" t="inlineStr">
        <is>
          <t>CIVIL - CONSTITUCIONAL</t>
        </is>
      </c>
      <c r="C20" s="20" t="inlineStr">
        <is>
          <t>Resto</t>
        </is>
      </c>
      <c r="D20" s="21" t="n">
        <v>0</v>
      </c>
      <c r="E20" s="21" t="n">
        <v>0</v>
      </c>
      <c r="F20" s="21" t="n">
        <v>1</v>
      </c>
      <c r="G20" s="21" t="n">
        <v>1</v>
      </c>
      <c r="H20" s="21" t="n">
        <v>0</v>
      </c>
      <c r="I20" s="21" t="n">
        <v>0</v>
      </c>
      <c r="J20" s="21" t="n">
        <v>0</v>
      </c>
      <c r="K20" s="21" t="n">
        <v>0</v>
      </c>
      <c r="L20" s="21" t="n">
        <v>0</v>
      </c>
      <c r="M20" s="21" t="n">
        <v>0</v>
      </c>
      <c r="N20" s="21" t="n">
        <v>0</v>
      </c>
      <c r="O20" s="21" t="n">
        <v>0</v>
      </c>
      <c r="P20" s="20">
        <f>SUM(D20:O20)</f>
        <v/>
      </c>
    </row>
    <row r="21">
      <c r="A21" s="20" t="inlineStr">
        <is>
          <t>5º JUZGADO CIVIL</t>
        </is>
      </c>
      <c r="B21" s="20" t="inlineStr">
        <is>
          <t>CIVIL - CONTENCIOSO ADMINISTRATIVO</t>
        </is>
      </c>
      <c r="C21" s="20" t="inlineStr">
        <is>
          <t>Resto</t>
        </is>
      </c>
      <c r="D21" s="21" t="n">
        <v>2</v>
      </c>
      <c r="E21" s="21" t="n">
        <v>0</v>
      </c>
      <c r="F21" s="21" t="n">
        <v>3</v>
      </c>
      <c r="G21" s="21" t="n">
        <v>10</v>
      </c>
      <c r="H21" s="21" t="n">
        <v>4</v>
      </c>
      <c r="I21" s="21" t="n">
        <v>4</v>
      </c>
      <c r="J21" s="21" t="n">
        <v>8</v>
      </c>
      <c r="K21" s="21" t="n">
        <v>2</v>
      </c>
      <c r="L21" s="21" t="n">
        <v>1</v>
      </c>
      <c r="M21" s="21" t="n">
        <v>2</v>
      </c>
      <c r="N21" s="21" t="n">
        <v>3</v>
      </c>
      <c r="O21" s="21" t="n">
        <v>5</v>
      </c>
      <c r="P21" s="20">
        <f>SUM(D21:O21)</f>
        <v/>
      </c>
    </row>
    <row r="22">
      <c r="A22" s="20" t="inlineStr">
        <is>
          <t>6º JUZGADO CIVIL</t>
        </is>
      </c>
      <c r="B22" s="20" t="inlineStr">
        <is>
          <t>CIVIL - CIVIL</t>
        </is>
      </c>
      <c r="C22" s="20" t="inlineStr">
        <is>
          <t>Civil-Civil</t>
        </is>
      </c>
      <c r="D22" s="21" t="n">
        <v>63</v>
      </c>
      <c r="E22" s="21" t="n">
        <v>0</v>
      </c>
      <c r="F22" s="21" t="n">
        <v>49</v>
      </c>
      <c r="G22" s="21" t="n">
        <v>55</v>
      </c>
      <c r="H22" s="21" t="n">
        <v>52</v>
      </c>
      <c r="I22" s="21" t="n">
        <v>40</v>
      </c>
      <c r="J22" s="21" t="n">
        <v>37</v>
      </c>
      <c r="K22" s="21" t="n">
        <v>39</v>
      </c>
      <c r="L22" s="21" t="n">
        <v>49</v>
      </c>
      <c r="M22" s="21" t="n">
        <v>39</v>
      </c>
      <c r="N22" s="21" t="n">
        <v>41</v>
      </c>
      <c r="O22" s="21" t="n">
        <v>31</v>
      </c>
      <c r="P22" s="20">
        <f>SUM(D22:O22)</f>
        <v/>
      </c>
    </row>
    <row r="23">
      <c r="A23" s="20" t="inlineStr">
        <is>
          <t>6º JUZGADO CIVIL</t>
        </is>
      </c>
      <c r="B23" s="20" t="inlineStr">
        <is>
          <t>CIVIL - COMERCIAL</t>
        </is>
      </c>
      <c r="C23" s="20" t="inlineStr">
        <is>
          <t>Resto</t>
        </is>
      </c>
      <c r="D23" s="21" t="n">
        <v>8</v>
      </c>
      <c r="E23" s="21" t="n">
        <v>0</v>
      </c>
      <c r="F23" s="21" t="n">
        <v>14</v>
      </c>
      <c r="G23" s="21" t="n">
        <v>8</v>
      </c>
      <c r="H23" s="21" t="n">
        <v>6</v>
      </c>
      <c r="I23" s="21" t="n">
        <v>10</v>
      </c>
      <c r="J23" s="21" t="n">
        <v>13</v>
      </c>
      <c r="K23" s="21" t="n">
        <v>13</v>
      </c>
      <c r="L23" s="21" t="n">
        <v>12</v>
      </c>
      <c r="M23" s="21" t="n">
        <v>15</v>
      </c>
      <c r="N23" s="21" t="n">
        <v>13</v>
      </c>
      <c r="O23" s="21" t="n">
        <v>10</v>
      </c>
      <c r="P23" s="20">
        <f>SUM(D23:O23)</f>
        <v/>
      </c>
    </row>
    <row r="24">
      <c r="A24" s="20" t="inlineStr">
        <is>
          <t>6º JUZGADO CIVIL</t>
        </is>
      </c>
      <c r="B24" s="20" t="inlineStr">
        <is>
          <t>CIVIL - CONSTITUCIONAL</t>
        </is>
      </c>
      <c r="C24" s="20" t="inlineStr">
        <is>
          <t>Resto</t>
        </is>
      </c>
      <c r="D24" s="21" t="n">
        <v>0</v>
      </c>
      <c r="E24" s="21" t="n">
        <v>0</v>
      </c>
      <c r="F24" s="21" t="n">
        <v>0</v>
      </c>
      <c r="G24" s="21" t="n">
        <v>0</v>
      </c>
      <c r="H24" s="21" t="n">
        <v>1</v>
      </c>
      <c r="I24" s="21" t="n">
        <v>0</v>
      </c>
      <c r="J24" s="21" t="n">
        <v>0</v>
      </c>
      <c r="K24" s="21" t="n">
        <v>1</v>
      </c>
      <c r="L24" s="21" t="n">
        <v>0</v>
      </c>
      <c r="M24" s="21" t="n">
        <v>0</v>
      </c>
      <c r="N24" s="21" t="n">
        <v>0</v>
      </c>
      <c r="O24" s="21" t="n">
        <v>0</v>
      </c>
      <c r="P24" s="20">
        <f>SUM(D24:O24)</f>
        <v/>
      </c>
    </row>
    <row r="25">
      <c r="A25" s="20" t="inlineStr">
        <is>
          <t>6º JUZGADO CIVIL</t>
        </is>
      </c>
      <c r="B25" s="20" t="inlineStr">
        <is>
          <t>CIVIL - CONTENCIOSO ADMINISTRATIVO</t>
        </is>
      </c>
      <c r="C25" s="20" t="inlineStr">
        <is>
          <t>Resto</t>
        </is>
      </c>
      <c r="D25" s="21" t="n">
        <v>0</v>
      </c>
      <c r="E25" s="21" t="n">
        <v>0</v>
      </c>
      <c r="F25" s="21" t="n">
        <v>2</v>
      </c>
      <c r="G25" s="21" t="n">
        <v>5</v>
      </c>
      <c r="H25" s="21" t="n">
        <v>5</v>
      </c>
      <c r="I25" s="21" t="n">
        <v>4</v>
      </c>
      <c r="J25" s="21" t="n">
        <v>3</v>
      </c>
      <c r="K25" s="21" t="n">
        <v>1</v>
      </c>
      <c r="L25" s="21" t="n">
        <v>7</v>
      </c>
      <c r="M25" s="21" t="n">
        <v>2</v>
      </c>
      <c r="N25" s="21" t="n">
        <v>3</v>
      </c>
      <c r="O25" s="21" t="n">
        <v>0</v>
      </c>
      <c r="P25" s="20">
        <f>SUM(D25:O25)</f>
        <v/>
      </c>
    </row>
    <row r="26">
      <c r="A26" s="20" t="inlineStr">
        <is>
          <t>7º JUZGADO CIVIL</t>
        </is>
      </c>
      <c r="B26" s="20" t="inlineStr">
        <is>
          <t>CIVIL - CIVIL</t>
        </is>
      </c>
      <c r="C26" s="20" t="inlineStr">
        <is>
          <t>Civil-Civil</t>
        </is>
      </c>
      <c r="D26" s="21" t="n">
        <v>60</v>
      </c>
      <c r="E26" s="21" t="n">
        <v>0</v>
      </c>
      <c r="F26" s="21" t="n">
        <v>51</v>
      </c>
      <c r="G26" s="21" t="n">
        <v>50</v>
      </c>
      <c r="H26" s="21" t="n">
        <v>45</v>
      </c>
      <c r="I26" s="21" t="n">
        <v>41</v>
      </c>
      <c r="J26" s="21" t="n">
        <v>39</v>
      </c>
      <c r="K26" s="21" t="n">
        <v>45</v>
      </c>
      <c r="L26" s="21" t="n">
        <v>37</v>
      </c>
      <c r="M26" s="21" t="n">
        <v>37</v>
      </c>
      <c r="N26" s="21" t="n">
        <v>37</v>
      </c>
      <c r="O26" s="21" t="n">
        <v>36</v>
      </c>
      <c r="P26" s="20">
        <f>SUM(D26:O26)</f>
        <v/>
      </c>
    </row>
    <row r="27">
      <c r="A27" s="20" t="inlineStr">
        <is>
          <t>7º JUZGADO CIVIL</t>
        </is>
      </c>
      <c r="B27" s="20" t="inlineStr">
        <is>
          <t>CIVIL - COMERCIAL</t>
        </is>
      </c>
      <c r="C27" s="20" t="inlineStr">
        <is>
          <t>Resto</t>
        </is>
      </c>
      <c r="D27" s="21" t="n">
        <v>3</v>
      </c>
      <c r="E27" s="21" t="n">
        <v>0</v>
      </c>
      <c r="F27" s="21" t="n">
        <v>5</v>
      </c>
      <c r="G27" s="21" t="n">
        <v>12</v>
      </c>
      <c r="H27" s="21" t="n">
        <v>10</v>
      </c>
      <c r="I27" s="21" t="n">
        <v>15</v>
      </c>
      <c r="J27" s="21" t="n">
        <v>13</v>
      </c>
      <c r="K27" s="21" t="n">
        <v>8</v>
      </c>
      <c r="L27" s="21" t="n">
        <v>15</v>
      </c>
      <c r="M27" s="21" t="n">
        <v>14</v>
      </c>
      <c r="N27" s="21" t="n">
        <v>7</v>
      </c>
      <c r="O27" s="21" t="n">
        <v>11</v>
      </c>
      <c r="P27" s="20">
        <f>SUM(D27:O27)</f>
        <v/>
      </c>
    </row>
    <row r="28">
      <c r="A28" s="20" t="inlineStr">
        <is>
          <t>7º JUZGADO CIVIL</t>
        </is>
      </c>
      <c r="B28" s="20" t="inlineStr">
        <is>
          <t>CIVIL - CONSTITUCIONAL</t>
        </is>
      </c>
      <c r="C28" s="20" t="inlineStr">
        <is>
          <t>Resto</t>
        </is>
      </c>
      <c r="D28" s="21" t="n">
        <v>0</v>
      </c>
      <c r="E28" s="21" t="n">
        <v>0</v>
      </c>
      <c r="F28" s="21" t="n">
        <v>0</v>
      </c>
      <c r="G28" s="21" t="n">
        <v>0</v>
      </c>
      <c r="H28" s="21" t="n">
        <v>0</v>
      </c>
      <c r="I28" s="21" t="n">
        <v>0</v>
      </c>
      <c r="J28" s="21" t="n">
        <v>0</v>
      </c>
      <c r="K28" s="21" t="n">
        <v>0</v>
      </c>
      <c r="L28" s="21" t="n">
        <v>0</v>
      </c>
      <c r="M28" s="21" t="n">
        <v>1</v>
      </c>
      <c r="N28" s="21" t="n">
        <v>0</v>
      </c>
      <c r="O28" s="21" t="n">
        <v>0</v>
      </c>
      <c r="P28" s="20">
        <f>SUM(D28:O28)</f>
        <v/>
      </c>
    </row>
    <row r="29">
      <c r="A29" s="20" t="inlineStr">
        <is>
          <t>7º JUZGADO CIVIL</t>
        </is>
      </c>
      <c r="B29" s="20" t="inlineStr">
        <is>
          <t>CIVIL - CONTENCIOSO ADMINISTRATIVO</t>
        </is>
      </c>
      <c r="C29" s="20" t="inlineStr">
        <is>
          <t>Resto</t>
        </is>
      </c>
      <c r="D29" s="21" t="n">
        <v>3</v>
      </c>
      <c r="E29" s="21" t="n">
        <v>0</v>
      </c>
      <c r="F29" s="21" t="n">
        <v>5</v>
      </c>
      <c r="G29" s="21" t="n">
        <v>1</v>
      </c>
      <c r="H29" s="21" t="n">
        <v>0</v>
      </c>
      <c r="I29" s="21" t="n">
        <v>6</v>
      </c>
      <c r="J29" s="21" t="n">
        <v>3</v>
      </c>
      <c r="K29" s="21" t="n">
        <v>1</v>
      </c>
      <c r="L29" s="21" t="n">
        <v>0</v>
      </c>
      <c r="M29" s="21" t="n">
        <v>3</v>
      </c>
      <c r="N29" s="21" t="n">
        <v>3</v>
      </c>
      <c r="O29" s="21" t="n">
        <v>4</v>
      </c>
      <c r="P29" s="20">
        <f>SUM(D29:O29)</f>
        <v/>
      </c>
    </row>
    <row r="30">
      <c r="A30" s="20" t="inlineStr">
        <is>
          <t>8º JUZGADO CIVIL</t>
        </is>
      </c>
      <c r="B30" s="20" t="inlineStr">
        <is>
          <t>CIVIL - CIVIL</t>
        </is>
      </c>
      <c r="C30" s="20" t="inlineStr">
        <is>
          <t>Civil-Civil</t>
        </is>
      </c>
      <c r="D30" s="21" t="n">
        <v>44</v>
      </c>
      <c r="E30" s="21" t="n">
        <v>0</v>
      </c>
      <c r="F30" s="21" t="n">
        <v>39</v>
      </c>
      <c r="G30" s="21" t="n">
        <v>37</v>
      </c>
      <c r="H30" s="21" t="n">
        <v>45</v>
      </c>
      <c r="I30" s="21" t="n">
        <v>31</v>
      </c>
      <c r="J30" s="21" t="n">
        <v>43</v>
      </c>
      <c r="K30" s="21" t="n">
        <v>31</v>
      </c>
      <c r="L30" s="21" t="n">
        <v>43</v>
      </c>
      <c r="M30" s="21" t="n">
        <v>33</v>
      </c>
      <c r="N30" s="21" t="n">
        <v>70</v>
      </c>
      <c r="O30" s="21" t="n">
        <v>58</v>
      </c>
      <c r="P30" s="20">
        <f>SUM(D30:O30)</f>
        <v/>
      </c>
    </row>
    <row r="31">
      <c r="A31" s="20" t="inlineStr">
        <is>
          <t>8º JUZGADO CIVIL</t>
        </is>
      </c>
      <c r="B31" s="20" t="inlineStr">
        <is>
          <t>CIVIL - COMERCIAL</t>
        </is>
      </c>
      <c r="C31" s="20" t="inlineStr">
        <is>
          <t>Resto</t>
        </is>
      </c>
      <c r="D31" s="21" t="n">
        <v>2</v>
      </c>
      <c r="E31" s="21" t="n">
        <v>0</v>
      </c>
      <c r="F31" s="21" t="n">
        <v>6</v>
      </c>
      <c r="G31" s="21" t="n">
        <v>8</v>
      </c>
      <c r="H31" s="21" t="n">
        <v>2</v>
      </c>
      <c r="I31" s="21" t="n">
        <v>4</v>
      </c>
      <c r="J31" s="21" t="n">
        <v>0</v>
      </c>
      <c r="K31" s="21" t="n">
        <v>6</v>
      </c>
      <c r="L31" s="21" t="n">
        <v>10</v>
      </c>
      <c r="M31" s="21" t="n">
        <v>10</v>
      </c>
      <c r="N31" s="21" t="n">
        <v>14</v>
      </c>
      <c r="O31" s="21" t="n">
        <v>6</v>
      </c>
      <c r="P31" s="20">
        <f>SUM(D31:O31)</f>
        <v/>
      </c>
    </row>
    <row r="32">
      <c r="A32" s="20" t="inlineStr">
        <is>
          <t>8º JUZGADO CIVIL</t>
        </is>
      </c>
      <c r="B32" s="20" t="inlineStr">
        <is>
          <t>CIVIL - CONTENCIOSO ADMINISTRATIVO</t>
        </is>
      </c>
      <c r="C32" s="20" t="inlineStr">
        <is>
          <t>Resto</t>
        </is>
      </c>
      <c r="D32" s="21" t="n">
        <v>1</v>
      </c>
      <c r="E32" s="21" t="n">
        <v>0</v>
      </c>
      <c r="F32" s="21" t="n">
        <v>3</v>
      </c>
      <c r="G32" s="21" t="n">
        <v>1</v>
      </c>
      <c r="H32" s="21" t="n">
        <v>0</v>
      </c>
      <c r="I32" s="21" t="n">
        <v>3</v>
      </c>
      <c r="J32" s="21" t="n">
        <v>3</v>
      </c>
      <c r="K32" s="21" t="n">
        <v>1</v>
      </c>
      <c r="L32" s="21" t="n">
        <v>5</v>
      </c>
      <c r="M32" s="21" t="n">
        <v>0</v>
      </c>
      <c r="N32" s="21" t="n">
        <v>3</v>
      </c>
      <c r="O32" s="21" t="n">
        <v>1</v>
      </c>
      <c r="P32" s="20">
        <f>SUM(D32:O32)</f>
        <v/>
      </c>
    </row>
    <row r="33">
      <c r="A33" s="20" t="inlineStr">
        <is>
          <t>9º JUZGADO CIVIL</t>
        </is>
      </c>
      <c r="B33" s="20" t="inlineStr">
        <is>
          <t>CIVIL - CIVIL</t>
        </is>
      </c>
      <c r="C33" s="20" t="inlineStr">
        <is>
          <t>Civil-Civil</t>
        </is>
      </c>
      <c r="D33" s="21" t="n">
        <v>68</v>
      </c>
      <c r="E33" s="21" t="n">
        <v>0</v>
      </c>
      <c r="F33" s="21" t="n">
        <v>42</v>
      </c>
      <c r="G33" s="21" t="n">
        <v>56</v>
      </c>
      <c r="H33" s="21" t="n">
        <v>47</v>
      </c>
      <c r="I33" s="21" t="n">
        <v>49</v>
      </c>
      <c r="J33" s="21" t="n">
        <v>31</v>
      </c>
      <c r="K33" s="21" t="n">
        <v>40</v>
      </c>
      <c r="L33" s="21" t="n">
        <v>54</v>
      </c>
      <c r="M33" s="21" t="n">
        <v>43</v>
      </c>
      <c r="N33" s="21" t="n">
        <v>31</v>
      </c>
      <c r="O33" s="21" t="n">
        <v>36</v>
      </c>
      <c r="P33" s="20">
        <f>SUM(D33:O33)</f>
        <v/>
      </c>
    </row>
    <row r="34">
      <c r="A34" s="20" t="inlineStr">
        <is>
          <t>9º JUZGADO CIVIL</t>
        </is>
      </c>
      <c r="B34" s="20" t="inlineStr">
        <is>
          <t>CIVIL - COMERCIAL</t>
        </is>
      </c>
      <c r="C34" s="20" t="inlineStr">
        <is>
          <t>Resto</t>
        </is>
      </c>
      <c r="D34" s="21" t="n">
        <v>6</v>
      </c>
      <c r="E34" s="21" t="n">
        <v>0</v>
      </c>
      <c r="F34" s="21" t="n">
        <v>6</v>
      </c>
      <c r="G34" s="21" t="n">
        <v>12</v>
      </c>
      <c r="H34" s="21" t="n">
        <v>4</v>
      </c>
      <c r="I34" s="21" t="n">
        <v>7</v>
      </c>
      <c r="J34" s="21" t="n">
        <v>9</v>
      </c>
      <c r="K34" s="21" t="n">
        <v>10</v>
      </c>
      <c r="L34" s="21" t="n">
        <v>12</v>
      </c>
      <c r="M34" s="21" t="n">
        <v>10</v>
      </c>
      <c r="N34" s="21" t="n">
        <v>1</v>
      </c>
      <c r="O34" s="21" t="n">
        <v>4</v>
      </c>
      <c r="P34" s="20">
        <f>SUM(D34:O34)</f>
        <v/>
      </c>
    </row>
    <row r="35">
      <c r="A35" s="20" t="inlineStr">
        <is>
          <t>9º JUZGADO CIVIL</t>
        </is>
      </c>
      <c r="B35" s="20" t="inlineStr">
        <is>
          <t>CIVIL - CONSTITUCIONAL</t>
        </is>
      </c>
      <c r="C35" s="20" t="inlineStr">
        <is>
          <t>Resto</t>
        </is>
      </c>
      <c r="D35" s="21" t="n">
        <v>0</v>
      </c>
      <c r="E35" s="21" t="n">
        <v>0</v>
      </c>
      <c r="F35" s="21" t="n">
        <v>0</v>
      </c>
      <c r="G35" s="21" t="n">
        <v>1</v>
      </c>
      <c r="H35" s="21" t="n">
        <v>0</v>
      </c>
      <c r="I35" s="21" t="n">
        <v>0</v>
      </c>
      <c r="J35" s="21" t="n">
        <v>0</v>
      </c>
      <c r="K35" s="21" t="n">
        <v>0</v>
      </c>
      <c r="L35" s="21" t="n">
        <v>0</v>
      </c>
      <c r="M35" s="21" t="n">
        <v>0</v>
      </c>
      <c r="N35" s="21" t="n">
        <v>0</v>
      </c>
      <c r="O35" s="21" t="n">
        <v>0</v>
      </c>
      <c r="P35" s="20">
        <f>SUM(D35:O35)</f>
        <v/>
      </c>
    </row>
    <row r="36">
      <c r="A36" s="20" t="inlineStr">
        <is>
          <t>9º JUZGADO CIVIL</t>
        </is>
      </c>
      <c r="B36" s="20" t="inlineStr">
        <is>
          <t>CIVIL - CONTENCIOSO ADMINISTRATIVO</t>
        </is>
      </c>
      <c r="C36" s="20" t="inlineStr">
        <is>
          <t>Resto</t>
        </is>
      </c>
      <c r="D36" s="21" t="n">
        <v>1</v>
      </c>
      <c r="E36" s="21" t="n">
        <v>0</v>
      </c>
      <c r="F36" s="21" t="n">
        <v>1</v>
      </c>
      <c r="G36" s="21" t="n">
        <v>2</v>
      </c>
      <c r="H36" s="21" t="n">
        <v>2</v>
      </c>
      <c r="I36" s="21" t="n">
        <v>5</v>
      </c>
      <c r="J36" s="21" t="n">
        <v>3</v>
      </c>
      <c r="K36" s="21" t="n">
        <v>1</v>
      </c>
      <c r="L36" s="21" t="n">
        <v>3</v>
      </c>
      <c r="M36" s="21" t="n">
        <v>4</v>
      </c>
      <c r="N36" s="21" t="n">
        <v>0</v>
      </c>
      <c r="O36" s="21" t="n">
        <v>2</v>
      </c>
      <c r="P36" s="20">
        <f>SUM(D36:O36)</f>
        <v/>
      </c>
    </row>
    <row r="37">
      <c r="A37" s="20" t="inlineStr">
        <is>
          <t>10º JUZGADO CIVIL</t>
        </is>
      </c>
      <c r="B37" s="20" t="inlineStr">
        <is>
          <t>CIVIL - CIVIL</t>
        </is>
      </c>
      <c r="C37" s="20" t="inlineStr">
        <is>
          <t>Civil-Civil</t>
        </is>
      </c>
      <c r="D37" s="21" t="n">
        <v>43</v>
      </c>
      <c r="E37" s="21" t="n">
        <v>0</v>
      </c>
      <c r="F37" s="21" t="n">
        <v>39</v>
      </c>
      <c r="G37" s="21" t="n">
        <v>48</v>
      </c>
      <c r="H37" s="21" t="n">
        <v>37</v>
      </c>
      <c r="I37" s="21" t="n">
        <v>46</v>
      </c>
      <c r="J37" s="21" t="n">
        <v>40</v>
      </c>
      <c r="K37" s="21" t="n">
        <v>46</v>
      </c>
      <c r="L37" s="21" t="n">
        <v>47</v>
      </c>
      <c r="M37" s="21" t="n">
        <v>42</v>
      </c>
      <c r="N37" s="21" t="n">
        <v>46</v>
      </c>
      <c r="O37" s="21" t="n">
        <v>34</v>
      </c>
      <c r="P37" s="20">
        <f>SUM(D37:O37)</f>
        <v/>
      </c>
    </row>
    <row r="38">
      <c r="A38" s="20" t="inlineStr">
        <is>
          <t>10º JUZGADO CIVIL</t>
        </is>
      </c>
      <c r="B38" s="20" t="inlineStr">
        <is>
          <t>CIVIL - COMERCIAL</t>
        </is>
      </c>
      <c r="C38" s="20" t="inlineStr">
        <is>
          <t>Resto</t>
        </is>
      </c>
      <c r="D38" s="21" t="n">
        <v>8</v>
      </c>
      <c r="E38" s="21" t="n">
        <v>0</v>
      </c>
      <c r="F38" s="21" t="n">
        <v>10</v>
      </c>
      <c r="G38" s="21" t="n">
        <v>8</v>
      </c>
      <c r="H38" s="21" t="n">
        <v>16</v>
      </c>
      <c r="I38" s="21" t="n">
        <v>7</v>
      </c>
      <c r="J38" s="21" t="n">
        <v>13</v>
      </c>
      <c r="K38" s="21" t="n">
        <v>11</v>
      </c>
      <c r="L38" s="21" t="n">
        <v>12</v>
      </c>
      <c r="M38" s="21" t="n">
        <v>9</v>
      </c>
      <c r="N38" s="21" t="n">
        <v>7</v>
      </c>
      <c r="O38" s="21" t="n">
        <v>5</v>
      </c>
      <c r="P38" s="20">
        <f>SUM(D38:O38)</f>
        <v/>
      </c>
    </row>
    <row r="39">
      <c r="A39" s="20" t="inlineStr">
        <is>
          <t>10º JUZGADO CIVIL</t>
        </is>
      </c>
      <c r="B39" s="20" t="inlineStr">
        <is>
          <t>CIVIL - CONSTITUCIONAL</t>
        </is>
      </c>
      <c r="C39" s="20" t="inlineStr">
        <is>
          <t>Resto</t>
        </is>
      </c>
      <c r="D39" s="21" t="n">
        <v>0</v>
      </c>
      <c r="E39" s="21" t="n">
        <v>0</v>
      </c>
      <c r="F39" s="21" t="n">
        <v>0</v>
      </c>
      <c r="G39" s="21" t="n">
        <v>0</v>
      </c>
      <c r="H39" s="21" t="n">
        <v>0</v>
      </c>
      <c r="I39" s="21" t="n">
        <v>0</v>
      </c>
      <c r="J39" s="21" t="n">
        <v>0</v>
      </c>
      <c r="K39" s="21" t="n">
        <v>0</v>
      </c>
      <c r="L39" s="21" t="n">
        <v>0</v>
      </c>
      <c r="M39" s="21" t="n">
        <v>0</v>
      </c>
      <c r="N39" s="21" t="n">
        <v>1</v>
      </c>
      <c r="O39" s="21" t="n">
        <v>0</v>
      </c>
      <c r="P39" s="20">
        <f>SUM(D39:O39)</f>
        <v/>
      </c>
    </row>
    <row r="40">
      <c r="A40" s="20" t="inlineStr">
        <is>
          <t>10º JUZGADO CIVIL</t>
        </is>
      </c>
      <c r="B40" s="20" t="inlineStr">
        <is>
          <t>CIVIL - CONTENCIOSO ADMINISTRATIVO</t>
        </is>
      </c>
      <c r="C40" s="20" t="inlineStr">
        <is>
          <t>Resto</t>
        </is>
      </c>
      <c r="D40" s="21" t="n">
        <v>1</v>
      </c>
      <c r="E40" s="21" t="n">
        <v>0</v>
      </c>
      <c r="F40" s="21" t="n">
        <v>4</v>
      </c>
      <c r="G40" s="21" t="n">
        <v>2</v>
      </c>
      <c r="H40" s="21" t="n">
        <v>2</v>
      </c>
      <c r="I40" s="21" t="n">
        <v>4</v>
      </c>
      <c r="J40" s="21" t="n">
        <v>2</v>
      </c>
      <c r="K40" s="21" t="n">
        <v>4</v>
      </c>
      <c r="L40" s="21" t="n">
        <v>1</v>
      </c>
      <c r="M40" s="21" t="n">
        <v>2</v>
      </c>
      <c r="N40" s="21" t="n">
        <v>4</v>
      </c>
      <c r="O40" s="21" t="n">
        <v>3</v>
      </c>
      <c r="P40" s="20">
        <f>SUM(D40:O40)</f>
        <v/>
      </c>
    </row>
    <row r="41">
      <c r="A41" s="20" t="inlineStr">
        <is>
          <t>1° JUZGADO CIVIL TRANSITORIO</t>
        </is>
      </c>
      <c r="B41" s="20" t="inlineStr">
        <is>
          <t>LABORAL - CONTENCIOSO ADMINISTRATIVO</t>
        </is>
      </c>
      <c r="C41" s="20" t="inlineStr">
        <is>
          <t>Resto</t>
        </is>
      </c>
      <c r="D41" s="21" t="n">
        <v>0</v>
      </c>
      <c r="E41" s="21" t="n">
        <v>0</v>
      </c>
      <c r="F41" s="21" t="n">
        <v>0</v>
      </c>
      <c r="G41" s="21" t="n">
        <v>1</v>
      </c>
      <c r="H41" s="21" t="n">
        <v>0</v>
      </c>
      <c r="I41" s="21" t="n">
        <v>0</v>
      </c>
      <c r="J41" s="21" t="n">
        <v>0</v>
      </c>
      <c r="K41" s="21" t="n">
        <v>0</v>
      </c>
      <c r="L41" s="21" t="n">
        <v>0</v>
      </c>
      <c r="M41" s="21" t="n">
        <v>0</v>
      </c>
      <c r="N41" s="21" t="n">
        <v>0</v>
      </c>
      <c r="O41" s="21" t="n">
        <v>0</v>
      </c>
      <c r="P41" s="20">
        <f>SUM(D41:O41)</f>
        <v/>
      </c>
    </row>
    <row r="42">
      <c r="A42" s="20" t="inlineStr">
        <is>
          <t>2° JUZGADO CIVIL TRANSITORIO</t>
        </is>
      </c>
      <c r="B42" s="20" t="inlineStr">
        <is>
          <t>CIVIL - CIVIL</t>
        </is>
      </c>
      <c r="C42" s="20" t="inlineStr">
        <is>
          <t>Civil-Civil</t>
        </is>
      </c>
      <c r="D42" s="21" t="n">
        <v>0</v>
      </c>
      <c r="E42" s="21" t="n">
        <v>0</v>
      </c>
      <c r="F42" s="21" t="n">
        <v>0</v>
      </c>
      <c r="G42" s="21" t="n">
        <v>0</v>
      </c>
      <c r="H42" s="21" t="n">
        <v>43</v>
      </c>
      <c r="I42" s="21" t="n">
        <v>44</v>
      </c>
      <c r="J42" s="21" t="n">
        <v>45</v>
      </c>
      <c r="K42" s="21" t="n">
        <v>48</v>
      </c>
      <c r="L42" s="21" t="n">
        <v>47</v>
      </c>
      <c r="M42" s="21" t="n">
        <v>37</v>
      </c>
      <c r="N42" s="21" t="n">
        <v>41</v>
      </c>
      <c r="O42" s="21" t="n">
        <v>38</v>
      </c>
      <c r="P42" s="20">
        <f>SUM(D42:O42)</f>
        <v/>
      </c>
    </row>
    <row r="43">
      <c r="A43" s="20" t="inlineStr">
        <is>
          <t>2° JUZGADO CIVIL TRANSITORIO</t>
        </is>
      </c>
      <c r="B43" s="20" t="inlineStr">
        <is>
          <t>CIVIL - COMERCIAL</t>
        </is>
      </c>
      <c r="C43" s="20" t="inlineStr">
        <is>
          <t>Resto</t>
        </is>
      </c>
      <c r="D43" s="21" t="n">
        <v>0</v>
      </c>
      <c r="E43" s="21" t="n">
        <v>0</v>
      </c>
      <c r="F43" s="21" t="n">
        <v>0</v>
      </c>
      <c r="G43" s="21" t="n">
        <v>0</v>
      </c>
      <c r="H43" s="21" t="n">
        <v>2</v>
      </c>
      <c r="I43" s="21" t="n">
        <v>0</v>
      </c>
      <c r="J43" s="21" t="n">
        <v>3</v>
      </c>
      <c r="K43" s="21" t="n">
        <v>0</v>
      </c>
      <c r="L43" s="21" t="n">
        <v>0</v>
      </c>
      <c r="M43" s="21" t="n">
        <v>1</v>
      </c>
      <c r="N43" s="21" t="n">
        <v>0</v>
      </c>
      <c r="O43" s="21" t="n">
        <v>1</v>
      </c>
      <c r="P43" s="20">
        <f>SUM(D43:O43)</f>
        <v/>
      </c>
    </row>
    <row r="44">
      <c r="A44" s="20" t="inlineStr">
        <is>
          <t>2° JUZGADO CIVIL TRANSITORIO</t>
        </is>
      </c>
      <c r="B44" s="20" t="inlineStr">
        <is>
          <t>CIVIL - CONTENCIOSO ADMINISTRATIVO</t>
        </is>
      </c>
      <c r="C44" s="20" t="inlineStr">
        <is>
          <t>Resto</t>
        </is>
      </c>
      <c r="D44" s="21" t="n">
        <v>0</v>
      </c>
      <c r="E44" s="21" t="n">
        <v>0</v>
      </c>
      <c r="F44" s="21" t="n">
        <v>0</v>
      </c>
      <c r="G44" s="21" t="n">
        <v>0</v>
      </c>
      <c r="H44" s="21" t="n">
        <v>5</v>
      </c>
      <c r="I44" s="21" t="n">
        <v>7</v>
      </c>
      <c r="J44" s="21" t="n">
        <v>2</v>
      </c>
      <c r="K44" s="21" t="n">
        <v>2</v>
      </c>
      <c r="L44" s="21" t="n">
        <v>2</v>
      </c>
      <c r="M44" s="21" t="n">
        <v>8</v>
      </c>
      <c r="N44" s="21" t="n">
        <v>5</v>
      </c>
      <c r="O44" s="21" t="n">
        <v>6</v>
      </c>
      <c r="P44" s="20">
        <f>SUM(D44:O44)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6" customWidth="1" min="2" max="2"/>
    <col width="11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11" customWidth="1" min="13" max="13"/>
    <col width="9" customWidth="1" min="14" max="14"/>
  </cols>
  <sheetData>
    <row r="1">
      <c r="A1" s="1" t="inlineStr">
        <is>
          <t>RESUELTOS – TRÁMITE 2026 (SIJ)</t>
        </is>
      </c>
    </row>
    <row r="2">
      <c r="A2" s="2" t="inlineStr">
        <is>
          <t>Fuente: Resueltos_Tramite_ene-set_2026_JEC_CI.xlsx</t>
        </is>
      </c>
    </row>
    <row r="3" ht="55" customHeight="1">
      <c r="A3" s="3" t="inlineStr">
        <is>
          <t>Juzgado</t>
        </is>
      </c>
      <c r="B3" s="3" t="inlineStr">
        <is>
          <t>Subespecialidad</t>
        </is>
      </c>
      <c r="C3" s="3" t="inlineStr">
        <is>
          <t>Grupo</t>
        </is>
      </c>
      <c r="D3" s="3" t="inlineStr">
        <is>
          <t>Ene</t>
        </is>
      </c>
      <c r="E3" s="3" t="inlineStr">
        <is>
          <t>Feb</t>
        </is>
      </c>
      <c r="F3" s="3" t="inlineStr">
        <is>
          <t>Mar</t>
        </is>
      </c>
      <c r="G3" s="3" t="inlineStr">
        <is>
          <t>Abr</t>
        </is>
      </c>
      <c r="H3" s="3" t="inlineStr">
        <is>
          <t>May</t>
        </is>
      </c>
      <c r="I3" s="3" t="inlineStr">
        <is>
          <t>Jun</t>
        </is>
      </c>
      <c r="J3" s="3" t="inlineStr">
        <is>
          <t>Jul</t>
        </is>
      </c>
      <c r="K3" s="3" t="inlineStr">
        <is>
          <t>Ago</t>
        </is>
      </c>
      <c r="L3" s="3" t="inlineStr">
        <is>
          <t>Set</t>
        </is>
      </c>
      <c r="M3" s="3" t="inlineStr">
        <is>
          <t>Total</t>
        </is>
      </c>
    </row>
    <row r="4">
      <c r="A4" s="20" t="inlineStr">
        <is>
          <t>1º JUZGADO CIVIL</t>
        </is>
      </c>
      <c r="B4" s="20" t="inlineStr">
        <is>
          <t>CIVIL - CIVIL</t>
        </is>
      </c>
      <c r="C4" s="20" t="inlineStr">
        <is>
          <t>Civil-Civil</t>
        </is>
      </c>
      <c r="D4" s="21" t="n">
        <v>47</v>
      </c>
      <c r="E4" s="21" t="n">
        <v>0</v>
      </c>
      <c r="F4" s="21" t="n">
        <v>43</v>
      </c>
      <c r="G4" s="21" t="n">
        <v>43</v>
      </c>
      <c r="H4" s="21" t="n">
        <v>45</v>
      </c>
      <c r="I4" s="21" t="n">
        <v>43</v>
      </c>
      <c r="J4" s="21" t="n">
        <v>48</v>
      </c>
      <c r="K4" s="21" t="n">
        <v>47</v>
      </c>
      <c r="L4" s="21" t="n">
        <v>50</v>
      </c>
      <c r="M4" s="20">
        <f>SUM(D4:L4)</f>
        <v/>
      </c>
    </row>
    <row r="5">
      <c r="A5" s="20" t="inlineStr">
        <is>
          <t>1º JUZGADO CIVIL</t>
        </is>
      </c>
      <c r="B5" s="20" t="inlineStr">
        <is>
          <t>CIVIL - COMERCIAL</t>
        </is>
      </c>
      <c r="C5" s="20" t="inlineStr">
        <is>
          <t>Resto</t>
        </is>
      </c>
      <c r="D5" s="21" t="n">
        <v>18</v>
      </c>
      <c r="E5" s="21" t="n">
        <v>0</v>
      </c>
      <c r="F5" s="21" t="n">
        <v>17</v>
      </c>
      <c r="G5" s="21" t="n">
        <v>14</v>
      </c>
      <c r="H5" s="21" t="n">
        <v>9</v>
      </c>
      <c r="I5" s="21" t="n">
        <v>14</v>
      </c>
      <c r="J5" s="21" t="n">
        <v>7</v>
      </c>
      <c r="K5" s="21" t="n">
        <v>5</v>
      </c>
      <c r="L5" s="21" t="n">
        <v>7</v>
      </c>
      <c r="M5" s="20">
        <f>SUM(D5:L5)</f>
        <v/>
      </c>
    </row>
    <row r="6">
      <c r="A6" s="20" t="inlineStr">
        <is>
          <t>1º JUZGADO CIVIL</t>
        </is>
      </c>
      <c r="B6" s="20" t="inlineStr">
        <is>
          <t>FAMILIA - FAMILIA CIVIL</t>
        </is>
      </c>
      <c r="C6" s="20" t="inlineStr">
        <is>
          <t>Resto</t>
        </is>
      </c>
      <c r="D6" s="21" t="n">
        <v>0</v>
      </c>
      <c r="E6" s="21" t="n">
        <v>0</v>
      </c>
      <c r="F6" s="21" t="n">
        <v>1</v>
      </c>
      <c r="G6" s="21" t="n">
        <v>0</v>
      </c>
      <c r="H6" s="21" t="n">
        <v>0</v>
      </c>
      <c r="I6" s="21" t="n">
        <v>0</v>
      </c>
      <c r="J6" s="21" t="n">
        <v>0</v>
      </c>
      <c r="K6" s="21" t="n">
        <v>0</v>
      </c>
      <c r="L6" s="21" t="n">
        <v>0</v>
      </c>
      <c r="M6" s="20">
        <f>SUM(D6:L6)</f>
        <v/>
      </c>
    </row>
    <row r="7">
      <c r="A7" s="20" t="inlineStr">
        <is>
          <t>1º JUZGADO CIVIL</t>
        </is>
      </c>
      <c r="B7" s="20" t="inlineStr">
        <is>
          <t>CIVIL - CONTENCIOSO ADMINISTRATIVO</t>
        </is>
      </c>
      <c r="C7" s="20" t="inlineStr">
        <is>
          <t>Resto</t>
        </is>
      </c>
      <c r="D7" s="21" t="n">
        <v>7</v>
      </c>
      <c r="E7" s="21" t="n">
        <v>0</v>
      </c>
      <c r="F7" s="21" t="n">
        <v>4</v>
      </c>
      <c r="G7" s="21" t="n">
        <v>3</v>
      </c>
      <c r="H7" s="21" t="n">
        <v>6</v>
      </c>
      <c r="I7" s="21" t="n">
        <v>0</v>
      </c>
      <c r="J7" s="21" t="n">
        <v>5</v>
      </c>
      <c r="K7" s="21" t="n">
        <v>5</v>
      </c>
      <c r="L7" s="21" t="n">
        <v>1</v>
      </c>
      <c r="M7" s="20">
        <f>SUM(D7:L7)</f>
        <v/>
      </c>
    </row>
    <row r="8">
      <c r="A8" s="20" t="inlineStr">
        <is>
          <t>2º JUZGADO CIVIL</t>
        </is>
      </c>
      <c r="B8" s="20" t="inlineStr">
        <is>
          <t>CIVIL - CIVIL</t>
        </is>
      </c>
      <c r="C8" s="20" t="inlineStr">
        <is>
          <t>Civil-Civil</t>
        </is>
      </c>
      <c r="D8" s="21" t="n">
        <v>38</v>
      </c>
      <c r="E8" s="21" t="n">
        <v>0</v>
      </c>
      <c r="F8" s="21" t="n">
        <v>39</v>
      </c>
      <c r="G8" s="21" t="n">
        <v>40</v>
      </c>
      <c r="H8" s="21" t="n">
        <v>40</v>
      </c>
      <c r="I8" s="21" t="n">
        <v>40</v>
      </c>
      <c r="J8" s="21" t="n">
        <v>24</v>
      </c>
      <c r="K8" s="21" t="n">
        <v>24</v>
      </c>
      <c r="L8" s="21" t="n">
        <v>37</v>
      </c>
      <c r="M8" s="20">
        <f>SUM(D8:L8)</f>
        <v/>
      </c>
    </row>
    <row r="9">
      <c r="A9" s="20" t="inlineStr">
        <is>
          <t>2º JUZGADO CIVIL</t>
        </is>
      </c>
      <c r="B9" s="20" t="inlineStr">
        <is>
          <t>CIVIL - COMERCIAL</t>
        </is>
      </c>
      <c r="C9" s="20" t="inlineStr">
        <is>
          <t>Resto</t>
        </is>
      </c>
      <c r="D9" s="21" t="n">
        <v>8</v>
      </c>
      <c r="E9" s="21" t="n">
        <v>0</v>
      </c>
      <c r="F9" s="21" t="n">
        <v>10</v>
      </c>
      <c r="G9" s="21" t="n">
        <v>12</v>
      </c>
      <c r="H9" s="21" t="n">
        <v>12</v>
      </c>
      <c r="I9" s="21" t="n">
        <v>9</v>
      </c>
      <c r="J9" s="21" t="n">
        <v>17</v>
      </c>
      <c r="K9" s="21" t="n">
        <v>7</v>
      </c>
      <c r="L9" s="21" t="n">
        <v>17</v>
      </c>
      <c r="M9" s="20">
        <f>SUM(D9:L9)</f>
        <v/>
      </c>
    </row>
    <row r="10">
      <c r="A10" s="20" t="inlineStr">
        <is>
          <t>2º JUZGADO CIVIL</t>
        </is>
      </c>
      <c r="B10" s="20" t="inlineStr">
        <is>
          <t>CIVIL - CONSTITUCIONAL</t>
        </is>
      </c>
      <c r="C10" s="20" t="inlineStr">
        <is>
          <t>Resto</t>
        </is>
      </c>
      <c r="D10" s="21" t="n">
        <v>0</v>
      </c>
      <c r="E10" s="21" t="n">
        <v>0</v>
      </c>
      <c r="F10" s="21" t="n">
        <v>0</v>
      </c>
      <c r="G10" s="21" t="n">
        <v>0</v>
      </c>
      <c r="H10" s="21" t="n">
        <v>0</v>
      </c>
      <c r="I10" s="21" t="n">
        <v>0</v>
      </c>
      <c r="J10" s="21" t="n">
        <v>0</v>
      </c>
      <c r="K10" s="21" t="n">
        <v>0</v>
      </c>
      <c r="L10" s="21" t="n">
        <v>1</v>
      </c>
      <c r="M10" s="20">
        <f>SUM(D10:L10)</f>
        <v/>
      </c>
    </row>
    <row r="11">
      <c r="A11" s="20" t="inlineStr">
        <is>
          <t>2º JUZGADO CIVIL</t>
        </is>
      </c>
      <c r="B11" s="20" t="inlineStr">
        <is>
          <t>CIVIL - CONTENCIOSO ADMINISTRATIVO</t>
        </is>
      </c>
      <c r="C11" s="20" t="inlineStr">
        <is>
          <t>Resto</t>
        </is>
      </c>
      <c r="D11" s="21" t="n">
        <v>0</v>
      </c>
      <c r="E11" s="21" t="n">
        <v>0</v>
      </c>
      <c r="F11" s="21" t="n">
        <v>4</v>
      </c>
      <c r="G11" s="21" t="n">
        <v>2</v>
      </c>
      <c r="H11" s="21" t="n">
        <v>5</v>
      </c>
      <c r="I11" s="21" t="n">
        <v>1</v>
      </c>
      <c r="J11" s="21" t="n">
        <v>1</v>
      </c>
      <c r="K11" s="21" t="n">
        <v>2</v>
      </c>
      <c r="L11" s="21" t="n">
        <v>7</v>
      </c>
      <c r="M11" s="20">
        <f>SUM(D11:L11)</f>
        <v/>
      </c>
    </row>
    <row r="12">
      <c r="A12" s="20" t="inlineStr">
        <is>
          <t>3º JUZGADO CIVIL</t>
        </is>
      </c>
      <c r="B12" s="20" t="inlineStr">
        <is>
          <t>CIVIL - CIVIL</t>
        </is>
      </c>
      <c r="C12" s="20" t="inlineStr">
        <is>
          <t>Civil-Civil</t>
        </is>
      </c>
      <c r="D12" s="21" t="n">
        <v>68</v>
      </c>
      <c r="E12" s="21" t="n">
        <v>0</v>
      </c>
      <c r="F12" s="21" t="n">
        <v>44</v>
      </c>
      <c r="G12" s="21" t="n">
        <v>62</v>
      </c>
      <c r="H12" s="21" t="n">
        <v>49</v>
      </c>
      <c r="I12" s="21" t="n">
        <v>41</v>
      </c>
      <c r="J12" s="21" t="n">
        <v>55</v>
      </c>
      <c r="K12" s="21" t="n">
        <v>44</v>
      </c>
      <c r="L12" s="21" t="n">
        <v>51</v>
      </c>
      <c r="M12" s="20">
        <f>SUM(D12:L12)</f>
        <v/>
      </c>
    </row>
    <row r="13">
      <c r="A13" s="20" t="inlineStr">
        <is>
          <t>3º JUZGADO CIVIL</t>
        </is>
      </c>
      <c r="B13" s="20" t="inlineStr">
        <is>
          <t>CIVIL - COMERCIAL</t>
        </is>
      </c>
      <c r="C13" s="20" t="inlineStr">
        <is>
          <t>Resto</t>
        </is>
      </c>
      <c r="D13" s="21" t="n">
        <v>20</v>
      </c>
      <c r="E13" s="21" t="n">
        <v>0</v>
      </c>
      <c r="F13" s="21" t="n">
        <v>12</v>
      </c>
      <c r="G13" s="21" t="n">
        <v>10</v>
      </c>
      <c r="H13" s="21" t="n">
        <v>12</v>
      </c>
      <c r="I13" s="21" t="n">
        <v>7</v>
      </c>
      <c r="J13" s="21" t="n">
        <v>2</v>
      </c>
      <c r="K13" s="21" t="n">
        <v>6</v>
      </c>
      <c r="L13" s="21" t="n">
        <v>10</v>
      </c>
      <c r="M13" s="20">
        <f>SUM(D13:L13)</f>
        <v/>
      </c>
    </row>
    <row r="14">
      <c r="A14" s="20" t="inlineStr">
        <is>
          <t>3º JUZGADO CIVIL</t>
        </is>
      </c>
      <c r="B14" s="20" t="inlineStr">
        <is>
          <t>CIVIL - CONTENCIOSO ADMINISTRATIVO</t>
        </is>
      </c>
      <c r="C14" s="20" t="inlineStr">
        <is>
          <t>Resto</t>
        </is>
      </c>
      <c r="D14" s="21" t="n">
        <v>2</v>
      </c>
      <c r="E14" s="21" t="n">
        <v>0</v>
      </c>
      <c r="F14" s="21" t="n">
        <v>4</v>
      </c>
      <c r="G14" s="21" t="n">
        <v>5</v>
      </c>
      <c r="H14" s="21" t="n">
        <v>1</v>
      </c>
      <c r="I14" s="21" t="n">
        <v>3</v>
      </c>
      <c r="J14" s="21" t="n">
        <v>4</v>
      </c>
      <c r="K14" s="21" t="n">
        <v>2</v>
      </c>
      <c r="L14" s="21" t="n">
        <v>1</v>
      </c>
      <c r="M14" s="20">
        <f>SUM(D14:L14)</f>
        <v/>
      </c>
    </row>
    <row r="15">
      <c r="A15" s="20" t="inlineStr">
        <is>
          <t>4º JUZGADO CIVIL</t>
        </is>
      </c>
      <c r="B15" s="20" t="inlineStr">
        <is>
          <t>CIVIL - CIVIL</t>
        </is>
      </c>
      <c r="C15" s="20" t="inlineStr">
        <is>
          <t>Civil-Civil</t>
        </is>
      </c>
      <c r="D15" s="21" t="n">
        <v>22</v>
      </c>
      <c r="E15" s="21" t="n">
        <v>13</v>
      </c>
      <c r="F15" s="21" t="n">
        <v>29</v>
      </c>
      <c r="G15" s="21" t="n">
        <v>41</v>
      </c>
      <c r="H15" s="21" t="n">
        <v>40</v>
      </c>
      <c r="I15" s="21" t="n">
        <v>41</v>
      </c>
      <c r="J15" s="21" t="n">
        <v>47</v>
      </c>
      <c r="K15" s="21" t="n">
        <v>29</v>
      </c>
      <c r="L15" s="21" t="n">
        <v>45</v>
      </c>
      <c r="M15" s="20">
        <f>SUM(D15:L15)</f>
        <v/>
      </c>
    </row>
    <row r="16">
      <c r="A16" s="20" t="inlineStr">
        <is>
          <t>4º JUZGADO CIVIL</t>
        </is>
      </c>
      <c r="B16" s="20" t="inlineStr">
        <is>
          <t>CIVIL - COMERCIAL</t>
        </is>
      </c>
      <c r="C16" s="20" t="inlineStr">
        <is>
          <t>Resto</t>
        </is>
      </c>
      <c r="D16" s="21" t="n">
        <v>16</v>
      </c>
      <c r="E16" s="21" t="n">
        <v>1</v>
      </c>
      <c r="F16" s="21" t="n">
        <v>12</v>
      </c>
      <c r="G16" s="21" t="n">
        <v>19</v>
      </c>
      <c r="H16" s="21" t="n">
        <v>12</v>
      </c>
      <c r="I16" s="21" t="n">
        <v>13</v>
      </c>
      <c r="J16" s="21" t="n">
        <v>8</v>
      </c>
      <c r="K16" s="21" t="n">
        <v>8</v>
      </c>
      <c r="L16" s="21" t="n">
        <v>10</v>
      </c>
      <c r="M16" s="20">
        <f>SUM(D16:L16)</f>
        <v/>
      </c>
    </row>
    <row r="17">
      <c r="A17" s="20" t="inlineStr">
        <is>
          <t>4º JUZGADO CIVIL</t>
        </is>
      </c>
      <c r="B17" s="20" t="inlineStr">
        <is>
          <t>CIVIL - CONTENCIOSO ADMINISTRATIVO</t>
        </is>
      </c>
      <c r="C17" s="20" t="inlineStr">
        <is>
          <t>Resto</t>
        </is>
      </c>
      <c r="D17" s="21" t="n">
        <v>1</v>
      </c>
      <c r="E17" s="21" t="n">
        <v>0</v>
      </c>
      <c r="F17" s="21" t="n">
        <v>0</v>
      </c>
      <c r="G17" s="21" t="n">
        <v>2</v>
      </c>
      <c r="H17" s="21" t="n">
        <v>1</v>
      </c>
      <c r="I17" s="21" t="n">
        <v>2</v>
      </c>
      <c r="J17" s="21" t="n">
        <v>6</v>
      </c>
      <c r="K17" s="21" t="n">
        <v>4</v>
      </c>
      <c r="L17" s="21" t="n">
        <v>4</v>
      </c>
      <c r="M17" s="20">
        <f>SUM(D17:L17)</f>
        <v/>
      </c>
    </row>
    <row r="18">
      <c r="A18" s="20" t="inlineStr">
        <is>
          <t>5º JUZGADO CIVIL</t>
        </is>
      </c>
      <c r="B18" s="20" t="inlineStr">
        <is>
          <t>CIVIL - CIVIL</t>
        </is>
      </c>
      <c r="C18" s="20" t="inlineStr">
        <is>
          <t>Civil-Civil</t>
        </is>
      </c>
      <c r="D18" s="21" t="n">
        <v>32</v>
      </c>
      <c r="E18" s="21" t="n">
        <v>0</v>
      </c>
      <c r="F18" s="21" t="n">
        <v>37</v>
      </c>
      <c r="G18" s="21" t="n">
        <v>32</v>
      </c>
      <c r="H18" s="21" t="n">
        <v>44</v>
      </c>
      <c r="I18" s="21" t="n">
        <v>49</v>
      </c>
      <c r="J18" s="21" t="n">
        <v>47</v>
      </c>
      <c r="K18" s="21" t="n">
        <v>38</v>
      </c>
      <c r="L18" s="21" t="n">
        <v>20</v>
      </c>
      <c r="M18" s="20">
        <f>SUM(D18:L18)</f>
        <v/>
      </c>
    </row>
    <row r="19">
      <c r="A19" s="20" t="inlineStr">
        <is>
          <t>5º JUZGADO CIVIL</t>
        </is>
      </c>
      <c r="B19" s="20" t="inlineStr">
        <is>
          <t>CIVIL - COMERCIAL</t>
        </is>
      </c>
      <c r="C19" s="20" t="inlineStr">
        <is>
          <t>Resto</t>
        </is>
      </c>
      <c r="D19" s="21" t="n">
        <v>13</v>
      </c>
      <c r="E19" s="21" t="n">
        <v>0</v>
      </c>
      <c r="F19" s="21" t="n">
        <v>17</v>
      </c>
      <c r="G19" s="21" t="n">
        <v>15</v>
      </c>
      <c r="H19" s="21" t="n">
        <v>9</v>
      </c>
      <c r="I19" s="21" t="n">
        <v>7</v>
      </c>
      <c r="J19" s="21" t="n">
        <v>13</v>
      </c>
      <c r="K19" s="21" t="n">
        <v>12</v>
      </c>
      <c r="L19" s="21" t="n">
        <v>0</v>
      </c>
      <c r="M19" s="20">
        <f>SUM(D19:L19)</f>
        <v/>
      </c>
    </row>
    <row r="20">
      <c r="A20" s="20" t="inlineStr">
        <is>
          <t>5º JUZGADO CIVIL</t>
        </is>
      </c>
      <c r="B20" s="20" t="inlineStr">
        <is>
          <t>CIVIL - CONTENCIOSO ADMINISTRATIVO</t>
        </is>
      </c>
      <c r="C20" s="20" t="inlineStr">
        <is>
          <t>Resto</t>
        </is>
      </c>
      <c r="D20" s="21" t="n">
        <v>2</v>
      </c>
      <c r="E20" s="21" t="n">
        <v>0</v>
      </c>
      <c r="F20" s="21" t="n">
        <v>2</v>
      </c>
      <c r="G20" s="21" t="n">
        <v>3</v>
      </c>
      <c r="H20" s="21" t="n">
        <v>4</v>
      </c>
      <c r="I20" s="21" t="n">
        <v>2</v>
      </c>
      <c r="J20" s="21" t="n">
        <v>0</v>
      </c>
      <c r="K20" s="21" t="n">
        <v>7</v>
      </c>
      <c r="L20" s="21" t="n">
        <v>1</v>
      </c>
      <c r="M20" s="20">
        <f>SUM(D20:L20)</f>
        <v/>
      </c>
    </row>
    <row r="21">
      <c r="A21" s="20" t="inlineStr">
        <is>
          <t>6º JUZGADO CIVIL</t>
        </is>
      </c>
      <c r="B21" s="20" t="inlineStr">
        <is>
          <t>CIVIL - CIVIL</t>
        </is>
      </c>
      <c r="C21" s="20" t="inlineStr">
        <is>
          <t>Civil-Civil</t>
        </is>
      </c>
      <c r="D21" s="21" t="n">
        <v>39</v>
      </c>
      <c r="E21" s="21" t="n">
        <v>0</v>
      </c>
      <c r="F21" s="21" t="n">
        <v>51</v>
      </c>
      <c r="G21" s="21" t="n">
        <v>43</v>
      </c>
      <c r="H21" s="21" t="n">
        <v>43</v>
      </c>
      <c r="I21" s="21" t="n">
        <v>35</v>
      </c>
      <c r="J21" s="21" t="n">
        <v>27</v>
      </c>
      <c r="K21" s="21" t="n">
        <v>50</v>
      </c>
      <c r="L21" s="21" t="n">
        <v>44</v>
      </c>
      <c r="M21" s="20">
        <f>SUM(D21:L21)</f>
        <v/>
      </c>
    </row>
    <row r="22">
      <c r="A22" s="20" t="inlineStr">
        <is>
          <t>6º JUZGADO CIVIL</t>
        </is>
      </c>
      <c r="B22" s="20" t="inlineStr">
        <is>
          <t>CIVIL - COMERCIAL</t>
        </is>
      </c>
      <c r="C22" s="20" t="inlineStr">
        <is>
          <t>Resto</t>
        </is>
      </c>
      <c r="D22" s="21" t="n">
        <v>9</v>
      </c>
      <c r="E22" s="21" t="n">
        <v>0</v>
      </c>
      <c r="F22" s="21" t="n">
        <v>15</v>
      </c>
      <c r="G22" s="21" t="n">
        <v>9</v>
      </c>
      <c r="H22" s="21" t="n">
        <v>11</v>
      </c>
      <c r="I22" s="21" t="n">
        <v>10</v>
      </c>
      <c r="J22" s="21" t="n">
        <v>9</v>
      </c>
      <c r="K22" s="21" t="n">
        <v>3</v>
      </c>
      <c r="L22" s="21" t="n">
        <v>13</v>
      </c>
      <c r="M22" s="20">
        <f>SUM(D22:L22)</f>
        <v/>
      </c>
    </row>
    <row r="23">
      <c r="A23" s="20" t="inlineStr">
        <is>
          <t>6º JUZGADO CIVIL</t>
        </is>
      </c>
      <c r="B23" s="20" t="inlineStr">
        <is>
          <t>CIVIL - CONTENCIOSO ADMINISTRATIVO</t>
        </is>
      </c>
      <c r="C23" s="20" t="inlineStr">
        <is>
          <t>Resto</t>
        </is>
      </c>
      <c r="D23" s="21" t="n">
        <v>6</v>
      </c>
      <c r="E23" s="21" t="n">
        <v>0</v>
      </c>
      <c r="F23" s="21" t="n">
        <v>1</v>
      </c>
      <c r="G23" s="21" t="n">
        <v>6</v>
      </c>
      <c r="H23" s="21" t="n">
        <v>2</v>
      </c>
      <c r="I23" s="21" t="n">
        <v>5</v>
      </c>
      <c r="J23" s="21" t="n">
        <v>4</v>
      </c>
      <c r="K23" s="21" t="n">
        <v>2</v>
      </c>
      <c r="L23" s="21" t="n">
        <v>3</v>
      </c>
      <c r="M23" s="20">
        <f>SUM(D23:L23)</f>
        <v/>
      </c>
    </row>
    <row r="24">
      <c r="A24" s="20" t="inlineStr">
        <is>
          <t>7º JUZGADO CIVIL</t>
        </is>
      </c>
      <c r="B24" s="20" t="inlineStr">
        <is>
          <t>CIVIL - CIVIL</t>
        </is>
      </c>
      <c r="C24" s="20" t="inlineStr">
        <is>
          <t>Civil-Civil</t>
        </is>
      </c>
      <c r="D24" s="21" t="n">
        <v>36</v>
      </c>
      <c r="E24" s="21" t="n">
        <v>0</v>
      </c>
      <c r="F24" s="21" t="n">
        <v>44</v>
      </c>
      <c r="G24" s="21" t="n">
        <v>40</v>
      </c>
      <c r="H24" s="21" t="n">
        <v>40</v>
      </c>
      <c r="I24" s="21" t="n">
        <v>40</v>
      </c>
      <c r="J24" s="21" t="n">
        <v>52</v>
      </c>
      <c r="K24" s="21" t="n">
        <v>21</v>
      </c>
      <c r="L24" s="21" t="n">
        <v>24</v>
      </c>
      <c r="M24" s="20">
        <f>SUM(D24:L24)</f>
        <v/>
      </c>
    </row>
    <row r="25">
      <c r="A25" s="20" t="inlineStr">
        <is>
          <t>7º JUZGADO CIVIL</t>
        </is>
      </c>
      <c r="B25" s="20" t="inlineStr">
        <is>
          <t>CIVIL - COMERCIAL</t>
        </is>
      </c>
      <c r="C25" s="20" t="inlineStr">
        <is>
          <t>Resto</t>
        </is>
      </c>
      <c r="D25" s="21" t="n">
        <v>11</v>
      </c>
      <c r="E25" s="21" t="n">
        <v>0</v>
      </c>
      <c r="F25" s="21" t="n">
        <v>9</v>
      </c>
      <c r="G25" s="21" t="n">
        <v>10</v>
      </c>
      <c r="H25" s="21" t="n">
        <v>6</v>
      </c>
      <c r="I25" s="21" t="n">
        <v>10</v>
      </c>
      <c r="J25" s="21" t="n">
        <v>6</v>
      </c>
      <c r="K25" s="21" t="n">
        <v>6</v>
      </c>
      <c r="L25" s="21" t="n">
        <v>6</v>
      </c>
      <c r="M25" s="20">
        <f>SUM(D25:L25)</f>
        <v/>
      </c>
    </row>
    <row r="26">
      <c r="A26" s="20" t="inlineStr">
        <is>
          <t>7º JUZGADO CIVIL</t>
        </is>
      </c>
      <c r="B26" s="20" t="inlineStr">
        <is>
          <t>CIVIL - CONTENCIOSO ADMINISTRATIVO</t>
        </is>
      </c>
      <c r="C26" s="20" t="inlineStr">
        <is>
          <t>Resto</t>
        </is>
      </c>
      <c r="D26" s="21" t="n">
        <v>1</v>
      </c>
      <c r="E26" s="21" t="n">
        <v>0</v>
      </c>
      <c r="F26" s="21" t="n">
        <v>1</v>
      </c>
      <c r="G26" s="21" t="n">
        <v>4</v>
      </c>
      <c r="H26" s="21" t="n">
        <v>3</v>
      </c>
      <c r="I26" s="21" t="n">
        <v>2</v>
      </c>
      <c r="J26" s="21" t="n">
        <v>1</v>
      </c>
      <c r="K26" s="21" t="n">
        <v>4</v>
      </c>
      <c r="L26" s="21" t="n">
        <v>0</v>
      </c>
      <c r="M26" s="20">
        <f>SUM(D26:L26)</f>
        <v/>
      </c>
    </row>
    <row r="27">
      <c r="A27" s="20" t="inlineStr">
        <is>
          <t>8º JUZGADO CIVIL</t>
        </is>
      </c>
      <c r="B27" s="20" t="inlineStr">
        <is>
          <t>CIVIL - CIVIL</t>
        </is>
      </c>
      <c r="C27" s="20" t="inlineStr">
        <is>
          <t>Civil-Civil</t>
        </is>
      </c>
      <c r="D27" s="21" t="n">
        <v>37</v>
      </c>
      <c r="E27" s="21" t="n">
        <v>0</v>
      </c>
      <c r="F27" s="21" t="n">
        <v>40</v>
      </c>
      <c r="G27" s="21" t="n">
        <v>45</v>
      </c>
      <c r="H27" s="21" t="n">
        <v>58</v>
      </c>
      <c r="I27" s="21" t="n">
        <v>38</v>
      </c>
      <c r="J27" s="21" t="n">
        <v>35</v>
      </c>
      <c r="K27" s="21" t="n">
        <v>39</v>
      </c>
      <c r="L27" s="21" t="n">
        <v>39</v>
      </c>
      <c r="M27" s="20">
        <f>SUM(D27:L27)</f>
        <v/>
      </c>
    </row>
    <row r="28">
      <c r="A28" s="20" t="inlineStr">
        <is>
          <t>8º JUZGADO CIVIL</t>
        </is>
      </c>
      <c r="B28" s="20" t="inlineStr">
        <is>
          <t>CIVIL - COMERCIAL</t>
        </is>
      </c>
      <c r="C28" s="20" t="inlineStr">
        <is>
          <t>Resto</t>
        </is>
      </c>
      <c r="D28" s="21" t="n">
        <v>4</v>
      </c>
      <c r="E28" s="21" t="n">
        <v>0</v>
      </c>
      <c r="F28" s="21" t="n">
        <v>20</v>
      </c>
      <c r="G28" s="21" t="n">
        <v>14</v>
      </c>
      <c r="H28" s="21" t="n">
        <v>9</v>
      </c>
      <c r="I28" s="21" t="n">
        <v>11</v>
      </c>
      <c r="J28" s="21" t="n">
        <v>11</v>
      </c>
      <c r="K28" s="21" t="n">
        <v>3</v>
      </c>
      <c r="L28" s="21" t="n">
        <v>3</v>
      </c>
      <c r="M28" s="20">
        <f>SUM(D28:L28)</f>
        <v/>
      </c>
    </row>
    <row r="29">
      <c r="A29" s="20" t="inlineStr">
        <is>
          <t>8º JUZGADO CIVIL</t>
        </is>
      </c>
      <c r="B29" s="20" t="inlineStr">
        <is>
          <t>CIVIL - CONTENCIOSO ADMINISTRATIVO</t>
        </is>
      </c>
      <c r="C29" s="20" t="inlineStr">
        <is>
          <t>Resto</t>
        </is>
      </c>
      <c r="D29" s="21" t="n">
        <v>2</v>
      </c>
      <c r="E29" s="21" t="n">
        <v>0</v>
      </c>
      <c r="F29" s="21" t="n">
        <v>5</v>
      </c>
      <c r="G29" s="21" t="n">
        <v>2</v>
      </c>
      <c r="H29" s="21" t="n">
        <v>1</v>
      </c>
      <c r="I29" s="21" t="n">
        <v>5</v>
      </c>
      <c r="J29" s="21" t="n">
        <v>3</v>
      </c>
      <c r="K29" s="21" t="n">
        <v>2</v>
      </c>
      <c r="L29" s="21" t="n">
        <v>0</v>
      </c>
      <c r="M29" s="20">
        <f>SUM(D29:L29)</f>
        <v/>
      </c>
    </row>
    <row r="30">
      <c r="A30" s="20" t="inlineStr">
        <is>
          <t>9º JUZGADO CIVIL</t>
        </is>
      </c>
      <c r="B30" s="20" t="inlineStr">
        <is>
          <t>CIVIL - CIVIL</t>
        </is>
      </c>
      <c r="C30" s="20" t="inlineStr">
        <is>
          <t>Civil-Civil</t>
        </is>
      </c>
      <c r="D30" s="21" t="n">
        <v>44</v>
      </c>
      <c r="E30" s="21" t="n">
        <v>0</v>
      </c>
      <c r="F30" s="21" t="n">
        <v>44</v>
      </c>
      <c r="G30" s="21" t="n">
        <v>47</v>
      </c>
      <c r="H30" s="21" t="n">
        <v>41</v>
      </c>
      <c r="I30" s="21" t="n">
        <v>41</v>
      </c>
      <c r="J30" s="21" t="n">
        <v>28</v>
      </c>
      <c r="K30" s="21" t="n">
        <v>48</v>
      </c>
      <c r="L30" s="21" t="n">
        <v>39</v>
      </c>
      <c r="M30" s="20">
        <f>SUM(D30:L30)</f>
        <v/>
      </c>
    </row>
    <row r="31">
      <c r="A31" s="20" t="inlineStr">
        <is>
          <t>9º JUZGADO CIVIL</t>
        </is>
      </c>
      <c r="B31" s="20" t="inlineStr">
        <is>
          <t>CIVIL - COMERCIAL</t>
        </is>
      </c>
      <c r="C31" s="20" t="inlineStr">
        <is>
          <t>Resto</t>
        </is>
      </c>
      <c r="D31" s="21" t="n">
        <v>18</v>
      </c>
      <c r="E31" s="21" t="n">
        <v>0</v>
      </c>
      <c r="F31" s="21" t="n">
        <v>16</v>
      </c>
      <c r="G31" s="21" t="n">
        <v>8</v>
      </c>
      <c r="H31" s="21" t="n">
        <v>9</v>
      </c>
      <c r="I31" s="21" t="n">
        <v>11</v>
      </c>
      <c r="J31" s="21" t="n">
        <v>3</v>
      </c>
      <c r="K31" s="21" t="n">
        <v>8</v>
      </c>
      <c r="L31" s="21" t="n">
        <v>14</v>
      </c>
      <c r="M31" s="20">
        <f>SUM(D31:L31)</f>
        <v/>
      </c>
    </row>
    <row r="32">
      <c r="A32" s="20" t="inlineStr">
        <is>
          <t>9º JUZGADO CIVIL</t>
        </is>
      </c>
      <c r="B32" s="20" t="inlineStr">
        <is>
          <t>CIVIL - CONTENCIOSO ADMINISTRATIVO</t>
        </is>
      </c>
      <c r="C32" s="20" t="inlineStr">
        <is>
          <t>Resto</t>
        </is>
      </c>
      <c r="D32" s="21" t="n">
        <v>6</v>
      </c>
      <c r="E32" s="21" t="n">
        <v>0</v>
      </c>
      <c r="F32" s="21" t="n">
        <v>0</v>
      </c>
      <c r="G32" s="21" t="n">
        <v>3</v>
      </c>
      <c r="H32" s="21" t="n">
        <v>4</v>
      </c>
      <c r="I32" s="21" t="n">
        <v>4</v>
      </c>
      <c r="J32" s="21" t="n">
        <v>3</v>
      </c>
      <c r="K32" s="21" t="n">
        <v>4</v>
      </c>
      <c r="L32" s="21" t="n">
        <v>1</v>
      </c>
      <c r="M32" s="20">
        <f>SUM(D32:L32)</f>
        <v/>
      </c>
    </row>
    <row r="33">
      <c r="A33" s="20" t="inlineStr">
        <is>
          <t>9º JUZGADO CIVIL</t>
        </is>
      </c>
      <c r="B33" s="20" t="inlineStr">
        <is>
          <t>LABORAL - CONTENCIOSO ADMINISTRATIVO</t>
        </is>
      </c>
      <c r="C33" s="20" t="inlineStr">
        <is>
          <t>Resto</t>
        </is>
      </c>
      <c r="D33" s="21" t="n">
        <v>0</v>
      </c>
      <c r="E33" s="21" t="n">
        <v>0</v>
      </c>
      <c r="F33" s="21" t="n">
        <v>0</v>
      </c>
      <c r="G33" s="21" t="n">
        <v>0</v>
      </c>
      <c r="H33" s="21" t="n">
        <v>0</v>
      </c>
      <c r="I33" s="21" t="n">
        <v>0</v>
      </c>
      <c r="J33" s="21" t="n">
        <v>0</v>
      </c>
      <c r="K33" s="21" t="n">
        <v>1</v>
      </c>
      <c r="L33" s="21" t="n">
        <v>0</v>
      </c>
      <c r="M33" s="20">
        <f>SUM(D33:L33)</f>
        <v/>
      </c>
    </row>
    <row r="34">
      <c r="A34" s="20" t="inlineStr">
        <is>
          <t>10º JUZGADO CIVIL</t>
        </is>
      </c>
      <c r="B34" s="20" t="inlineStr">
        <is>
          <t>CIVIL - CIVIL</t>
        </is>
      </c>
      <c r="C34" s="20" t="inlineStr">
        <is>
          <t>Civil-Civil</t>
        </is>
      </c>
      <c r="D34" s="21" t="n">
        <v>53</v>
      </c>
      <c r="E34" s="21" t="n">
        <v>0</v>
      </c>
      <c r="F34" s="21" t="n">
        <v>45</v>
      </c>
      <c r="G34" s="21" t="n">
        <v>42</v>
      </c>
      <c r="H34" s="21" t="n">
        <v>48</v>
      </c>
      <c r="I34" s="21" t="n">
        <v>40</v>
      </c>
      <c r="J34" s="21" t="n">
        <v>45</v>
      </c>
      <c r="K34" s="21" t="n">
        <v>44</v>
      </c>
      <c r="L34" s="21" t="n">
        <v>38</v>
      </c>
      <c r="M34" s="20">
        <f>SUM(D34:L34)</f>
        <v/>
      </c>
    </row>
    <row r="35">
      <c r="A35" s="20" t="inlineStr">
        <is>
          <t>10º JUZGADO CIVIL</t>
        </is>
      </c>
      <c r="B35" s="20" t="inlineStr">
        <is>
          <t>CIVIL - COMERCIAL</t>
        </is>
      </c>
      <c r="C35" s="20" t="inlineStr">
        <is>
          <t>Resto</t>
        </is>
      </c>
      <c r="D35" s="21" t="n">
        <v>13</v>
      </c>
      <c r="E35" s="21" t="n">
        <v>0</v>
      </c>
      <c r="F35" s="21" t="n">
        <v>14</v>
      </c>
      <c r="G35" s="21" t="n">
        <v>10</v>
      </c>
      <c r="H35" s="21" t="n">
        <v>7</v>
      </c>
      <c r="I35" s="21" t="n">
        <v>13</v>
      </c>
      <c r="J35" s="21" t="n">
        <v>8</v>
      </c>
      <c r="K35" s="21" t="n">
        <v>10</v>
      </c>
      <c r="L35" s="21" t="n">
        <v>9</v>
      </c>
      <c r="M35" s="20">
        <f>SUM(D35:L35)</f>
        <v/>
      </c>
    </row>
    <row r="36">
      <c r="A36" s="20" t="inlineStr">
        <is>
          <t>10º JUZGADO CIVIL</t>
        </is>
      </c>
      <c r="B36" s="20" t="inlineStr">
        <is>
          <t>CIVIL - CONSTITUCIONAL</t>
        </is>
      </c>
      <c r="C36" s="20" t="inlineStr">
        <is>
          <t>Resto</t>
        </is>
      </c>
      <c r="D36" s="21" t="n">
        <v>1</v>
      </c>
      <c r="E36" s="21" t="n">
        <v>0</v>
      </c>
      <c r="F36" s="21" t="n">
        <v>0</v>
      </c>
      <c r="G36" s="21" t="n">
        <v>0</v>
      </c>
      <c r="H36" s="21" t="n">
        <v>0</v>
      </c>
      <c r="I36" s="21" t="n">
        <v>0</v>
      </c>
      <c r="J36" s="21" t="n">
        <v>0</v>
      </c>
      <c r="K36" s="21" t="n">
        <v>0</v>
      </c>
      <c r="L36" s="21" t="n">
        <v>0</v>
      </c>
      <c r="M36" s="20">
        <f>SUM(D36:L36)</f>
        <v/>
      </c>
    </row>
    <row r="37">
      <c r="A37" s="20" t="inlineStr">
        <is>
          <t>10º JUZGADO CIVIL</t>
        </is>
      </c>
      <c r="B37" s="20" t="inlineStr">
        <is>
          <t>CIVIL - CONTENCIOSO ADMINISTRATIVO</t>
        </is>
      </c>
      <c r="C37" s="20" t="inlineStr">
        <is>
          <t>Resto</t>
        </is>
      </c>
      <c r="D37" s="21" t="n">
        <v>7</v>
      </c>
      <c r="E37" s="21" t="n">
        <v>0</v>
      </c>
      <c r="F37" s="21" t="n">
        <v>2</v>
      </c>
      <c r="G37" s="21" t="n">
        <v>5</v>
      </c>
      <c r="H37" s="21" t="n">
        <v>5</v>
      </c>
      <c r="I37" s="21" t="n">
        <v>3</v>
      </c>
      <c r="J37" s="21" t="n">
        <v>0</v>
      </c>
      <c r="K37" s="21" t="n">
        <v>3</v>
      </c>
      <c r="L37" s="21" t="n">
        <v>6</v>
      </c>
      <c r="M37" s="20">
        <f>SUM(D37:L37)</f>
        <v/>
      </c>
    </row>
    <row r="38">
      <c r="A38" s="20" t="inlineStr">
        <is>
          <t>11° JUZGADO CIVIL</t>
        </is>
      </c>
      <c r="B38" s="20" t="inlineStr">
        <is>
          <t>CIVIL - CIVIL</t>
        </is>
      </c>
      <c r="C38" s="20" t="inlineStr">
        <is>
          <t>Civil-Civil</t>
        </is>
      </c>
      <c r="D38" s="21" t="n">
        <v>0</v>
      </c>
      <c r="E38" s="21" t="n">
        <v>0</v>
      </c>
      <c r="F38" s="21" t="n">
        <v>0</v>
      </c>
      <c r="G38" s="21" t="n">
        <v>0</v>
      </c>
      <c r="H38" s="21" t="n">
        <v>0</v>
      </c>
      <c r="I38" s="21" t="n">
        <v>0</v>
      </c>
      <c r="J38" s="21" t="n">
        <v>0</v>
      </c>
      <c r="K38" s="21" t="n">
        <v>0</v>
      </c>
      <c r="L38" s="21" t="n">
        <v>1</v>
      </c>
      <c r="M38" s="20">
        <f>SUM(D38:L38)</f>
        <v/>
      </c>
    </row>
    <row r="39">
      <c r="A39" s="20" t="inlineStr">
        <is>
          <t>1° JUZGADO CIVIL TRANSITORIO</t>
        </is>
      </c>
      <c r="B39" s="20" t="inlineStr">
        <is>
          <t>CIVIL - CIVIL</t>
        </is>
      </c>
      <c r="C39" s="20" t="inlineStr">
        <is>
          <t>Civil-Civil</t>
        </is>
      </c>
      <c r="D39" s="21" t="n">
        <v>0</v>
      </c>
      <c r="E39" s="21" t="n">
        <v>0</v>
      </c>
      <c r="F39" s="21" t="n">
        <v>0</v>
      </c>
      <c r="G39" s="21" t="n">
        <v>0</v>
      </c>
      <c r="H39" s="21" t="n">
        <v>1</v>
      </c>
      <c r="I39" s="21" t="n">
        <v>0</v>
      </c>
      <c r="J39" s="21" t="n">
        <v>0</v>
      </c>
      <c r="K39" s="21" t="n">
        <v>0</v>
      </c>
      <c r="L39" s="21" t="n">
        <v>0</v>
      </c>
      <c r="M39" s="20">
        <f>SUM(D39:L39)</f>
        <v/>
      </c>
    </row>
    <row r="40">
      <c r="A40" s="20" t="inlineStr">
        <is>
          <t>2° JUZGADO CIVIL TRANSITORIO</t>
        </is>
      </c>
      <c r="B40" s="20" t="inlineStr">
        <is>
          <t>CIVIL - CIVIL</t>
        </is>
      </c>
      <c r="C40" s="20" t="inlineStr">
        <is>
          <t>Civil-Civil</t>
        </is>
      </c>
      <c r="D40" s="21" t="n">
        <v>39</v>
      </c>
      <c r="E40" s="21" t="n">
        <v>37</v>
      </c>
      <c r="F40" s="21" t="n">
        <v>32</v>
      </c>
      <c r="G40" s="21" t="n">
        <v>41</v>
      </c>
      <c r="H40" s="21" t="n">
        <v>41</v>
      </c>
      <c r="I40" s="21" t="n">
        <v>39</v>
      </c>
      <c r="J40" s="21" t="n">
        <v>36</v>
      </c>
      <c r="K40" s="21" t="n">
        <v>44</v>
      </c>
      <c r="L40" s="21" t="n">
        <v>51</v>
      </c>
      <c r="M40" s="20">
        <f>SUM(D40:L40)</f>
        <v/>
      </c>
    </row>
    <row r="41">
      <c r="A41" s="20" t="inlineStr">
        <is>
          <t>2° JUZGADO CIVIL TRANSITORIO</t>
        </is>
      </c>
      <c r="B41" s="20" t="inlineStr">
        <is>
          <t>CIVIL - COMERCIAL</t>
        </is>
      </c>
      <c r="C41" s="20" t="inlineStr">
        <is>
          <t>Resto</t>
        </is>
      </c>
      <c r="D41" s="21" t="n">
        <v>0</v>
      </c>
      <c r="E41" s="21" t="n">
        <v>0</v>
      </c>
      <c r="F41" s="21" t="n">
        <v>0</v>
      </c>
      <c r="G41" s="21" t="n">
        <v>0</v>
      </c>
      <c r="H41" s="21" t="n">
        <v>0</v>
      </c>
      <c r="I41" s="21" t="n">
        <v>1</v>
      </c>
      <c r="J41" s="21" t="n">
        <v>1</v>
      </c>
      <c r="K41" s="21" t="n">
        <v>0</v>
      </c>
      <c r="L41" s="21" t="n">
        <v>1</v>
      </c>
      <c r="M41" s="20">
        <f>SUM(D41:L41)</f>
        <v/>
      </c>
    </row>
    <row r="42">
      <c r="A42" s="20" t="inlineStr">
        <is>
          <t>2° JUZGADO CIVIL TRANSITORIO</t>
        </is>
      </c>
      <c r="B42" s="20" t="inlineStr">
        <is>
          <t>CIVIL - CONTENCIOSO ADMINISTRATIVO</t>
        </is>
      </c>
      <c r="C42" s="20" t="inlineStr">
        <is>
          <t>Resto</t>
        </is>
      </c>
      <c r="D42" s="21" t="n">
        <v>4</v>
      </c>
      <c r="E42" s="21" t="n">
        <v>8</v>
      </c>
      <c r="F42" s="21" t="n">
        <v>13</v>
      </c>
      <c r="G42" s="21" t="n">
        <v>3</v>
      </c>
      <c r="H42" s="21" t="n">
        <v>5</v>
      </c>
      <c r="I42" s="21" t="n">
        <v>3</v>
      </c>
      <c r="J42" s="21" t="n">
        <v>6</v>
      </c>
      <c r="K42" s="21" t="n">
        <v>3</v>
      </c>
      <c r="L42" s="21" t="n">
        <v>3</v>
      </c>
      <c r="M42" s="20">
        <f>SUM(D42:L42)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2026-10-02T18:55:50Z</dcterms:created>
  <dcterms:modified xsi:type="dcterms:W3CDTF">2026-10-02T18:55:50Z</dcterms:modified>
</cp:coreProperties>
</file>